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9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ISHALI\Desktop\UBER CASE STUDY FOR ME\"/>
    </mc:Choice>
  </mc:AlternateContent>
  <xr:revisionPtr revIDLastSave="0" documentId="13_ncr:1_{C38882D1-B58B-4E96-983D-7A4FB3F98C54}" xr6:coauthVersionLast="47" xr6:coauthVersionMax="47" xr10:uidLastSave="{00000000-0000-0000-0000-000000000000}"/>
  <bookViews>
    <workbookView xWindow="-108" yWindow="-108" windowWidth="23256" windowHeight="12456" tabRatio="850" xr2:uid="{436E8B6D-5571-4732-B11D-936C37058F81}"/>
  </bookViews>
  <sheets>
    <sheet name="Dashboard" sheetId="17" r:id="rId1"/>
    <sheet name="Metric Tree" sheetId="18" r:id="rId2"/>
    <sheet name="EDA and Key Finding" sheetId="16" r:id="rId3"/>
    <sheet name="Daily and Weekly Analysis" sheetId="15" r:id="rId4"/>
    <sheet name="Demand vs Supply" sheetId="11" r:id="rId5"/>
    <sheet name="Drivers Incentives Estimate" sheetId="8" r:id="rId6"/>
    <sheet name="Incentive Framwork" sheetId="12" r:id="rId7"/>
    <sheet name="Demand_Raw_Data" sheetId="3" r:id="rId8"/>
    <sheet name="Supply_Raw_Data" sheetId="4" r:id="rId9"/>
    <sheet name="Peak Hours" sheetId="5" state="hidden" r:id="rId10"/>
    <sheet name="Metrics" sheetId="7" state="hidden" r:id="rId11"/>
    <sheet name="9 hour Analysis" sheetId="6" state="hidden" r:id="rId12"/>
  </sheets>
  <definedNames>
    <definedName name="ExternalData_1" localSheetId="7" hidden="1">Demand_Raw_Data!$A$1:$H$840</definedName>
    <definedName name="ExternalData_2" localSheetId="8" hidden="1">Supply_Raw_Data!$A$1:$H$841</definedName>
  </definedNames>
  <calcPr calcId="191029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I9" i="7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8" i="15"/>
  <c r="J29" i="12"/>
  <c r="J37" i="12"/>
  <c r="F16" i="12"/>
  <c r="H16" i="12" s="1"/>
  <c r="I16" i="12" s="1"/>
  <c r="F17" i="12"/>
  <c r="H17" i="12" s="1"/>
  <c r="I17" i="12" s="1"/>
  <c r="F18" i="12"/>
  <c r="H18" i="12" s="1"/>
  <c r="I18" i="12" s="1"/>
  <c r="F19" i="12"/>
  <c r="J19" i="12" s="1"/>
  <c r="F20" i="12"/>
  <c r="H20" i="12" s="1"/>
  <c r="I20" i="12" s="1"/>
  <c r="F21" i="12"/>
  <c r="H21" i="12" s="1"/>
  <c r="I21" i="12" s="1"/>
  <c r="F22" i="12"/>
  <c r="J22" i="12" s="1"/>
  <c r="F23" i="12"/>
  <c r="H23" i="12" s="1"/>
  <c r="I23" i="12" s="1"/>
  <c r="F24" i="12"/>
  <c r="H24" i="12" s="1"/>
  <c r="I24" i="12" s="1"/>
  <c r="F25" i="12"/>
  <c r="H25" i="12" s="1"/>
  <c r="I25" i="12" s="1"/>
  <c r="F26" i="12"/>
  <c r="J26" i="12" s="1"/>
  <c r="F27" i="12"/>
  <c r="J27" i="12" s="1"/>
  <c r="F28" i="12"/>
  <c r="H28" i="12" s="1"/>
  <c r="I28" i="12" s="1"/>
  <c r="F29" i="12"/>
  <c r="H29" i="12" s="1"/>
  <c r="I29" i="12" s="1"/>
  <c r="F30" i="12"/>
  <c r="J30" i="12" s="1"/>
  <c r="F31" i="12"/>
  <c r="H31" i="12" s="1"/>
  <c r="I31" i="12" s="1"/>
  <c r="F32" i="12"/>
  <c r="H32" i="12" s="1"/>
  <c r="I32" i="12" s="1"/>
  <c r="F33" i="12"/>
  <c r="H33" i="12" s="1"/>
  <c r="I33" i="12" s="1"/>
  <c r="F34" i="12"/>
  <c r="J34" i="12" s="1"/>
  <c r="F35" i="12"/>
  <c r="J35" i="12" s="1"/>
  <c r="F36" i="12"/>
  <c r="H36" i="12" s="1"/>
  <c r="I36" i="12" s="1"/>
  <c r="F37" i="12"/>
  <c r="H37" i="12" s="1"/>
  <c r="I37" i="12" s="1"/>
  <c r="F38" i="12"/>
  <c r="J38" i="12" s="1"/>
  <c r="F15" i="12"/>
  <c r="E39" i="12"/>
  <c r="D39" i="12"/>
  <c r="Q81" i="7"/>
  <c r="T81" i="7" s="1"/>
  <c r="U81" i="7" s="1"/>
  <c r="Q82" i="7"/>
  <c r="T82" i="7" s="1"/>
  <c r="Q83" i="7"/>
  <c r="R83" i="7" s="1"/>
  <c r="Q84" i="7"/>
  <c r="R84" i="7" s="1"/>
  <c r="Q85" i="7"/>
  <c r="R85" i="7" s="1"/>
  <c r="Q86" i="7"/>
  <c r="T86" i="7" s="1"/>
  <c r="Q87" i="7"/>
  <c r="R87" i="7" s="1"/>
  <c r="Q88" i="7"/>
  <c r="R88" i="7" s="1"/>
  <c r="Q89" i="7"/>
  <c r="R89" i="7" s="1"/>
  <c r="Q90" i="7"/>
  <c r="T90" i="7" s="1"/>
  <c r="Q91" i="7"/>
  <c r="R91" i="7" s="1"/>
  <c r="Q92" i="7"/>
  <c r="R92" i="7" s="1"/>
  <c r="Q93" i="7"/>
  <c r="R93" i="7" s="1"/>
  <c r="Q94" i="7"/>
  <c r="R94" i="7" s="1"/>
  <c r="Q95" i="7"/>
  <c r="R95" i="7" s="1"/>
  <c r="Q96" i="7"/>
  <c r="R96" i="7" s="1"/>
  <c r="Q97" i="7"/>
  <c r="R97" i="7" s="1"/>
  <c r="Q98" i="7"/>
  <c r="T98" i="7" s="1"/>
  <c r="Q99" i="7"/>
  <c r="R99" i="7" s="1"/>
  <c r="Q100" i="7"/>
  <c r="R100" i="7" s="1"/>
  <c r="Q101" i="7"/>
  <c r="R101" i="7" s="1"/>
  <c r="Q102" i="7"/>
  <c r="T102" i="7" s="1"/>
  <c r="Q103" i="7"/>
  <c r="R103" i="7" s="1"/>
  <c r="Q104" i="7"/>
  <c r="R104" i="7" s="1"/>
  <c r="R82" i="7"/>
  <c r="R86" i="7"/>
  <c r="R90" i="7"/>
  <c r="R98" i="7"/>
  <c r="R102" i="7"/>
  <c r="P105" i="7"/>
  <c r="O105" i="7"/>
  <c r="AE43" i="11"/>
  <c r="AE42" i="11"/>
  <c r="AE41" i="11"/>
  <c r="AE15" i="11"/>
  <c r="AF15" i="11"/>
  <c r="AD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8" i="11"/>
  <c r="AF9" i="11"/>
  <c r="AF10" i="11"/>
  <c r="AF11" i="11"/>
  <c r="AF12" i="11"/>
  <c r="AF13" i="11"/>
  <c r="AF14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8" i="11"/>
  <c r="AE9" i="11"/>
  <c r="AE10" i="11"/>
  <c r="AE11" i="11"/>
  <c r="AE12" i="11"/>
  <c r="AE13" i="11"/>
  <c r="AE14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I3" i="5"/>
  <c r="AH3" i="5"/>
  <c r="AG3" i="5"/>
  <c r="AF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E29" i="5" s="1"/>
  <c r="AD22" i="5"/>
  <c r="AD23" i="5"/>
  <c r="AD24" i="5"/>
  <c r="AD25" i="5"/>
  <c r="AD26" i="5"/>
  <c r="AD3" i="5"/>
  <c r="AC4" i="5"/>
  <c r="AC3" i="5"/>
  <c r="AC5" i="5"/>
  <c r="AC6" i="5"/>
  <c r="AC7" i="5"/>
  <c r="AC8" i="5"/>
  <c r="AC9" i="5"/>
  <c r="AC10" i="5"/>
  <c r="AD29" i="5" s="1"/>
  <c r="AF29" i="5" s="1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P2" i="3"/>
  <c r="P3" i="3"/>
  <c r="I8" i="7" s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O2" i="3"/>
  <c r="I7" i="7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C2" i="3"/>
  <c r="E2" i="3" s="1"/>
  <c r="C3" i="3"/>
  <c r="E3" i="3" s="1"/>
  <c r="C4" i="3"/>
  <c r="E4" i="3" s="1"/>
  <c r="C5" i="3"/>
  <c r="E5" i="3" s="1"/>
  <c r="C6" i="3"/>
  <c r="E6" i="3" s="1"/>
  <c r="C7" i="3"/>
  <c r="E7" i="3" s="1"/>
  <c r="C8" i="3"/>
  <c r="E8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2" i="3"/>
  <c r="E22" i="3" s="1"/>
  <c r="C23" i="3"/>
  <c r="E23" i="3" s="1"/>
  <c r="C24" i="3"/>
  <c r="E24" i="3" s="1"/>
  <c r="C25" i="3"/>
  <c r="E25" i="3" s="1"/>
  <c r="C26" i="3"/>
  <c r="E26" i="3" s="1"/>
  <c r="C27" i="3"/>
  <c r="E27" i="3" s="1"/>
  <c r="C28" i="3"/>
  <c r="E28" i="3" s="1"/>
  <c r="C29" i="3"/>
  <c r="E29" i="3" s="1"/>
  <c r="C30" i="3"/>
  <c r="E30" i="3" s="1"/>
  <c r="C31" i="3"/>
  <c r="E31" i="3" s="1"/>
  <c r="C32" i="3"/>
  <c r="E32" i="3" s="1"/>
  <c r="C33" i="3"/>
  <c r="E33" i="3" s="1"/>
  <c r="C34" i="3"/>
  <c r="E34" i="3" s="1"/>
  <c r="C35" i="3"/>
  <c r="E35" i="3" s="1"/>
  <c r="C36" i="3"/>
  <c r="E36" i="3" s="1"/>
  <c r="C37" i="3"/>
  <c r="E37" i="3" s="1"/>
  <c r="C38" i="3"/>
  <c r="E38" i="3" s="1"/>
  <c r="C39" i="3"/>
  <c r="E39" i="3" s="1"/>
  <c r="C40" i="3"/>
  <c r="E40" i="3" s="1"/>
  <c r="C41" i="3"/>
  <c r="E41" i="3" s="1"/>
  <c r="C42" i="3"/>
  <c r="E42" i="3" s="1"/>
  <c r="C43" i="3"/>
  <c r="E43" i="3" s="1"/>
  <c r="C44" i="3"/>
  <c r="E44" i="3" s="1"/>
  <c r="C45" i="3"/>
  <c r="E45" i="3" s="1"/>
  <c r="C46" i="3"/>
  <c r="E46" i="3" s="1"/>
  <c r="C47" i="3"/>
  <c r="E47" i="3" s="1"/>
  <c r="C48" i="3"/>
  <c r="E48" i="3" s="1"/>
  <c r="C49" i="3"/>
  <c r="E49" i="3" s="1"/>
  <c r="C50" i="3"/>
  <c r="E50" i="3" s="1"/>
  <c r="C51" i="3"/>
  <c r="E51" i="3" s="1"/>
  <c r="C52" i="3"/>
  <c r="E52" i="3" s="1"/>
  <c r="C53" i="3"/>
  <c r="E53" i="3" s="1"/>
  <c r="C54" i="3"/>
  <c r="E54" i="3" s="1"/>
  <c r="C55" i="3"/>
  <c r="E55" i="3" s="1"/>
  <c r="C56" i="3"/>
  <c r="E56" i="3" s="1"/>
  <c r="C57" i="3"/>
  <c r="E57" i="3" s="1"/>
  <c r="C58" i="3"/>
  <c r="E58" i="3" s="1"/>
  <c r="C59" i="3"/>
  <c r="E59" i="3" s="1"/>
  <c r="C60" i="3"/>
  <c r="E60" i="3" s="1"/>
  <c r="C61" i="3"/>
  <c r="E61" i="3" s="1"/>
  <c r="C62" i="3"/>
  <c r="E62" i="3" s="1"/>
  <c r="C63" i="3"/>
  <c r="E63" i="3" s="1"/>
  <c r="C64" i="3"/>
  <c r="E64" i="3" s="1"/>
  <c r="C65" i="3"/>
  <c r="E65" i="3" s="1"/>
  <c r="C66" i="3"/>
  <c r="E66" i="3" s="1"/>
  <c r="C67" i="3"/>
  <c r="E67" i="3" s="1"/>
  <c r="C68" i="3"/>
  <c r="E68" i="3" s="1"/>
  <c r="C69" i="3"/>
  <c r="E69" i="3" s="1"/>
  <c r="C70" i="3"/>
  <c r="E70" i="3" s="1"/>
  <c r="C71" i="3"/>
  <c r="E71" i="3" s="1"/>
  <c r="C72" i="3"/>
  <c r="E72" i="3" s="1"/>
  <c r="C73" i="3"/>
  <c r="E73" i="3" s="1"/>
  <c r="C74" i="3"/>
  <c r="E74" i="3" s="1"/>
  <c r="C75" i="3"/>
  <c r="E75" i="3" s="1"/>
  <c r="C76" i="3"/>
  <c r="E76" i="3" s="1"/>
  <c r="C77" i="3"/>
  <c r="E77" i="3" s="1"/>
  <c r="C78" i="3"/>
  <c r="E78" i="3" s="1"/>
  <c r="C79" i="3"/>
  <c r="E79" i="3" s="1"/>
  <c r="C80" i="3"/>
  <c r="E80" i="3" s="1"/>
  <c r="C81" i="3"/>
  <c r="E81" i="3" s="1"/>
  <c r="C82" i="3"/>
  <c r="E82" i="3" s="1"/>
  <c r="C83" i="3"/>
  <c r="E83" i="3" s="1"/>
  <c r="C84" i="3"/>
  <c r="E84" i="3" s="1"/>
  <c r="C85" i="3"/>
  <c r="E85" i="3" s="1"/>
  <c r="C86" i="3"/>
  <c r="E86" i="3" s="1"/>
  <c r="C87" i="3"/>
  <c r="E87" i="3" s="1"/>
  <c r="C88" i="3"/>
  <c r="E88" i="3" s="1"/>
  <c r="C89" i="3"/>
  <c r="E89" i="3" s="1"/>
  <c r="C90" i="3"/>
  <c r="E90" i="3" s="1"/>
  <c r="C91" i="3"/>
  <c r="E91" i="3" s="1"/>
  <c r="C92" i="3"/>
  <c r="E92" i="3" s="1"/>
  <c r="C93" i="3"/>
  <c r="E93" i="3" s="1"/>
  <c r="C94" i="3"/>
  <c r="E94" i="3" s="1"/>
  <c r="C95" i="3"/>
  <c r="E95" i="3" s="1"/>
  <c r="C96" i="3"/>
  <c r="E96" i="3" s="1"/>
  <c r="C97" i="3"/>
  <c r="E97" i="3" s="1"/>
  <c r="C98" i="3"/>
  <c r="E98" i="3" s="1"/>
  <c r="C99" i="3"/>
  <c r="E99" i="3" s="1"/>
  <c r="C100" i="3"/>
  <c r="E100" i="3" s="1"/>
  <c r="C101" i="3"/>
  <c r="E101" i="3" s="1"/>
  <c r="C102" i="3"/>
  <c r="E102" i="3" s="1"/>
  <c r="C103" i="3"/>
  <c r="E103" i="3" s="1"/>
  <c r="C104" i="3"/>
  <c r="E104" i="3" s="1"/>
  <c r="C105" i="3"/>
  <c r="E105" i="3" s="1"/>
  <c r="C106" i="3"/>
  <c r="E106" i="3" s="1"/>
  <c r="C107" i="3"/>
  <c r="E107" i="3" s="1"/>
  <c r="C108" i="3"/>
  <c r="E108" i="3" s="1"/>
  <c r="C109" i="3"/>
  <c r="E109" i="3" s="1"/>
  <c r="C110" i="3"/>
  <c r="E110" i="3" s="1"/>
  <c r="C111" i="3"/>
  <c r="E111" i="3" s="1"/>
  <c r="C112" i="3"/>
  <c r="E112" i="3" s="1"/>
  <c r="C113" i="3"/>
  <c r="E113" i="3" s="1"/>
  <c r="C114" i="3"/>
  <c r="E114" i="3" s="1"/>
  <c r="C115" i="3"/>
  <c r="E115" i="3" s="1"/>
  <c r="C116" i="3"/>
  <c r="E116" i="3" s="1"/>
  <c r="C117" i="3"/>
  <c r="E117" i="3" s="1"/>
  <c r="C118" i="3"/>
  <c r="E118" i="3" s="1"/>
  <c r="C119" i="3"/>
  <c r="E119" i="3" s="1"/>
  <c r="C120" i="3"/>
  <c r="E120" i="3" s="1"/>
  <c r="C121" i="3"/>
  <c r="E121" i="3" s="1"/>
  <c r="C122" i="3"/>
  <c r="E122" i="3" s="1"/>
  <c r="C123" i="3"/>
  <c r="E123" i="3" s="1"/>
  <c r="C124" i="3"/>
  <c r="E124" i="3" s="1"/>
  <c r="C125" i="3"/>
  <c r="E125" i="3" s="1"/>
  <c r="C126" i="3"/>
  <c r="E126" i="3" s="1"/>
  <c r="C127" i="3"/>
  <c r="E127" i="3" s="1"/>
  <c r="C128" i="3"/>
  <c r="E128" i="3" s="1"/>
  <c r="C129" i="3"/>
  <c r="E129" i="3" s="1"/>
  <c r="C130" i="3"/>
  <c r="E130" i="3" s="1"/>
  <c r="C131" i="3"/>
  <c r="E131" i="3" s="1"/>
  <c r="C132" i="3"/>
  <c r="E132" i="3" s="1"/>
  <c r="C133" i="3"/>
  <c r="E133" i="3" s="1"/>
  <c r="C134" i="3"/>
  <c r="E134" i="3" s="1"/>
  <c r="C135" i="3"/>
  <c r="E135" i="3" s="1"/>
  <c r="C136" i="3"/>
  <c r="E136" i="3" s="1"/>
  <c r="C137" i="3"/>
  <c r="E137" i="3" s="1"/>
  <c r="C138" i="3"/>
  <c r="E138" i="3" s="1"/>
  <c r="C139" i="3"/>
  <c r="E139" i="3" s="1"/>
  <c r="C140" i="3"/>
  <c r="E140" i="3" s="1"/>
  <c r="C141" i="3"/>
  <c r="E141" i="3" s="1"/>
  <c r="C142" i="3"/>
  <c r="E142" i="3" s="1"/>
  <c r="C143" i="3"/>
  <c r="E143" i="3" s="1"/>
  <c r="C144" i="3"/>
  <c r="E144" i="3" s="1"/>
  <c r="C145" i="3"/>
  <c r="E145" i="3" s="1"/>
  <c r="C146" i="3"/>
  <c r="E146" i="3" s="1"/>
  <c r="C147" i="3"/>
  <c r="E147" i="3" s="1"/>
  <c r="C148" i="3"/>
  <c r="E148" i="3" s="1"/>
  <c r="C149" i="3"/>
  <c r="E149" i="3" s="1"/>
  <c r="C150" i="3"/>
  <c r="E150" i="3" s="1"/>
  <c r="C151" i="3"/>
  <c r="E151" i="3" s="1"/>
  <c r="C152" i="3"/>
  <c r="E152" i="3" s="1"/>
  <c r="C153" i="3"/>
  <c r="E153" i="3" s="1"/>
  <c r="C154" i="3"/>
  <c r="E154" i="3" s="1"/>
  <c r="C155" i="3"/>
  <c r="E155" i="3" s="1"/>
  <c r="C156" i="3"/>
  <c r="E156" i="3" s="1"/>
  <c r="C157" i="3"/>
  <c r="E157" i="3" s="1"/>
  <c r="C158" i="3"/>
  <c r="E158" i="3" s="1"/>
  <c r="C159" i="3"/>
  <c r="E159" i="3" s="1"/>
  <c r="C160" i="3"/>
  <c r="E160" i="3" s="1"/>
  <c r="C161" i="3"/>
  <c r="E161" i="3" s="1"/>
  <c r="C162" i="3"/>
  <c r="E162" i="3" s="1"/>
  <c r="C163" i="3"/>
  <c r="E163" i="3" s="1"/>
  <c r="C164" i="3"/>
  <c r="E164" i="3" s="1"/>
  <c r="C165" i="3"/>
  <c r="E165" i="3" s="1"/>
  <c r="C166" i="3"/>
  <c r="E166" i="3" s="1"/>
  <c r="C167" i="3"/>
  <c r="E167" i="3" s="1"/>
  <c r="C168" i="3"/>
  <c r="E168" i="3" s="1"/>
  <c r="C169" i="3"/>
  <c r="E169" i="3" s="1"/>
  <c r="C170" i="3"/>
  <c r="E170" i="3" s="1"/>
  <c r="C171" i="3"/>
  <c r="E171" i="3" s="1"/>
  <c r="C172" i="3"/>
  <c r="E172" i="3" s="1"/>
  <c r="C173" i="3"/>
  <c r="E173" i="3" s="1"/>
  <c r="C174" i="3"/>
  <c r="E174" i="3" s="1"/>
  <c r="C175" i="3"/>
  <c r="E175" i="3" s="1"/>
  <c r="C176" i="3"/>
  <c r="E176" i="3" s="1"/>
  <c r="C177" i="3"/>
  <c r="E177" i="3" s="1"/>
  <c r="C178" i="3"/>
  <c r="E178" i="3" s="1"/>
  <c r="C179" i="3"/>
  <c r="E179" i="3" s="1"/>
  <c r="C180" i="3"/>
  <c r="E180" i="3" s="1"/>
  <c r="C181" i="3"/>
  <c r="E181" i="3" s="1"/>
  <c r="C182" i="3"/>
  <c r="E182" i="3" s="1"/>
  <c r="C183" i="3"/>
  <c r="E183" i="3" s="1"/>
  <c r="C184" i="3"/>
  <c r="E184" i="3" s="1"/>
  <c r="C185" i="3"/>
  <c r="E185" i="3" s="1"/>
  <c r="C186" i="3"/>
  <c r="E186" i="3" s="1"/>
  <c r="C187" i="3"/>
  <c r="E187" i="3" s="1"/>
  <c r="C188" i="3"/>
  <c r="E188" i="3" s="1"/>
  <c r="C189" i="3"/>
  <c r="E189" i="3" s="1"/>
  <c r="C190" i="3"/>
  <c r="E190" i="3" s="1"/>
  <c r="C191" i="3"/>
  <c r="E191" i="3" s="1"/>
  <c r="C192" i="3"/>
  <c r="E192" i="3" s="1"/>
  <c r="C193" i="3"/>
  <c r="E193" i="3" s="1"/>
  <c r="C194" i="3"/>
  <c r="E194" i="3" s="1"/>
  <c r="C195" i="3"/>
  <c r="E195" i="3" s="1"/>
  <c r="C196" i="3"/>
  <c r="E196" i="3" s="1"/>
  <c r="C197" i="3"/>
  <c r="E197" i="3" s="1"/>
  <c r="C198" i="3"/>
  <c r="E198" i="3" s="1"/>
  <c r="C199" i="3"/>
  <c r="E199" i="3" s="1"/>
  <c r="C200" i="3"/>
  <c r="E200" i="3" s="1"/>
  <c r="C201" i="3"/>
  <c r="E201" i="3" s="1"/>
  <c r="C202" i="3"/>
  <c r="E202" i="3" s="1"/>
  <c r="C203" i="3"/>
  <c r="E203" i="3" s="1"/>
  <c r="C204" i="3"/>
  <c r="E204" i="3" s="1"/>
  <c r="C205" i="3"/>
  <c r="E205" i="3" s="1"/>
  <c r="C206" i="3"/>
  <c r="E206" i="3" s="1"/>
  <c r="C207" i="3"/>
  <c r="E207" i="3" s="1"/>
  <c r="C208" i="3"/>
  <c r="E208" i="3" s="1"/>
  <c r="C209" i="3"/>
  <c r="E209" i="3" s="1"/>
  <c r="C210" i="3"/>
  <c r="E210" i="3" s="1"/>
  <c r="C211" i="3"/>
  <c r="E211" i="3" s="1"/>
  <c r="C212" i="3"/>
  <c r="E212" i="3" s="1"/>
  <c r="C213" i="3"/>
  <c r="E213" i="3" s="1"/>
  <c r="C214" i="3"/>
  <c r="E214" i="3" s="1"/>
  <c r="C215" i="3"/>
  <c r="E215" i="3" s="1"/>
  <c r="C216" i="3"/>
  <c r="E216" i="3" s="1"/>
  <c r="C217" i="3"/>
  <c r="E217" i="3" s="1"/>
  <c r="C218" i="3"/>
  <c r="E218" i="3" s="1"/>
  <c r="C219" i="3"/>
  <c r="E219" i="3" s="1"/>
  <c r="C220" i="3"/>
  <c r="E220" i="3" s="1"/>
  <c r="C221" i="3"/>
  <c r="E221" i="3" s="1"/>
  <c r="C222" i="3"/>
  <c r="E222" i="3" s="1"/>
  <c r="C223" i="3"/>
  <c r="E223" i="3" s="1"/>
  <c r="C224" i="3"/>
  <c r="E224" i="3" s="1"/>
  <c r="C225" i="3"/>
  <c r="E225" i="3" s="1"/>
  <c r="C226" i="3"/>
  <c r="E226" i="3" s="1"/>
  <c r="C227" i="3"/>
  <c r="E227" i="3" s="1"/>
  <c r="C228" i="3"/>
  <c r="E228" i="3" s="1"/>
  <c r="C229" i="3"/>
  <c r="E229" i="3" s="1"/>
  <c r="C230" i="3"/>
  <c r="E230" i="3" s="1"/>
  <c r="C231" i="3"/>
  <c r="E231" i="3" s="1"/>
  <c r="C232" i="3"/>
  <c r="E232" i="3" s="1"/>
  <c r="C233" i="3"/>
  <c r="E233" i="3" s="1"/>
  <c r="C234" i="3"/>
  <c r="E234" i="3" s="1"/>
  <c r="C235" i="3"/>
  <c r="E235" i="3" s="1"/>
  <c r="C236" i="3"/>
  <c r="E236" i="3" s="1"/>
  <c r="C237" i="3"/>
  <c r="E237" i="3" s="1"/>
  <c r="C238" i="3"/>
  <c r="E238" i="3" s="1"/>
  <c r="C239" i="3"/>
  <c r="E239" i="3" s="1"/>
  <c r="C240" i="3"/>
  <c r="E240" i="3" s="1"/>
  <c r="C241" i="3"/>
  <c r="E241" i="3" s="1"/>
  <c r="C242" i="3"/>
  <c r="E242" i="3" s="1"/>
  <c r="C243" i="3"/>
  <c r="E243" i="3" s="1"/>
  <c r="C244" i="3"/>
  <c r="E244" i="3" s="1"/>
  <c r="C245" i="3"/>
  <c r="E245" i="3" s="1"/>
  <c r="C246" i="3"/>
  <c r="E246" i="3" s="1"/>
  <c r="C247" i="3"/>
  <c r="E247" i="3" s="1"/>
  <c r="C248" i="3"/>
  <c r="E248" i="3" s="1"/>
  <c r="C249" i="3"/>
  <c r="E249" i="3" s="1"/>
  <c r="C250" i="3"/>
  <c r="E250" i="3" s="1"/>
  <c r="C251" i="3"/>
  <c r="E251" i="3" s="1"/>
  <c r="C252" i="3"/>
  <c r="E252" i="3" s="1"/>
  <c r="C253" i="3"/>
  <c r="E253" i="3" s="1"/>
  <c r="C254" i="3"/>
  <c r="E254" i="3" s="1"/>
  <c r="C255" i="3"/>
  <c r="E255" i="3" s="1"/>
  <c r="C256" i="3"/>
  <c r="E256" i="3" s="1"/>
  <c r="C257" i="3"/>
  <c r="E257" i="3" s="1"/>
  <c r="C258" i="3"/>
  <c r="E258" i="3" s="1"/>
  <c r="C259" i="3"/>
  <c r="E259" i="3" s="1"/>
  <c r="C260" i="3"/>
  <c r="E260" i="3" s="1"/>
  <c r="C261" i="3"/>
  <c r="E261" i="3" s="1"/>
  <c r="C262" i="3"/>
  <c r="E262" i="3" s="1"/>
  <c r="C263" i="3"/>
  <c r="E263" i="3" s="1"/>
  <c r="C264" i="3"/>
  <c r="E264" i="3" s="1"/>
  <c r="C265" i="3"/>
  <c r="E265" i="3" s="1"/>
  <c r="C266" i="3"/>
  <c r="E266" i="3" s="1"/>
  <c r="C267" i="3"/>
  <c r="E267" i="3" s="1"/>
  <c r="C268" i="3"/>
  <c r="E268" i="3" s="1"/>
  <c r="C269" i="3"/>
  <c r="E269" i="3" s="1"/>
  <c r="C270" i="3"/>
  <c r="E270" i="3" s="1"/>
  <c r="C271" i="3"/>
  <c r="E271" i="3" s="1"/>
  <c r="C272" i="3"/>
  <c r="E272" i="3" s="1"/>
  <c r="C273" i="3"/>
  <c r="E273" i="3" s="1"/>
  <c r="C274" i="3"/>
  <c r="E274" i="3" s="1"/>
  <c r="C275" i="3"/>
  <c r="E275" i="3" s="1"/>
  <c r="C276" i="3"/>
  <c r="E276" i="3" s="1"/>
  <c r="C277" i="3"/>
  <c r="E277" i="3" s="1"/>
  <c r="C278" i="3"/>
  <c r="E278" i="3" s="1"/>
  <c r="C279" i="3"/>
  <c r="E279" i="3" s="1"/>
  <c r="C280" i="3"/>
  <c r="E280" i="3" s="1"/>
  <c r="C281" i="3"/>
  <c r="E281" i="3" s="1"/>
  <c r="C282" i="3"/>
  <c r="E282" i="3" s="1"/>
  <c r="C283" i="3"/>
  <c r="E283" i="3" s="1"/>
  <c r="C284" i="3"/>
  <c r="E284" i="3" s="1"/>
  <c r="C285" i="3"/>
  <c r="E285" i="3" s="1"/>
  <c r="C286" i="3"/>
  <c r="E286" i="3" s="1"/>
  <c r="C287" i="3"/>
  <c r="E287" i="3" s="1"/>
  <c r="C288" i="3"/>
  <c r="E288" i="3" s="1"/>
  <c r="C289" i="3"/>
  <c r="E289" i="3" s="1"/>
  <c r="C290" i="3"/>
  <c r="E290" i="3" s="1"/>
  <c r="C291" i="3"/>
  <c r="E291" i="3" s="1"/>
  <c r="C292" i="3"/>
  <c r="E292" i="3" s="1"/>
  <c r="C293" i="3"/>
  <c r="E293" i="3" s="1"/>
  <c r="C294" i="3"/>
  <c r="E294" i="3" s="1"/>
  <c r="C295" i="3"/>
  <c r="E295" i="3" s="1"/>
  <c r="C296" i="3"/>
  <c r="E296" i="3" s="1"/>
  <c r="C297" i="3"/>
  <c r="E297" i="3" s="1"/>
  <c r="C298" i="3"/>
  <c r="E298" i="3" s="1"/>
  <c r="C299" i="3"/>
  <c r="E299" i="3" s="1"/>
  <c r="C300" i="3"/>
  <c r="E300" i="3" s="1"/>
  <c r="C301" i="3"/>
  <c r="E301" i="3" s="1"/>
  <c r="C302" i="3"/>
  <c r="E302" i="3" s="1"/>
  <c r="C303" i="3"/>
  <c r="E303" i="3" s="1"/>
  <c r="C304" i="3"/>
  <c r="E304" i="3" s="1"/>
  <c r="C305" i="3"/>
  <c r="E305" i="3" s="1"/>
  <c r="C306" i="3"/>
  <c r="E306" i="3" s="1"/>
  <c r="C307" i="3"/>
  <c r="E307" i="3" s="1"/>
  <c r="C308" i="3"/>
  <c r="E308" i="3" s="1"/>
  <c r="C309" i="3"/>
  <c r="E309" i="3" s="1"/>
  <c r="C310" i="3"/>
  <c r="E310" i="3" s="1"/>
  <c r="C311" i="3"/>
  <c r="E311" i="3" s="1"/>
  <c r="C312" i="3"/>
  <c r="E312" i="3" s="1"/>
  <c r="C313" i="3"/>
  <c r="E313" i="3" s="1"/>
  <c r="C314" i="3"/>
  <c r="E314" i="3" s="1"/>
  <c r="C315" i="3"/>
  <c r="E315" i="3" s="1"/>
  <c r="C316" i="3"/>
  <c r="E316" i="3" s="1"/>
  <c r="C317" i="3"/>
  <c r="E317" i="3" s="1"/>
  <c r="C318" i="3"/>
  <c r="E318" i="3" s="1"/>
  <c r="C319" i="3"/>
  <c r="E319" i="3" s="1"/>
  <c r="C320" i="3"/>
  <c r="E320" i="3" s="1"/>
  <c r="C321" i="3"/>
  <c r="E321" i="3" s="1"/>
  <c r="C322" i="3"/>
  <c r="E322" i="3" s="1"/>
  <c r="C323" i="3"/>
  <c r="E323" i="3" s="1"/>
  <c r="C324" i="3"/>
  <c r="E324" i="3" s="1"/>
  <c r="C325" i="3"/>
  <c r="E325" i="3" s="1"/>
  <c r="C326" i="3"/>
  <c r="E326" i="3" s="1"/>
  <c r="C327" i="3"/>
  <c r="E327" i="3" s="1"/>
  <c r="C328" i="3"/>
  <c r="E328" i="3" s="1"/>
  <c r="C329" i="3"/>
  <c r="E329" i="3" s="1"/>
  <c r="C330" i="3"/>
  <c r="E330" i="3" s="1"/>
  <c r="C331" i="3"/>
  <c r="E331" i="3" s="1"/>
  <c r="C332" i="3"/>
  <c r="E332" i="3" s="1"/>
  <c r="C333" i="3"/>
  <c r="E333" i="3" s="1"/>
  <c r="C334" i="3"/>
  <c r="E334" i="3" s="1"/>
  <c r="C335" i="3"/>
  <c r="E335" i="3" s="1"/>
  <c r="C336" i="3"/>
  <c r="E336" i="3" s="1"/>
  <c r="C337" i="3"/>
  <c r="E337" i="3" s="1"/>
  <c r="C338" i="3"/>
  <c r="E338" i="3" s="1"/>
  <c r="C339" i="3"/>
  <c r="E339" i="3" s="1"/>
  <c r="C340" i="3"/>
  <c r="E340" i="3" s="1"/>
  <c r="C341" i="3"/>
  <c r="E341" i="3" s="1"/>
  <c r="C342" i="3"/>
  <c r="E342" i="3" s="1"/>
  <c r="C343" i="3"/>
  <c r="E343" i="3" s="1"/>
  <c r="C344" i="3"/>
  <c r="E344" i="3" s="1"/>
  <c r="C345" i="3"/>
  <c r="E345" i="3" s="1"/>
  <c r="C346" i="3"/>
  <c r="E346" i="3" s="1"/>
  <c r="C347" i="3"/>
  <c r="E347" i="3" s="1"/>
  <c r="C348" i="3"/>
  <c r="E348" i="3" s="1"/>
  <c r="C349" i="3"/>
  <c r="E349" i="3" s="1"/>
  <c r="C350" i="3"/>
  <c r="E350" i="3" s="1"/>
  <c r="C351" i="3"/>
  <c r="E351" i="3" s="1"/>
  <c r="C352" i="3"/>
  <c r="E352" i="3" s="1"/>
  <c r="C353" i="3"/>
  <c r="E353" i="3" s="1"/>
  <c r="C354" i="3"/>
  <c r="E354" i="3" s="1"/>
  <c r="C355" i="3"/>
  <c r="E355" i="3" s="1"/>
  <c r="C356" i="3"/>
  <c r="E356" i="3" s="1"/>
  <c r="C357" i="3"/>
  <c r="E357" i="3" s="1"/>
  <c r="C358" i="3"/>
  <c r="E358" i="3" s="1"/>
  <c r="C359" i="3"/>
  <c r="E359" i="3" s="1"/>
  <c r="C360" i="3"/>
  <c r="E360" i="3" s="1"/>
  <c r="C361" i="3"/>
  <c r="E361" i="3" s="1"/>
  <c r="C362" i="3"/>
  <c r="E362" i="3" s="1"/>
  <c r="C363" i="3"/>
  <c r="E363" i="3" s="1"/>
  <c r="C364" i="3"/>
  <c r="E364" i="3" s="1"/>
  <c r="C365" i="3"/>
  <c r="E365" i="3" s="1"/>
  <c r="C366" i="3"/>
  <c r="E366" i="3" s="1"/>
  <c r="C367" i="3"/>
  <c r="E367" i="3" s="1"/>
  <c r="C368" i="3"/>
  <c r="E368" i="3" s="1"/>
  <c r="C369" i="3"/>
  <c r="E369" i="3" s="1"/>
  <c r="C370" i="3"/>
  <c r="E370" i="3" s="1"/>
  <c r="C371" i="3"/>
  <c r="E371" i="3" s="1"/>
  <c r="C372" i="3"/>
  <c r="E372" i="3" s="1"/>
  <c r="C373" i="3"/>
  <c r="E373" i="3" s="1"/>
  <c r="C374" i="3"/>
  <c r="E374" i="3" s="1"/>
  <c r="C375" i="3"/>
  <c r="E375" i="3" s="1"/>
  <c r="C376" i="3"/>
  <c r="E376" i="3" s="1"/>
  <c r="C377" i="3"/>
  <c r="E377" i="3" s="1"/>
  <c r="C378" i="3"/>
  <c r="E378" i="3" s="1"/>
  <c r="C379" i="3"/>
  <c r="E379" i="3" s="1"/>
  <c r="C380" i="3"/>
  <c r="E380" i="3" s="1"/>
  <c r="C381" i="3"/>
  <c r="E381" i="3" s="1"/>
  <c r="C382" i="3"/>
  <c r="E382" i="3" s="1"/>
  <c r="C383" i="3"/>
  <c r="E383" i="3" s="1"/>
  <c r="C384" i="3"/>
  <c r="E384" i="3" s="1"/>
  <c r="C385" i="3"/>
  <c r="E385" i="3" s="1"/>
  <c r="C386" i="3"/>
  <c r="E386" i="3" s="1"/>
  <c r="C387" i="3"/>
  <c r="E387" i="3" s="1"/>
  <c r="C388" i="3"/>
  <c r="E388" i="3" s="1"/>
  <c r="C389" i="3"/>
  <c r="E389" i="3" s="1"/>
  <c r="C390" i="3"/>
  <c r="E390" i="3" s="1"/>
  <c r="C391" i="3"/>
  <c r="E391" i="3" s="1"/>
  <c r="C392" i="3"/>
  <c r="E392" i="3" s="1"/>
  <c r="C393" i="3"/>
  <c r="E393" i="3" s="1"/>
  <c r="C394" i="3"/>
  <c r="E394" i="3" s="1"/>
  <c r="C395" i="3"/>
  <c r="E395" i="3" s="1"/>
  <c r="C396" i="3"/>
  <c r="E396" i="3" s="1"/>
  <c r="C397" i="3"/>
  <c r="E397" i="3" s="1"/>
  <c r="C398" i="3"/>
  <c r="E398" i="3" s="1"/>
  <c r="C399" i="3"/>
  <c r="E399" i="3" s="1"/>
  <c r="C400" i="3"/>
  <c r="E400" i="3" s="1"/>
  <c r="C401" i="3"/>
  <c r="E401" i="3" s="1"/>
  <c r="C402" i="3"/>
  <c r="E402" i="3" s="1"/>
  <c r="C403" i="3"/>
  <c r="E403" i="3" s="1"/>
  <c r="C404" i="3"/>
  <c r="E404" i="3" s="1"/>
  <c r="C405" i="3"/>
  <c r="E405" i="3" s="1"/>
  <c r="C406" i="3"/>
  <c r="E406" i="3" s="1"/>
  <c r="C407" i="3"/>
  <c r="E407" i="3" s="1"/>
  <c r="C408" i="3"/>
  <c r="E408" i="3" s="1"/>
  <c r="C409" i="3"/>
  <c r="E409" i="3" s="1"/>
  <c r="C410" i="3"/>
  <c r="E410" i="3" s="1"/>
  <c r="C411" i="3"/>
  <c r="E411" i="3" s="1"/>
  <c r="C412" i="3"/>
  <c r="E412" i="3" s="1"/>
  <c r="C413" i="3"/>
  <c r="E413" i="3" s="1"/>
  <c r="C414" i="3"/>
  <c r="E414" i="3" s="1"/>
  <c r="C415" i="3"/>
  <c r="E415" i="3" s="1"/>
  <c r="C416" i="3"/>
  <c r="E416" i="3" s="1"/>
  <c r="C417" i="3"/>
  <c r="E417" i="3" s="1"/>
  <c r="C418" i="3"/>
  <c r="E418" i="3" s="1"/>
  <c r="C419" i="3"/>
  <c r="E419" i="3" s="1"/>
  <c r="C420" i="3"/>
  <c r="E420" i="3" s="1"/>
  <c r="C421" i="3"/>
  <c r="E421" i="3" s="1"/>
  <c r="C422" i="3"/>
  <c r="E422" i="3" s="1"/>
  <c r="C423" i="3"/>
  <c r="E423" i="3" s="1"/>
  <c r="C424" i="3"/>
  <c r="E424" i="3" s="1"/>
  <c r="C425" i="3"/>
  <c r="E425" i="3" s="1"/>
  <c r="C426" i="3"/>
  <c r="E426" i="3" s="1"/>
  <c r="C427" i="3"/>
  <c r="E427" i="3" s="1"/>
  <c r="C428" i="3"/>
  <c r="E428" i="3" s="1"/>
  <c r="C429" i="3"/>
  <c r="E429" i="3" s="1"/>
  <c r="C430" i="3"/>
  <c r="E430" i="3" s="1"/>
  <c r="C431" i="3"/>
  <c r="E431" i="3" s="1"/>
  <c r="C432" i="3"/>
  <c r="E432" i="3" s="1"/>
  <c r="C433" i="3"/>
  <c r="E433" i="3" s="1"/>
  <c r="C434" i="3"/>
  <c r="E434" i="3" s="1"/>
  <c r="C435" i="3"/>
  <c r="E435" i="3" s="1"/>
  <c r="C436" i="3"/>
  <c r="E436" i="3" s="1"/>
  <c r="C437" i="3"/>
  <c r="E437" i="3" s="1"/>
  <c r="C438" i="3"/>
  <c r="E438" i="3" s="1"/>
  <c r="C439" i="3"/>
  <c r="E439" i="3" s="1"/>
  <c r="C440" i="3"/>
  <c r="E440" i="3" s="1"/>
  <c r="C441" i="3"/>
  <c r="E441" i="3" s="1"/>
  <c r="C442" i="3"/>
  <c r="E442" i="3" s="1"/>
  <c r="C443" i="3"/>
  <c r="E443" i="3" s="1"/>
  <c r="C444" i="3"/>
  <c r="E444" i="3" s="1"/>
  <c r="C445" i="3"/>
  <c r="E445" i="3" s="1"/>
  <c r="C446" i="3"/>
  <c r="E446" i="3" s="1"/>
  <c r="C447" i="3"/>
  <c r="E447" i="3" s="1"/>
  <c r="C448" i="3"/>
  <c r="E448" i="3" s="1"/>
  <c r="C449" i="3"/>
  <c r="E449" i="3" s="1"/>
  <c r="C450" i="3"/>
  <c r="E450" i="3" s="1"/>
  <c r="C451" i="3"/>
  <c r="E451" i="3" s="1"/>
  <c r="C452" i="3"/>
  <c r="E452" i="3" s="1"/>
  <c r="C453" i="3"/>
  <c r="E453" i="3" s="1"/>
  <c r="C454" i="3"/>
  <c r="E454" i="3" s="1"/>
  <c r="C455" i="3"/>
  <c r="E455" i="3" s="1"/>
  <c r="C456" i="3"/>
  <c r="E456" i="3" s="1"/>
  <c r="C457" i="3"/>
  <c r="E457" i="3" s="1"/>
  <c r="C458" i="3"/>
  <c r="E458" i="3" s="1"/>
  <c r="C459" i="3"/>
  <c r="E459" i="3" s="1"/>
  <c r="C460" i="3"/>
  <c r="E460" i="3" s="1"/>
  <c r="C461" i="3"/>
  <c r="E461" i="3" s="1"/>
  <c r="C462" i="3"/>
  <c r="E462" i="3" s="1"/>
  <c r="C463" i="3"/>
  <c r="E463" i="3" s="1"/>
  <c r="C464" i="3"/>
  <c r="E464" i="3" s="1"/>
  <c r="C465" i="3"/>
  <c r="E465" i="3" s="1"/>
  <c r="C466" i="3"/>
  <c r="E466" i="3" s="1"/>
  <c r="C467" i="3"/>
  <c r="E467" i="3" s="1"/>
  <c r="C468" i="3"/>
  <c r="E468" i="3" s="1"/>
  <c r="C469" i="3"/>
  <c r="E469" i="3" s="1"/>
  <c r="C470" i="3"/>
  <c r="E470" i="3" s="1"/>
  <c r="C471" i="3"/>
  <c r="E471" i="3" s="1"/>
  <c r="C472" i="3"/>
  <c r="E472" i="3" s="1"/>
  <c r="C473" i="3"/>
  <c r="E473" i="3" s="1"/>
  <c r="C474" i="3"/>
  <c r="E474" i="3" s="1"/>
  <c r="C475" i="3"/>
  <c r="E475" i="3" s="1"/>
  <c r="C476" i="3"/>
  <c r="E476" i="3" s="1"/>
  <c r="C477" i="3"/>
  <c r="E477" i="3" s="1"/>
  <c r="C478" i="3"/>
  <c r="E478" i="3" s="1"/>
  <c r="C479" i="3"/>
  <c r="E479" i="3" s="1"/>
  <c r="C480" i="3"/>
  <c r="E480" i="3" s="1"/>
  <c r="C481" i="3"/>
  <c r="E481" i="3" s="1"/>
  <c r="C482" i="3"/>
  <c r="E482" i="3" s="1"/>
  <c r="C483" i="3"/>
  <c r="E483" i="3" s="1"/>
  <c r="C484" i="3"/>
  <c r="E484" i="3" s="1"/>
  <c r="C485" i="3"/>
  <c r="E485" i="3" s="1"/>
  <c r="C486" i="3"/>
  <c r="E486" i="3" s="1"/>
  <c r="C487" i="3"/>
  <c r="E487" i="3" s="1"/>
  <c r="C488" i="3"/>
  <c r="E488" i="3" s="1"/>
  <c r="C489" i="3"/>
  <c r="E489" i="3" s="1"/>
  <c r="C490" i="3"/>
  <c r="E490" i="3" s="1"/>
  <c r="C491" i="3"/>
  <c r="E491" i="3" s="1"/>
  <c r="C492" i="3"/>
  <c r="E492" i="3" s="1"/>
  <c r="C493" i="3"/>
  <c r="E493" i="3" s="1"/>
  <c r="C494" i="3"/>
  <c r="E494" i="3" s="1"/>
  <c r="C495" i="3"/>
  <c r="E495" i="3" s="1"/>
  <c r="C496" i="3"/>
  <c r="E496" i="3" s="1"/>
  <c r="C497" i="3"/>
  <c r="E497" i="3" s="1"/>
  <c r="C498" i="3"/>
  <c r="E498" i="3" s="1"/>
  <c r="C499" i="3"/>
  <c r="E499" i="3" s="1"/>
  <c r="C500" i="3"/>
  <c r="E500" i="3" s="1"/>
  <c r="C501" i="3"/>
  <c r="E501" i="3" s="1"/>
  <c r="C502" i="3"/>
  <c r="E502" i="3" s="1"/>
  <c r="C503" i="3"/>
  <c r="E503" i="3" s="1"/>
  <c r="C504" i="3"/>
  <c r="E504" i="3" s="1"/>
  <c r="C505" i="3"/>
  <c r="E505" i="3" s="1"/>
  <c r="C506" i="3"/>
  <c r="E506" i="3" s="1"/>
  <c r="C507" i="3"/>
  <c r="E507" i="3" s="1"/>
  <c r="C508" i="3"/>
  <c r="E508" i="3" s="1"/>
  <c r="C509" i="3"/>
  <c r="E509" i="3" s="1"/>
  <c r="C510" i="3"/>
  <c r="E510" i="3" s="1"/>
  <c r="C511" i="3"/>
  <c r="E511" i="3" s="1"/>
  <c r="C512" i="3"/>
  <c r="E512" i="3" s="1"/>
  <c r="C513" i="3"/>
  <c r="E513" i="3" s="1"/>
  <c r="C514" i="3"/>
  <c r="E514" i="3" s="1"/>
  <c r="C515" i="3"/>
  <c r="E515" i="3" s="1"/>
  <c r="C516" i="3"/>
  <c r="E516" i="3" s="1"/>
  <c r="C517" i="3"/>
  <c r="E517" i="3" s="1"/>
  <c r="C518" i="3"/>
  <c r="E518" i="3" s="1"/>
  <c r="C519" i="3"/>
  <c r="E519" i="3" s="1"/>
  <c r="C520" i="3"/>
  <c r="E520" i="3" s="1"/>
  <c r="C521" i="3"/>
  <c r="E521" i="3" s="1"/>
  <c r="C522" i="3"/>
  <c r="E522" i="3" s="1"/>
  <c r="C523" i="3"/>
  <c r="E523" i="3" s="1"/>
  <c r="C524" i="3"/>
  <c r="E524" i="3" s="1"/>
  <c r="C525" i="3"/>
  <c r="E525" i="3" s="1"/>
  <c r="C526" i="3"/>
  <c r="E526" i="3" s="1"/>
  <c r="C527" i="3"/>
  <c r="E527" i="3" s="1"/>
  <c r="C528" i="3"/>
  <c r="E528" i="3" s="1"/>
  <c r="C529" i="3"/>
  <c r="E529" i="3" s="1"/>
  <c r="C530" i="3"/>
  <c r="E530" i="3" s="1"/>
  <c r="C531" i="3"/>
  <c r="E531" i="3" s="1"/>
  <c r="C532" i="3"/>
  <c r="E532" i="3" s="1"/>
  <c r="C533" i="3"/>
  <c r="E533" i="3" s="1"/>
  <c r="C534" i="3"/>
  <c r="E534" i="3" s="1"/>
  <c r="C535" i="3"/>
  <c r="E535" i="3" s="1"/>
  <c r="C536" i="3"/>
  <c r="E536" i="3" s="1"/>
  <c r="C537" i="3"/>
  <c r="E537" i="3" s="1"/>
  <c r="C538" i="3"/>
  <c r="E538" i="3" s="1"/>
  <c r="C539" i="3"/>
  <c r="E539" i="3" s="1"/>
  <c r="C540" i="3"/>
  <c r="E540" i="3" s="1"/>
  <c r="C541" i="3"/>
  <c r="E541" i="3" s="1"/>
  <c r="C542" i="3"/>
  <c r="E542" i="3" s="1"/>
  <c r="C543" i="3"/>
  <c r="E543" i="3" s="1"/>
  <c r="C544" i="3"/>
  <c r="E544" i="3" s="1"/>
  <c r="C545" i="3"/>
  <c r="E545" i="3" s="1"/>
  <c r="C546" i="3"/>
  <c r="E546" i="3" s="1"/>
  <c r="C547" i="3"/>
  <c r="E547" i="3" s="1"/>
  <c r="C548" i="3"/>
  <c r="E548" i="3" s="1"/>
  <c r="C549" i="3"/>
  <c r="E549" i="3" s="1"/>
  <c r="C550" i="3"/>
  <c r="E550" i="3" s="1"/>
  <c r="C551" i="3"/>
  <c r="E551" i="3" s="1"/>
  <c r="C552" i="3"/>
  <c r="E552" i="3" s="1"/>
  <c r="C553" i="3"/>
  <c r="E553" i="3" s="1"/>
  <c r="C554" i="3"/>
  <c r="E554" i="3" s="1"/>
  <c r="C555" i="3"/>
  <c r="E555" i="3" s="1"/>
  <c r="C556" i="3"/>
  <c r="E556" i="3" s="1"/>
  <c r="C557" i="3"/>
  <c r="E557" i="3" s="1"/>
  <c r="C558" i="3"/>
  <c r="E558" i="3" s="1"/>
  <c r="C559" i="3"/>
  <c r="E559" i="3" s="1"/>
  <c r="C560" i="3"/>
  <c r="E560" i="3" s="1"/>
  <c r="C561" i="3"/>
  <c r="E561" i="3" s="1"/>
  <c r="C562" i="3"/>
  <c r="E562" i="3" s="1"/>
  <c r="C563" i="3"/>
  <c r="E563" i="3" s="1"/>
  <c r="C564" i="3"/>
  <c r="E564" i="3" s="1"/>
  <c r="C565" i="3"/>
  <c r="E565" i="3" s="1"/>
  <c r="C566" i="3"/>
  <c r="E566" i="3" s="1"/>
  <c r="C567" i="3"/>
  <c r="E567" i="3" s="1"/>
  <c r="C568" i="3"/>
  <c r="E568" i="3" s="1"/>
  <c r="C569" i="3"/>
  <c r="E569" i="3" s="1"/>
  <c r="C570" i="3"/>
  <c r="E570" i="3" s="1"/>
  <c r="C571" i="3"/>
  <c r="E571" i="3" s="1"/>
  <c r="C572" i="3"/>
  <c r="E572" i="3" s="1"/>
  <c r="C573" i="3"/>
  <c r="E573" i="3" s="1"/>
  <c r="C574" i="3"/>
  <c r="E574" i="3" s="1"/>
  <c r="C575" i="3"/>
  <c r="E575" i="3" s="1"/>
  <c r="C576" i="3"/>
  <c r="E576" i="3" s="1"/>
  <c r="C577" i="3"/>
  <c r="E577" i="3" s="1"/>
  <c r="C578" i="3"/>
  <c r="E578" i="3" s="1"/>
  <c r="C579" i="3"/>
  <c r="E579" i="3" s="1"/>
  <c r="C580" i="3"/>
  <c r="E580" i="3" s="1"/>
  <c r="C581" i="3"/>
  <c r="E581" i="3" s="1"/>
  <c r="C582" i="3"/>
  <c r="E582" i="3" s="1"/>
  <c r="C583" i="3"/>
  <c r="E583" i="3" s="1"/>
  <c r="C584" i="3"/>
  <c r="E584" i="3" s="1"/>
  <c r="C585" i="3"/>
  <c r="E585" i="3" s="1"/>
  <c r="C586" i="3"/>
  <c r="E586" i="3" s="1"/>
  <c r="C587" i="3"/>
  <c r="E587" i="3" s="1"/>
  <c r="C588" i="3"/>
  <c r="E588" i="3" s="1"/>
  <c r="C589" i="3"/>
  <c r="E589" i="3" s="1"/>
  <c r="C590" i="3"/>
  <c r="E590" i="3" s="1"/>
  <c r="C591" i="3"/>
  <c r="E591" i="3" s="1"/>
  <c r="C592" i="3"/>
  <c r="E592" i="3" s="1"/>
  <c r="C593" i="3"/>
  <c r="E593" i="3" s="1"/>
  <c r="C594" i="3"/>
  <c r="E594" i="3" s="1"/>
  <c r="C595" i="3"/>
  <c r="E595" i="3" s="1"/>
  <c r="C596" i="3"/>
  <c r="E596" i="3" s="1"/>
  <c r="C597" i="3"/>
  <c r="E597" i="3" s="1"/>
  <c r="C598" i="3"/>
  <c r="E598" i="3" s="1"/>
  <c r="C599" i="3"/>
  <c r="E599" i="3" s="1"/>
  <c r="C600" i="3"/>
  <c r="E600" i="3" s="1"/>
  <c r="C601" i="3"/>
  <c r="E601" i="3" s="1"/>
  <c r="C602" i="3"/>
  <c r="E602" i="3" s="1"/>
  <c r="C603" i="3"/>
  <c r="E603" i="3" s="1"/>
  <c r="C604" i="3"/>
  <c r="E604" i="3" s="1"/>
  <c r="C605" i="3"/>
  <c r="E605" i="3" s="1"/>
  <c r="C606" i="3"/>
  <c r="E606" i="3" s="1"/>
  <c r="C607" i="3"/>
  <c r="E607" i="3" s="1"/>
  <c r="C608" i="3"/>
  <c r="E608" i="3" s="1"/>
  <c r="C609" i="3"/>
  <c r="E609" i="3" s="1"/>
  <c r="C610" i="3"/>
  <c r="E610" i="3" s="1"/>
  <c r="C611" i="3"/>
  <c r="E611" i="3" s="1"/>
  <c r="C612" i="3"/>
  <c r="E612" i="3" s="1"/>
  <c r="C613" i="3"/>
  <c r="E613" i="3" s="1"/>
  <c r="C614" i="3"/>
  <c r="E614" i="3" s="1"/>
  <c r="C615" i="3"/>
  <c r="E615" i="3" s="1"/>
  <c r="C616" i="3"/>
  <c r="E616" i="3" s="1"/>
  <c r="C617" i="3"/>
  <c r="E617" i="3" s="1"/>
  <c r="C618" i="3"/>
  <c r="E618" i="3" s="1"/>
  <c r="C619" i="3"/>
  <c r="E619" i="3" s="1"/>
  <c r="C620" i="3"/>
  <c r="E620" i="3" s="1"/>
  <c r="C621" i="3"/>
  <c r="E621" i="3" s="1"/>
  <c r="C622" i="3"/>
  <c r="E622" i="3" s="1"/>
  <c r="C623" i="3"/>
  <c r="E623" i="3" s="1"/>
  <c r="C624" i="3"/>
  <c r="E624" i="3" s="1"/>
  <c r="C625" i="3"/>
  <c r="E625" i="3" s="1"/>
  <c r="C626" i="3"/>
  <c r="E626" i="3" s="1"/>
  <c r="C627" i="3"/>
  <c r="E627" i="3" s="1"/>
  <c r="C628" i="3"/>
  <c r="E628" i="3" s="1"/>
  <c r="C629" i="3"/>
  <c r="E629" i="3" s="1"/>
  <c r="C630" i="3"/>
  <c r="E630" i="3" s="1"/>
  <c r="C631" i="3"/>
  <c r="E631" i="3" s="1"/>
  <c r="C632" i="3"/>
  <c r="E632" i="3" s="1"/>
  <c r="C633" i="3"/>
  <c r="E633" i="3" s="1"/>
  <c r="C634" i="3"/>
  <c r="E634" i="3" s="1"/>
  <c r="C635" i="3"/>
  <c r="E635" i="3" s="1"/>
  <c r="C636" i="3"/>
  <c r="E636" i="3" s="1"/>
  <c r="C637" i="3"/>
  <c r="E637" i="3" s="1"/>
  <c r="C638" i="3"/>
  <c r="E638" i="3" s="1"/>
  <c r="C639" i="3"/>
  <c r="E639" i="3" s="1"/>
  <c r="C640" i="3"/>
  <c r="E640" i="3" s="1"/>
  <c r="C641" i="3"/>
  <c r="E641" i="3" s="1"/>
  <c r="C642" i="3"/>
  <c r="E642" i="3" s="1"/>
  <c r="C643" i="3"/>
  <c r="E643" i="3" s="1"/>
  <c r="C644" i="3"/>
  <c r="E644" i="3" s="1"/>
  <c r="C645" i="3"/>
  <c r="E645" i="3" s="1"/>
  <c r="C646" i="3"/>
  <c r="E646" i="3" s="1"/>
  <c r="C647" i="3"/>
  <c r="E647" i="3" s="1"/>
  <c r="C648" i="3"/>
  <c r="E648" i="3" s="1"/>
  <c r="C649" i="3"/>
  <c r="E649" i="3" s="1"/>
  <c r="C650" i="3"/>
  <c r="E650" i="3" s="1"/>
  <c r="C651" i="3"/>
  <c r="E651" i="3" s="1"/>
  <c r="C652" i="3"/>
  <c r="E652" i="3" s="1"/>
  <c r="C653" i="3"/>
  <c r="E653" i="3" s="1"/>
  <c r="C654" i="3"/>
  <c r="E654" i="3" s="1"/>
  <c r="C655" i="3"/>
  <c r="E655" i="3" s="1"/>
  <c r="C656" i="3"/>
  <c r="E656" i="3" s="1"/>
  <c r="C657" i="3"/>
  <c r="E657" i="3" s="1"/>
  <c r="C658" i="3"/>
  <c r="E658" i="3" s="1"/>
  <c r="C659" i="3"/>
  <c r="E659" i="3" s="1"/>
  <c r="C660" i="3"/>
  <c r="E660" i="3" s="1"/>
  <c r="C661" i="3"/>
  <c r="E661" i="3" s="1"/>
  <c r="C662" i="3"/>
  <c r="E662" i="3" s="1"/>
  <c r="C663" i="3"/>
  <c r="E663" i="3" s="1"/>
  <c r="C664" i="3"/>
  <c r="E664" i="3" s="1"/>
  <c r="C665" i="3"/>
  <c r="E665" i="3" s="1"/>
  <c r="C666" i="3"/>
  <c r="E666" i="3" s="1"/>
  <c r="C667" i="3"/>
  <c r="E667" i="3" s="1"/>
  <c r="C668" i="3"/>
  <c r="E668" i="3" s="1"/>
  <c r="C669" i="3"/>
  <c r="E669" i="3" s="1"/>
  <c r="C670" i="3"/>
  <c r="E670" i="3" s="1"/>
  <c r="C671" i="3"/>
  <c r="E671" i="3" s="1"/>
  <c r="C672" i="3"/>
  <c r="E672" i="3" s="1"/>
  <c r="C673" i="3"/>
  <c r="E673" i="3" s="1"/>
  <c r="C674" i="3"/>
  <c r="E674" i="3" s="1"/>
  <c r="C675" i="3"/>
  <c r="E675" i="3" s="1"/>
  <c r="C676" i="3"/>
  <c r="E676" i="3" s="1"/>
  <c r="C677" i="3"/>
  <c r="E677" i="3" s="1"/>
  <c r="C678" i="3"/>
  <c r="E678" i="3" s="1"/>
  <c r="C679" i="3"/>
  <c r="E679" i="3" s="1"/>
  <c r="C680" i="3"/>
  <c r="E680" i="3" s="1"/>
  <c r="C681" i="3"/>
  <c r="E681" i="3" s="1"/>
  <c r="C682" i="3"/>
  <c r="E682" i="3" s="1"/>
  <c r="C683" i="3"/>
  <c r="E683" i="3" s="1"/>
  <c r="C684" i="3"/>
  <c r="E684" i="3" s="1"/>
  <c r="C685" i="3"/>
  <c r="E685" i="3" s="1"/>
  <c r="C686" i="3"/>
  <c r="E686" i="3" s="1"/>
  <c r="C687" i="3"/>
  <c r="E687" i="3" s="1"/>
  <c r="C688" i="3"/>
  <c r="E688" i="3" s="1"/>
  <c r="C689" i="3"/>
  <c r="E689" i="3" s="1"/>
  <c r="C690" i="3"/>
  <c r="E690" i="3" s="1"/>
  <c r="C691" i="3"/>
  <c r="E691" i="3" s="1"/>
  <c r="C692" i="3"/>
  <c r="E692" i="3" s="1"/>
  <c r="C693" i="3"/>
  <c r="E693" i="3" s="1"/>
  <c r="C694" i="3"/>
  <c r="E694" i="3" s="1"/>
  <c r="C695" i="3"/>
  <c r="E695" i="3" s="1"/>
  <c r="C696" i="3"/>
  <c r="E696" i="3" s="1"/>
  <c r="C697" i="3"/>
  <c r="E697" i="3" s="1"/>
  <c r="C698" i="3"/>
  <c r="E698" i="3" s="1"/>
  <c r="C699" i="3"/>
  <c r="E699" i="3" s="1"/>
  <c r="C700" i="3"/>
  <c r="E700" i="3" s="1"/>
  <c r="C701" i="3"/>
  <c r="E701" i="3" s="1"/>
  <c r="C702" i="3"/>
  <c r="E702" i="3" s="1"/>
  <c r="C703" i="3"/>
  <c r="E703" i="3" s="1"/>
  <c r="C704" i="3"/>
  <c r="E704" i="3" s="1"/>
  <c r="C705" i="3"/>
  <c r="E705" i="3" s="1"/>
  <c r="C706" i="3"/>
  <c r="E706" i="3" s="1"/>
  <c r="C707" i="3"/>
  <c r="E707" i="3" s="1"/>
  <c r="C708" i="3"/>
  <c r="E708" i="3" s="1"/>
  <c r="C709" i="3"/>
  <c r="E709" i="3" s="1"/>
  <c r="C710" i="3"/>
  <c r="E710" i="3" s="1"/>
  <c r="C711" i="3"/>
  <c r="E711" i="3" s="1"/>
  <c r="C712" i="3"/>
  <c r="E712" i="3" s="1"/>
  <c r="C713" i="3"/>
  <c r="E713" i="3" s="1"/>
  <c r="C714" i="3"/>
  <c r="E714" i="3" s="1"/>
  <c r="C715" i="3"/>
  <c r="E715" i="3" s="1"/>
  <c r="C716" i="3"/>
  <c r="E716" i="3" s="1"/>
  <c r="C717" i="3"/>
  <c r="E717" i="3" s="1"/>
  <c r="C718" i="3"/>
  <c r="E718" i="3" s="1"/>
  <c r="C719" i="3"/>
  <c r="E719" i="3" s="1"/>
  <c r="C720" i="3"/>
  <c r="E720" i="3" s="1"/>
  <c r="C721" i="3"/>
  <c r="E721" i="3" s="1"/>
  <c r="C722" i="3"/>
  <c r="E722" i="3" s="1"/>
  <c r="C723" i="3"/>
  <c r="E723" i="3" s="1"/>
  <c r="C724" i="3"/>
  <c r="E724" i="3" s="1"/>
  <c r="C725" i="3"/>
  <c r="E725" i="3" s="1"/>
  <c r="C726" i="3"/>
  <c r="E726" i="3" s="1"/>
  <c r="C727" i="3"/>
  <c r="E727" i="3" s="1"/>
  <c r="C728" i="3"/>
  <c r="E728" i="3" s="1"/>
  <c r="C729" i="3"/>
  <c r="E729" i="3" s="1"/>
  <c r="C730" i="3"/>
  <c r="E730" i="3" s="1"/>
  <c r="C731" i="3"/>
  <c r="E731" i="3" s="1"/>
  <c r="C732" i="3"/>
  <c r="E732" i="3" s="1"/>
  <c r="C733" i="3"/>
  <c r="E733" i="3" s="1"/>
  <c r="C734" i="3"/>
  <c r="E734" i="3" s="1"/>
  <c r="C735" i="3"/>
  <c r="E735" i="3" s="1"/>
  <c r="C736" i="3"/>
  <c r="E736" i="3" s="1"/>
  <c r="C737" i="3"/>
  <c r="E737" i="3" s="1"/>
  <c r="C738" i="3"/>
  <c r="E738" i="3" s="1"/>
  <c r="C739" i="3"/>
  <c r="E739" i="3" s="1"/>
  <c r="C740" i="3"/>
  <c r="E740" i="3" s="1"/>
  <c r="C741" i="3"/>
  <c r="E741" i="3" s="1"/>
  <c r="C742" i="3"/>
  <c r="E742" i="3" s="1"/>
  <c r="C743" i="3"/>
  <c r="E743" i="3" s="1"/>
  <c r="C744" i="3"/>
  <c r="E744" i="3" s="1"/>
  <c r="C745" i="3"/>
  <c r="E745" i="3" s="1"/>
  <c r="C746" i="3"/>
  <c r="E746" i="3" s="1"/>
  <c r="C747" i="3"/>
  <c r="E747" i="3" s="1"/>
  <c r="C748" i="3"/>
  <c r="E748" i="3" s="1"/>
  <c r="C749" i="3"/>
  <c r="E749" i="3" s="1"/>
  <c r="C750" i="3"/>
  <c r="E750" i="3" s="1"/>
  <c r="C751" i="3"/>
  <c r="E751" i="3" s="1"/>
  <c r="C752" i="3"/>
  <c r="E752" i="3" s="1"/>
  <c r="C753" i="3"/>
  <c r="E753" i="3" s="1"/>
  <c r="C754" i="3"/>
  <c r="E754" i="3" s="1"/>
  <c r="C755" i="3"/>
  <c r="E755" i="3" s="1"/>
  <c r="C756" i="3"/>
  <c r="E756" i="3" s="1"/>
  <c r="C757" i="3"/>
  <c r="E757" i="3" s="1"/>
  <c r="C758" i="3"/>
  <c r="E758" i="3" s="1"/>
  <c r="C759" i="3"/>
  <c r="E759" i="3" s="1"/>
  <c r="C760" i="3"/>
  <c r="E760" i="3" s="1"/>
  <c r="C761" i="3"/>
  <c r="E761" i="3" s="1"/>
  <c r="C762" i="3"/>
  <c r="E762" i="3" s="1"/>
  <c r="C763" i="3"/>
  <c r="E763" i="3" s="1"/>
  <c r="C764" i="3"/>
  <c r="E764" i="3" s="1"/>
  <c r="C765" i="3"/>
  <c r="E765" i="3" s="1"/>
  <c r="C766" i="3"/>
  <c r="E766" i="3" s="1"/>
  <c r="C767" i="3"/>
  <c r="E767" i="3" s="1"/>
  <c r="C768" i="3"/>
  <c r="E768" i="3" s="1"/>
  <c r="C769" i="3"/>
  <c r="E769" i="3" s="1"/>
  <c r="C770" i="3"/>
  <c r="E770" i="3" s="1"/>
  <c r="C771" i="3"/>
  <c r="E771" i="3" s="1"/>
  <c r="C772" i="3"/>
  <c r="E772" i="3" s="1"/>
  <c r="C773" i="3"/>
  <c r="E773" i="3" s="1"/>
  <c r="C774" i="3"/>
  <c r="E774" i="3" s="1"/>
  <c r="C775" i="3"/>
  <c r="E775" i="3" s="1"/>
  <c r="C776" i="3"/>
  <c r="E776" i="3" s="1"/>
  <c r="C777" i="3"/>
  <c r="E777" i="3" s="1"/>
  <c r="C778" i="3"/>
  <c r="E778" i="3" s="1"/>
  <c r="C779" i="3"/>
  <c r="E779" i="3" s="1"/>
  <c r="C780" i="3"/>
  <c r="E780" i="3" s="1"/>
  <c r="C781" i="3"/>
  <c r="E781" i="3" s="1"/>
  <c r="C782" i="3"/>
  <c r="E782" i="3" s="1"/>
  <c r="C783" i="3"/>
  <c r="E783" i="3" s="1"/>
  <c r="C784" i="3"/>
  <c r="E784" i="3" s="1"/>
  <c r="C785" i="3"/>
  <c r="E785" i="3" s="1"/>
  <c r="C786" i="3"/>
  <c r="E786" i="3" s="1"/>
  <c r="C787" i="3"/>
  <c r="E787" i="3" s="1"/>
  <c r="C788" i="3"/>
  <c r="E788" i="3" s="1"/>
  <c r="C789" i="3"/>
  <c r="E789" i="3" s="1"/>
  <c r="C790" i="3"/>
  <c r="E790" i="3" s="1"/>
  <c r="C791" i="3"/>
  <c r="E791" i="3" s="1"/>
  <c r="C792" i="3"/>
  <c r="E792" i="3" s="1"/>
  <c r="C793" i="3"/>
  <c r="E793" i="3" s="1"/>
  <c r="C794" i="3"/>
  <c r="E794" i="3" s="1"/>
  <c r="C795" i="3"/>
  <c r="E795" i="3" s="1"/>
  <c r="C796" i="3"/>
  <c r="E796" i="3" s="1"/>
  <c r="C797" i="3"/>
  <c r="E797" i="3" s="1"/>
  <c r="C798" i="3"/>
  <c r="E798" i="3" s="1"/>
  <c r="C799" i="3"/>
  <c r="E799" i="3" s="1"/>
  <c r="C800" i="3"/>
  <c r="E800" i="3" s="1"/>
  <c r="C801" i="3"/>
  <c r="E801" i="3" s="1"/>
  <c r="C802" i="3"/>
  <c r="E802" i="3" s="1"/>
  <c r="C803" i="3"/>
  <c r="E803" i="3" s="1"/>
  <c r="C804" i="3"/>
  <c r="E804" i="3" s="1"/>
  <c r="C805" i="3"/>
  <c r="E805" i="3" s="1"/>
  <c r="C806" i="3"/>
  <c r="E806" i="3" s="1"/>
  <c r="C807" i="3"/>
  <c r="E807" i="3" s="1"/>
  <c r="C808" i="3"/>
  <c r="E808" i="3" s="1"/>
  <c r="C809" i="3"/>
  <c r="E809" i="3" s="1"/>
  <c r="C810" i="3"/>
  <c r="E810" i="3" s="1"/>
  <c r="C811" i="3"/>
  <c r="E811" i="3" s="1"/>
  <c r="C812" i="3"/>
  <c r="E812" i="3" s="1"/>
  <c r="C813" i="3"/>
  <c r="E813" i="3" s="1"/>
  <c r="C814" i="3"/>
  <c r="E814" i="3" s="1"/>
  <c r="C815" i="3"/>
  <c r="E815" i="3" s="1"/>
  <c r="C816" i="3"/>
  <c r="E816" i="3" s="1"/>
  <c r="C817" i="3"/>
  <c r="E817" i="3" s="1"/>
  <c r="C818" i="3"/>
  <c r="E818" i="3" s="1"/>
  <c r="C819" i="3"/>
  <c r="E819" i="3" s="1"/>
  <c r="C820" i="3"/>
  <c r="E820" i="3" s="1"/>
  <c r="C821" i="3"/>
  <c r="E821" i="3" s="1"/>
  <c r="C822" i="3"/>
  <c r="E822" i="3" s="1"/>
  <c r="C823" i="3"/>
  <c r="E823" i="3" s="1"/>
  <c r="C824" i="3"/>
  <c r="E824" i="3" s="1"/>
  <c r="C825" i="3"/>
  <c r="E825" i="3" s="1"/>
  <c r="C826" i="3"/>
  <c r="E826" i="3" s="1"/>
  <c r="C827" i="3"/>
  <c r="E827" i="3" s="1"/>
  <c r="C828" i="3"/>
  <c r="E828" i="3" s="1"/>
  <c r="C829" i="3"/>
  <c r="E829" i="3" s="1"/>
  <c r="C830" i="3"/>
  <c r="E830" i="3" s="1"/>
  <c r="C831" i="3"/>
  <c r="E831" i="3" s="1"/>
  <c r="C832" i="3"/>
  <c r="E832" i="3" s="1"/>
  <c r="C833" i="3"/>
  <c r="E833" i="3" s="1"/>
  <c r="C834" i="3"/>
  <c r="E834" i="3" s="1"/>
  <c r="C835" i="3"/>
  <c r="E835" i="3" s="1"/>
  <c r="C836" i="3"/>
  <c r="E836" i="3" s="1"/>
  <c r="C837" i="3"/>
  <c r="E837" i="3" s="1"/>
  <c r="C838" i="3"/>
  <c r="E838" i="3" s="1"/>
  <c r="C839" i="3"/>
  <c r="E839" i="3" s="1"/>
  <c r="C840" i="3"/>
  <c r="E840" i="3" s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I10" i="7" l="1"/>
  <c r="F39" i="12"/>
  <c r="J21" i="12"/>
  <c r="J36" i="12"/>
  <c r="J28" i="12"/>
  <c r="J18" i="12"/>
  <c r="J33" i="12"/>
  <c r="J25" i="12"/>
  <c r="J17" i="12"/>
  <c r="J32" i="12"/>
  <c r="J24" i="12"/>
  <c r="G35" i="12"/>
  <c r="G27" i="12"/>
  <c r="G19" i="12"/>
  <c r="H35" i="12"/>
  <c r="I35" i="12" s="1"/>
  <c r="H27" i="12"/>
  <c r="I27" i="12" s="1"/>
  <c r="H19" i="12"/>
  <c r="I19" i="12" s="1"/>
  <c r="G38" i="12"/>
  <c r="G34" i="12"/>
  <c r="G30" i="12"/>
  <c r="G26" i="12"/>
  <c r="G22" i="12"/>
  <c r="G18" i="12"/>
  <c r="H38" i="12"/>
  <c r="I38" i="12" s="1"/>
  <c r="H34" i="12"/>
  <c r="I34" i="12" s="1"/>
  <c r="H30" i="12"/>
  <c r="I30" i="12" s="1"/>
  <c r="H26" i="12"/>
  <c r="I26" i="12" s="1"/>
  <c r="H22" i="12"/>
  <c r="I22" i="12" s="1"/>
  <c r="G37" i="12"/>
  <c r="G33" i="12"/>
  <c r="G29" i="12"/>
  <c r="G25" i="12"/>
  <c r="G21" i="12"/>
  <c r="G17" i="12"/>
  <c r="J20" i="12"/>
  <c r="J16" i="12"/>
  <c r="J31" i="12"/>
  <c r="J23" i="12"/>
  <c r="G15" i="12"/>
  <c r="G31" i="12"/>
  <c r="G23" i="12"/>
  <c r="H15" i="12"/>
  <c r="J15" i="12"/>
  <c r="G36" i="12"/>
  <c r="G32" i="12"/>
  <c r="G28" i="12"/>
  <c r="G24" i="12"/>
  <c r="G20" i="12"/>
  <c r="G16" i="12"/>
  <c r="T88" i="7"/>
  <c r="T94" i="7"/>
  <c r="T92" i="7"/>
  <c r="T84" i="7"/>
  <c r="T101" i="7"/>
  <c r="T97" i="7"/>
  <c r="T93" i="7"/>
  <c r="T89" i="7"/>
  <c r="T85" i="7"/>
  <c r="T104" i="7"/>
  <c r="T100" i="7"/>
  <c r="T96" i="7"/>
  <c r="R81" i="7"/>
  <c r="T103" i="7"/>
  <c r="T99" i="7"/>
  <c r="T95" i="7"/>
  <c r="T91" i="7"/>
  <c r="T87" i="7"/>
  <c r="T83" i="7"/>
  <c r="Q105" i="7"/>
  <c r="J39" i="12" l="1"/>
  <c r="I15" i="12"/>
  <c r="I39" i="12" s="1"/>
  <c r="H39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DC95B-0176-48D5-A043-CFDE781FFA9F}" keepAlive="1" name="Query - Demand Data - Hourly_OverviewSearch_1 csv" description="Connection to the 'Demand Data - Hourly_OverviewSearch_1 csv' query in the workbook." type="5" refreshedVersion="8" background="1" saveData="1">
    <dbPr connection="Provider=Microsoft.Mashup.OleDb.1;Data Source=$Workbook$;Location=&quot;Demand Data - Hourly_OverviewSearch_1 csv&quot;;Extended Properties=&quot;&quot;" command="SELECT * FROM [Demand Data - Hourly_OverviewSearch_1 csv]"/>
  </connection>
  <connection id="2" xr16:uid="{DA20B632-E28D-4E1D-B746-938E9A08D976}" keepAlive="1" name="Query - Supply Data - Hourly_DriverActivity_1 csv" description="Connection to the 'Supply Data - Hourly_DriverActivity_1 csv' query in the workbook." type="5" refreshedVersion="8" background="1" saveData="1">
    <dbPr connection="Provider=Microsoft.Mashup.OleDb.1;Data Source=$Workbook$;Location=&quot;Supply Data - Hourly_DriverActivity_1 csv&quot;;Extended Properties=&quot;&quot;" command="SELECT * FROM [Supply Data - Hourly_DriverActivity_1 csv]"/>
  </connection>
  <connection id="3" xr16:uid="{28D9E959-2931-4F47-9E1F-950531F9134D}" keepAlive="1" name="Query - Supply Data - Hourly_DriverActivity_1 csv (2)" description="Connection to the 'Supply Data - Hourly_DriverActivity_1 csv (2)' query in the workbook." type="5" refreshedVersion="0" background="1">
    <dbPr connection="Provider=Microsoft.Mashup.OleDb.1;Data Source=$Workbook$;Location=&quot;Supply Data - Hourly_DriverActivity_1 csv (2)&quot;;Extended Properties=&quot;&quot;" command="SELECT * FROM [Supply Data - Hourly_DriverActivity_1 csv (2)]"/>
  </connection>
  <connection id="4" xr16:uid="{58DA73C0-90E1-4729-8813-82877C7D64FF}" keepAlive="1" name="Query - Supply Data - Hourly_DriverActivity_1 csv (3)" description="Connection to the 'Supply Data - Hourly_DriverActivity_1 csv (3)' query in the workbook." type="5" refreshedVersion="8" background="1" saveData="1">
    <dbPr connection="Provider=Microsoft.Mashup.OleDb.1;Data Source=$Workbook$;Location=&quot;Supply Data - Hourly_DriverActivity_1 csv (3)&quot;;Extended Properties=&quot;&quot;" command="SELECT * FROM [Supply Data - Hourly_DriverActivity_1 csv (3)]"/>
  </connection>
</connections>
</file>

<file path=xl/sharedStrings.xml><?xml version="1.0" encoding="utf-8"?>
<sst xmlns="http://schemas.openxmlformats.org/spreadsheetml/2006/main" count="2524" uniqueCount="1065">
  <si>
    <t>Date</t>
  </si>
  <si>
    <t>Active drivers</t>
  </si>
  <si>
    <t>Online (h)</t>
  </si>
  <si>
    <t>Has booking (h)</t>
  </si>
  <si>
    <t>Waiting for booking (h)</t>
  </si>
  <si>
    <t>Hours per active driver</t>
  </si>
  <si>
    <t>Rides per online hour</t>
  </si>
  <si>
    <t>Finished Rides</t>
  </si>
  <si>
    <t>2016-12-18 23</t>
  </si>
  <si>
    <t>2016-12-18 22</t>
  </si>
  <si>
    <t>2016-12-18 21</t>
  </si>
  <si>
    <t>2016-12-18 20</t>
  </si>
  <si>
    <t>2016-12-18 19</t>
  </si>
  <si>
    <t>2016-12-18 18</t>
  </si>
  <si>
    <t>2016-12-18 17</t>
  </si>
  <si>
    <t>2016-12-18 16</t>
  </si>
  <si>
    <t>2016-12-18 15</t>
  </si>
  <si>
    <t>2016-12-18 14</t>
  </si>
  <si>
    <t>2016-12-18 13</t>
  </si>
  <si>
    <t>2016-12-18 12</t>
  </si>
  <si>
    <t>2016-12-18 11</t>
  </si>
  <si>
    <t>2016-12-18 10</t>
  </si>
  <si>
    <t>2016-12-18 09</t>
  </si>
  <si>
    <t>2016-12-18 08</t>
  </si>
  <si>
    <t>2016-12-18 07</t>
  </si>
  <si>
    <t>2016-12-18 06</t>
  </si>
  <si>
    <t>2016-12-18 05</t>
  </si>
  <si>
    <t>2016-12-18 04</t>
  </si>
  <si>
    <t>2016-12-18 03</t>
  </si>
  <si>
    <t>2016-12-18 02</t>
  </si>
  <si>
    <t>2016-12-18 01</t>
  </si>
  <si>
    <t>2016-12-18 00</t>
  </si>
  <si>
    <t>2016-12-17 23</t>
  </si>
  <si>
    <t>2016-12-17 22</t>
  </si>
  <si>
    <t>2016-12-17 21</t>
  </si>
  <si>
    <t>2016-12-17 20</t>
  </si>
  <si>
    <t>2016-12-17 19</t>
  </si>
  <si>
    <t>2016-12-17 18</t>
  </si>
  <si>
    <t>2016-12-17 17</t>
  </si>
  <si>
    <t>2016-12-17 16</t>
  </si>
  <si>
    <t>2016-12-17 15</t>
  </si>
  <si>
    <t>2016-12-17 14</t>
  </si>
  <si>
    <t>2016-12-17 13</t>
  </si>
  <si>
    <t>2016-12-17 12</t>
  </si>
  <si>
    <t>2016-12-17 11</t>
  </si>
  <si>
    <t>2016-12-17 10</t>
  </si>
  <si>
    <t>2016-12-17 09</t>
  </si>
  <si>
    <t>2016-12-17 08</t>
  </si>
  <si>
    <t>2016-12-17 07</t>
  </si>
  <si>
    <t>2016-12-17 06</t>
  </si>
  <si>
    <t>2016-12-17 05</t>
  </si>
  <si>
    <t>2016-12-17 04</t>
  </si>
  <si>
    <t>2016-12-17 03</t>
  </si>
  <si>
    <t>2016-12-17 02</t>
  </si>
  <si>
    <t>2016-12-17 01</t>
  </si>
  <si>
    <t>2016-12-17 00</t>
  </si>
  <si>
    <t>2016-12-16 23</t>
  </si>
  <si>
    <t>2016-12-16 22</t>
  </si>
  <si>
    <t>2016-12-16 21</t>
  </si>
  <si>
    <t>2016-12-16 20</t>
  </si>
  <si>
    <t>2016-12-16 19</t>
  </si>
  <si>
    <t>2016-12-16 18</t>
  </si>
  <si>
    <t>2016-12-16 17</t>
  </si>
  <si>
    <t>2016-12-16 16</t>
  </si>
  <si>
    <t>2016-12-16 15</t>
  </si>
  <si>
    <t>2016-12-16 14</t>
  </si>
  <si>
    <t>2016-12-16 13</t>
  </si>
  <si>
    <t>2016-12-16 12</t>
  </si>
  <si>
    <t>2016-12-16 11</t>
  </si>
  <si>
    <t>2016-12-16 10</t>
  </si>
  <si>
    <t>2016-12-16 09</t>
  </si>
  <si>
    <t>2016-12-16 08</t>
  </si>
  <si>
    <t>2016-12-16 07</t>
  </si>
  <si>
    <t>2016-12-16 06</t>
  </si>
  <si>
    <t>2016-12-16 05</t>
  </si>
  <si>
    <t>2016-12-16 04</t>
  </si>
  <si>
    <t>2016-12-16 03</t>
  </si>
  <si>
    <t>2016-12-16 02</t>
  </si>
  <si>
    <t>2016-12-16 01</t>
  </si>
  <si>
    <t>2016-12-16 00</t>
  </si>
  <si>
    <t>2016-12-15 23</t>
  </si>
  <si>
    <t>2016-12-15 22</t>
  </si>
  <si>
    <t>2016-12-15 21</t>
  </si>
  <si>
    <t>2016-12-15 20</t>
  </si>
  <si>
    <t>2016-12-15 19</t>
  </si>
  <si>
    <t>2016-12-15 18</t>
  </si>
  <si>
    <t>2016-12-15 17</t>
  </si>
  <si>
    <t>2016-12-15 16</t>
  </si>
  <si>
    <t>2016-12-15 15</t>
  </si>
  <si>
    <t>2016-12-15 14</t>
  </si>
  <si>
    <t>2016-12-15 13</t>
  </si>
  <si>
    <t>2016-12-15 12</t>
  </si>
  <si>
    <t>2016-12-15 11</t>
  </si>
  <si>
    <t>2016-12-15 10</t>
  </si>
  <si>
    <t>2016-12-15 09</t>
  </si>
  <si>
    <t>2016-12-15 08</t>
  </si>
  <si>
    <t>2016-12-15 07</t>
  </si>
  <si>
    <t>2016-12-15 06</t>
  </si>
  <si>
    <t>2016-12-15 05</t>
  </si>
  <si>
    <t>2016-12-15 04</t>
  </si>
  <si>
    <t>2016-12-15 03</t>
  </si>
  <si>
    <t>2016-12-15 02</t>
  </si>
  <si>
    <t>2016-12-15 01</t>
  </si>
  <si>
    <t>2016-12-15 00</t>
  </si>
  <si>
    <t>2016-12-14 23</t>
  </si>
  <si>
    <t>2016-12-14 22</t>
  </si>
  <si>
    <t>2016-12-14 21</t>
  </si>
  <si>
    <t>2016-12-14 20</t>
  </si>
  <si>
    <t>2016-12-14 19</t>
  </si>
  <si>
    <t>2016-12-14 18</t>
  </si>
  <si>
    <t>2016-12-14 17</t>
  </si>
  <si>
    <t>2016-12-14 16</t>
  </si>
  <si>
    <t>2016-12-14 15</t>
  </si>
  <si>
    <t>2016-12-14 14</t>
  </si>
  <si>
    <t>2016-12-14 13</t>
  </si>
  <si>
    <t>2016-12-14 12</t>
  </si>
  <si>
    <t>2016-12-14 11</t>
  </si>
  <si>
    <t>2016-12-14 10</t>
  </si>
  <si>
    <t>2016-12-14 09</t>
  </si>
  <si>
    <t>2016-12-14 08</t>
  </si>
  <si>
    <t>2016-12-14 07</t>
  </si>
  <si>
    <t>2016-12-14 06</t>
  </si>
  <si>
    <t>2016-12-14 05</t>
  </si>
  <si>
    <t>2016-12-14 04</t>
  </si>
  <si>
    <t>2016-12-14 03</t>
  </si>
  <si>
    <t>2016-12-14 02</t>
  </si>
  <si>
    <t>2016-12-14 01</t>
  </si>
  <si>
    <t>2016-12-14 00</t>
  </si>
  <si>
    <t>2016-12-13 23</t>
  </si>
  <si>
    <t>2016-12-13 22</t>
  </si>
  <si>
    <t>2016-12-13 21</t>
  </si>
  <si>
    <t>2016-12-13 20</t>
  </si>
  <si>
    <t>2016-12-13 19</t>
  </si>
  <si>
    <t>2016-12-13 18</t>
  </si>
  <si>
    <t>2016-12-13 17</t>
  </si>
  <si>
    <t>2016-12-13 16</t>
  </si>
  <si>
    <t>2016-12-13 15</t>
  </si>
  <si>
    <t>2016-12-13 14</t>
  </si>
  <si>
    <t>2016-12-13 13</t>
  </si>
  <si>
    <t>2016-12-13 12</t>
  </si>
  <si>
    <t>2016-12-13 11</t>
  </si>
  <si>
    <t>2016-12-13 10</t>
  </si>
  <si>
    <t>2016-12-13 09</t>
  </si>
  <si>
    <t>2016-12-13 08</t>
  </si>
  <si>
    <t>2016-12-13 07</t>
  </si>
  <si>
    <t>2016-12-13 06</t>
  </si>
  <si>
    <t>2016-12-13 05</t>
  </si>
  <si>
    <t>2016-12-13 04</t>
  </si>
  <si>
    <t>2016-12-13 03</t>
  </si>
  <si>
    <t>2016-12-13 02</t>
  </si>
  <si>
    <t>2016-12-13 01</t>
  </si>
  <si>
    <t>2016-12-13 00</t>
  </si>
  <si>
    <t>2016-12-12 23</t>
  </si>
  <si>
    <t>2016-12-12 22</t>
  </si>
  <si>
    <t>2016-12-12 21</t>
  </si>
  <si>
    <t>2016-12-12 20</t>
  </si>
  <si>
    <t>2016-12-12 19</t>
  </si>
  <si>
    <t>2016-12-12 18</t>
  </si>
  <si>
    <t>2016-12-12 17</t>
  </si>
  <si>
    <t>2016-12-12 16</t>
  </si>
  <si>
    <t>2016-12-12 15</t>
  </si>
  <si>
    <t>2016-12-12 14</t>
  </si>
  <si>
    <t>2016-12-12 13</t>
  </si>
  <si>
    <t>2016-12-12 12</t>
  </si>
  <si>
    <t>2016-12-12 11</t>
  </si>
  <si>
    <t>2016-12-12 10</t>
  </si>
  <si>
    <t>2016-12-12 09</t>
  </si>
  <si>
    <t>2016-12-12 08</t>
  </si>
  <si>
    <t>2016-12-12 07</t>
  </si>
  <si>
    <t>2016-12-12 06</t>
  </si>
  <si>
    <t>2016-12-12 05</t>
  </si>
  <si>
    <t>2016-12-12 04</t>
  </si>
  <si>
    <t>2016-12-12 03</t>
  </si>
  <si>
    <t>2016-12-12 02</t>
  </si>
  <si>
    <t>2016-12-12 01</t>
  </si>
  <si>
    <t>2016-12-12 00</t>
  </si>
  <si>
    <t>2016-12-11 23</t>
  </si>
  <si>
    <t>2016-12-11 22</t>
  </si>
  <si>
    <t>2016-12-11 21</t>
  </si>
  <si>
    <t>2016-12-11 20</t>
  </si>
  <si>
    <t>2016-12-11 19</t>
  </si>
  <si>
    <t>2016-12-11 18</t>
  </si>
  <si>
    <t>2016-12-11 17</t>
  </si>
  <si>
    <t>2016-12-11 16</t>
  </si>
  <si>
    <t>2016-12-11 15</t>
  </si>
  <si>
    <t>2016-12-11 14</t>
  </si>
  <si>
    <t>2016-12-11 13</t>
  </si>
  <si>
    <t>2016-12-11 12</t>
  </si>
  <si>
    <t>2016-12-11 11</t>
  </si>
  <si>
    <t>2016-12-11 10</t>
  </si>
  <si>
    <t>2016-12-11 09</t>
  </si>
  <si>
    <t>2016-12-11 08</t>
  </si>
  <si>
    <t>2016-12-11 07</t>
  </si>
  <si>
    <t>2016-12-11 06</t>
  </si>
  <si>
    <t>2016-12-11 05</t>
  </si>
  <si>
    <t>2016-12-11 04</t>
  </si>
  <si>
    <t>2016-12-11 03</t>
  </si>
  <si>
    <t>2016-12-11 02</t>
  </si>
  <si>
    <t>2016-12-11 01</t>
  </si>
  <si>
    <t>2016-12-11 00</t>
  </si>
  <si>
    <t>2016-12-10 23</t>
  </si>
  <si>
    <t>2016-12-10 22</t>
  </si>
  <si>
    <t>2016-12-10 21</t>
  </si>
  <si>
    <t>2016-12-10 20</t>
  </si>
  <si>
    <t>2016-12-10 19</t>
  </si>
  <si>
    <t>2016-12-10 18</t>
  </si>
  <si>
    <t>2016-12-10 17</t>
  </si>
  <si>
    <t>2016-12-10 16</t>
  </si>
  <si>
    <t>2016-12-10 15</t>
  </si>
  <si>
    <t>2016-12-10 14</t>
  </si>
  <si>
    <t>2016-12-10 13</t>
  </si>
  <si>
    <t>2016-12-10 12</t>
  </si>
  <si>
    <t>2016-12-10 11</t>
  </si>
  <si>
    <t>2016-12-10 10</t>
  </si>
  <si>
    <t>2016-12-10 09</t>
  </si>
  <si>
    <t>2016-12-10 08</t>
  </si>
  <si>
    <t>2016-12-10 07</t>
  </si>
  <si>
    <t>2016-12-10 06</t>
  </si>
  <si>
    <t>2016-12-10 05</t>
  </si>
  <si>
    <t>2016-12-10 04</t>
  </si>
  <si>
    <t>2016-12-10 03</t>
  </si>
  <si>
    <t>2016-12-10 02</t>
  </si>
  <si>
    <t>2016-12-10 01</t>
  </si>
  <si>
    <t>2016-12-10 00</t>
  </si>
  <si>
    <t>2016-12-09 23</t>
  </si>
  <si>
    <t>2016-12-09 22</t>
  </si>
  <si>
    <t>2016-12-09 21</t>
  </si>
  <si>
    <t>2016-12-09 20</t>
  </si>
  <si>
    <t>2016-12-09 19</t>
  </si>
  <si>
    <t>2016-12-09 18</t>
  </si>
  <si>
    <t>2016-12-09 17</t>
  </si>
  <si>
    <t>2016-12-09 16</t>
  </si>
  <si>
    <t>2016-12-09 15</t>
  </si>
  <si>
    <t>2016-12-09 14</t>
  </si>
  <si>
    <t>2016-12-09 13</t>
  </si>
  <si>
    <t>2016-12-09 12</t>
  </si>
  <si>
    <t>2016-12-09 11</t>
  </si>
  <si>
    <t>2016-12-09 10</t>
  </si>
  <si>
    <t>2016-12-09 09</t>
  </si>
  <si>
    <t>2016-12-09 08</t>
  </si>
  <si>
    <t>2016-12-09 07</t>
  </si>
  <si>
    <t>2016-12-09 06</t>
  </si>
  <si>
    <t>2016-12-09 05</t>
  </si>
  <si>
    <t>2016-12-09 04</t>
  </si>
  <si>
    <t>2016-12-09 03</t>
  </si>
  <si>
    <t>2016-12-09 02</t>
  </si>
  <si>
    <t>2016-12-09 01</t>
  </si>
  <si>
    <t>2016-12-09 00</t>
  </si>
  <si>
    <t>2016-12-08 23</t>
  </si>
  <si>
    <t>2016-12-08 22</t>
  </si>
  <si>
    <t>2016-12-08 21</t>
  </si>
  <si>
    <t>2016-12-08 20</t>
  </si>
  <si>
    <t>2016-12-08 19</t>
  </si>
  <si>
    <t>2016-12-08 18</t>
  </si>
  <si>
    <t>2016-12-08 17</t>
  </si>
  <si>
    <t>2016-12-08 16</t>
  </si>
  <si>
    <t>2016-12-08 15</t>
  </si>
  <si>
    <t>2016-12-08 14</t>
  </si>
  <si>
    <t>2016-12-08 13</t>
  </si>
  <si>
    <t>2016-12-08 12</t>
  </si>
  <si>
    <t>2016-12-08 11</t>
  </si>
  <si>
    <t>2016-12-08 10</t>
  </si>
  <si>
    <t>2016-12-08 09</t>
  </si>
  <si>
    <t>2016-12-08 08</t>
  </si>
  <si>
    <t>2016-12-08 07</t>
  </si>
  <si>
    <t>2016-12-08 06</t>
  </si>
  <si>
    <t>2016-12-08 05</t>
  </si>
  <si>
    <t>2016-12-08 04</t>
  </si>
  <si>
    <t>2016-12-08 03</t>
  </si>
  <si>
    <t>2016-12-08 02</t>
  </si>
  <si>
    <t>2016-12-08 01</t>
  </si>
  <si>
    <t>2016-12-08 00</t>
  </si>
  <si>
    <t>2016-12-07 23</t>
  </si>
  <si>
    <t>2016-12-07 22</t>
  </si>
  <si>
    <t>2016-12-07 21</t>
  </si>
  <si>
    <t>2016-12-07 20</t>
  </si>
  <si>
    <t>2016-12-07 19</t>
  </si>
  <si>
    <t>2016-12-07 18</t>
  </si>
  <si>
    <t>2016-12-07 17</t>
  </si>
  <si>
    <t>2016-12-07 16</t>
  </si>
  <si>
    <t>2016-12-07 15</t>
  </si>
  <si>
    <t>2016-12-07 14</t>
  </si>
  <si>
    <t>2016-12-07 13</t>
  </si>
  <si>
    <t>2016-12-07 12</t>
  </si>
  <si>
    <t>2016-12-07 11</t>
  </si>
  <si>
    <t>2016-12-07 10</t>
  </si>
  <si>
    <t>2016-12-07 09</t>
  </si>
  <si>
    <t>2016-12-07 08</t>
  </si>
  <si>
    <t>2016-12-07 07</t>
  </si>
  <si>
    <t>2016-12-07 06</t>
  </si>
  <si>
    <t>2016-12-07 05</t>
  </si>
  <si>
    <t>2016-12-07 04</t>
  </si>
  <si>
    <t>2016-12-07 03</t>
  </si>
  <si>
    <t>2016-12-07 02</t>
  </si>
  <si>
    <t>2016-12-07 01</t>
  </si>
  <si>
    <t>2016-12-07 00</t>
  </si>
  <si>
    <t>2016-12-06 23</t>
  </si>
  <si>
    <t>2016-12-06 22</t>
  </si>
  <si>
    <t>2016-12-06 21</t>
  </si>
  <si>
    <t>2016-12-06 20</t>
  </si>
  <si>
    <t>2016-12-06 19</t>
  </si>
  <si>
    <t>2016-12-06 18</t>
  </si>
  <si>
    <t>2016-12-06 17</t>
  </si>
  <si>
    <t>2016-12-06 16</t>
  </si>
  <si>
    <t>2016-12-06 15</t>
  </si>
  <si>
    <t>2016-12-06 14</t>
  </si>
  <si>
    <t>2016-12-06 13</t>
  </si>
  <si>
    <t>2016-12-06 12</t>
  </si>
  <si>
    <t>2016-12-06 11</t>
  </si>
  <si>
    <t>2016-12-06 10</t>
  </si>
  <si>
    <t>2016-12-06 09</t>
  </si>
  <si>
    <t>2016-12-06 08</t>
  </si>
  <si>
    <t>2016-12-06 07</t>
  </si>
  <si>
    <t>2016-12-06 06</t>
  </si>
  <si>
    <t>2016-12-06 05</t>
  </si>
  <si>
    <t>2016-12-06 04</t>
  </si>
  <si>
    <t>2016-12-06 03</t>
  </si>
  <si>
    <t>2016-12-06 02</t>
  </si>
  <si>
    <t>2016-12-06 01</t>
  </si>
  <si>
    <t>2016-12-06 00</t>
  </si>
  <si>
    <t>2016-12-05 23</t>
  </si>
  <si>
    <t>2016-12-05 22</t>
  </si>
  <si>
    <t>2016-12-05 21</t>
  </si>
  <si>
    <t>2016-12-05 20</t>
  </si>
  <si>
    <t>2016-12-05 19</t>
  </si>
  <si>
    <t>2016-12-05 18</t>
  </si>
  <si>
    <t>2016-12-05 17</t>
  </si>
  <si>
    <t>2016-12-05 16</t>
  </si>
  <si>
    <t>2016-12-05 15</t>
  </si>
  <si>
    <t>2016-12-05 14</t>
  </si>
  <si>
    <t>2016-12-05 13</t>
  </si>
  <si>
    <t>2016-12-05 12</t>
  </si>
  <si>
    <t>2016-12-05 11</t>
  </si>
  <si>
    <t>2016-12-05 10</t>
  </si>
  <si>
    <t>2016-12-05 09</t>
  </si>
  <si>
    <t>2016-12-05 08</t>
  </si>
  <si>
    <t>2016-12-05 07</t>
  </si>
  <si>
    <t>2016-12-05 06</t>
  </si>
  <si>
    <t>2016-12-05 05</t>
  </si>
  <si>
    <t>2016-12-05 04</t>
  </si>
  <si>
    <t>2016-12-05 03</t>
  </si>
  <si>
    <t>2016-12-05 02</t>
  </si>
  <si>
    <t>2016-12-05 01</t>
  </si>
  <si>
    <t>2016-12-05 00</t>
  </si>
  <si>
    <t>2016-12-04 23</t>
  </si>
  <si>
    <t>2016-12-04 22</t>
  </si>
  <si>
    <t>2016-12-04 21</t>
  </si>
  <si>
    <t>2016-12-04 20</t>
  </si>
  <si>
    <t>2016-12-04 19</t>
  </si>
  <si>
    <t>2016-12-04 18</t>
  </si>
  <si>
    <t>2016-12-04 17</t>
  </si>
  <si>
    <t>2016-12-04 16</t>
  </si>
  <si>
    <t>2016-12-04 15</t>
  </si>
  <si>
    <t>2016-12-04 14</t>
  </si>
  <si>
    <t>2016-12-04 13</t>
  </si>
  <si>
    <t>2016-12-04 12</t>
  </si>
  <si>
    <t>2016-12-04 11</t>
  </si>
  <si>
    <t>2016-12-04 10</t>
  </si>
  <si>
    <t>2016-12-04 09</t>
  </si>
  <si>
    <t>2016-12-04 08</t>
  </si>
  <si>
    <t>2016-12-04 07</t>
  </si>
  <si>
    <t>2016-12-04 06</t>
  </si>
  <si>
    <t>2016-12-04 05</t>
  </si>
  <si>
    <t>2016-12-04 04</t>
  </si>
  <si>
    <t>2016-12-04 03</t>
  </si>
  <si>
    <t>2016-12-04 02</t>
  </si>
  <si>
    <t>2016-12-04 01</t>
  </si>
  <si>
    <t>2016-12-04 00</t>
  </si>
  <si>
    <t>2016-12-03 23</t>
  </si>
  <si>
    <t>2016-12-03 22</t>
  </si>
  <si>
    <t>2016-12-03 21</t>
  </si>
  <si>
    <t>2016-12-03 20</t>
  </si>
  <si>
    <t>2016-12-03 19</t>
  </si>
  <si>
    <t>2016-12-03 18</t>
  </si>
  <si>
    <t>2016-12-03 17</t>
  </si>
  <si>
    <t>2016-12-03 16</t>
  </si>
  <si>
    <t>2016-12-03 15</t>
  </si>
  <si>
    <t>2016-12-03 14</t>
  </si>
  <si>
    <t>2016-12-03 13</t>
  </si>
  <si>
    <t>2016-12-03 12</t>
  </si>
  <si>
    <t>2016-12-03 11</t>
  </si>
  <si>
    <t>2016-12-03 10</t>
  </si>
  <si>
    <t>2016-12-03 09</t>
  </si>
  <si>
    <t>2016-12-03 08</t>
  </si>
  <si>
    <t>2016-12-03 07</t>
  </si>
  <si>
    <t>2016-12-03 06</t>
  </si>
  <si>
    <t>2016-12-03 05</t>
  </si>
  <si>
    <t>2016-12-03 04</t>
  </si>
  <si>
    <t>2016-12-03 03</t>
  </si>
  <si>
    <t>2016-12-03 02</t>
  </si>
  <si>
    <t>2016-12-03 01</t>
  </si>
  <si>
    <t>2016-12-03 00</t>
  </si>
  <si>
    <t>2016-12-02 23</t>
  </si>
  <si>
    <t>2016-12-02 22</t>
  </si>
  <si>
    <t>2016-12-02 21</t>
  </si>
  <si>
    <t>2016-12-02 20</t>
  </si>
  <si>
    <t>2016-12-02 19</t>
  </si>
  <si>
    <t>2016-12-02 18</t>
  </si>
  <si>
    <t>2016-12-02 17</t>
  </si>
  <si>
    <t>2016-12-02 16</t>
  </si>
  <si>
    <t>2016-12-02 15</t>
  </si>
  <si>
    <t>2016-12-02 14</t>
  </si>
  <si>
    <t>2016-12-02 13</t>
  </si>
  <si>
    <t>2016-12-02 12</t>
  </si>
  <si>
    <t>2016-12-02 11</t>
  </si>
  <si>
    <t>2016-12-02 10</t>
  </si>
  <si>
    <t>2016-12-02 09</t>
  </si>
  <si>
    <t>2016-12-02 08</t>
  </si>
  <si>
    <t>2016-12-02 07</t>
  </si>
  <si>
    <t>2016-12-02 06</t>
  </si>
  <si>
    <t>2016-12-02 05</t>
  </si>
  <si>
    <t>2016-12-02 04</t>
  </si>
  <si>
    <t>2016-12-02 03</t>
  </si>
  <si>
    <t>2016-12-02 02</t>
  </si>
  <si>
    <t>2016-12-02 01</t>
  </si>
  <si>
    <t>2016-12-02 00</t>
  </si>
  <si>
    <t>2016-12-01 23</t>
  </si>
  <si>
    <t>2016-12-01 22</t>
  </si>
  <si>
    <t>2016-12-01 21</t>
  </si>
  <si>
    <t>2016-12-01 20</t>
  </si>
  <si>
    <t>2016-12-01 19</t>
  </si>
  <si>
    <t>2016-12-01 18</t>
  </si>
  <si>
    <t>2016-12-01 17</t>
  </si>
  <si>
    <t>2016-12-01 16</t>
  </si>
  <si>
    <t>2016-12-01 15</t>
  </si>
  <si>
    <t>2016-12-01 14</t>
  </si>
  <si>
    <t>2016-12-01 13</t>
  </si>
  <si>
    <t>2016-12-01 12</t>
  </si>
  <si>
    <t>2016-12-01 11</t>
  </si>
  <si>
    <t>2016-12-01 10</t>
  </si>
  <si>
    <t>2016-12-01 09</t>
  </si>
  <si>
    <t>2016-12-01 08</t>
  </si>
  <si>
    <t>2016-12-01 07</t>
  </si>
  <si>
    <t>2016-12-01 06</t>
  </si>
  <si>
    <t>2016-12-01 05</t>
  </si>
  <si>
    <t>2016-12-01 04</t>
  </si>
  <si>
    <t>2016-12-01 03</t>
  </si>
  <si>
    <t>2016-12-01 02</t>
  </si>
  <si>
    <t>2016-12-01 01</t>
  </si>
  <si>
    <t>2016-12-01 00</t>
  </si>
  <si>
    <t>2016-11-30 23</t>
  </si>
  <si>
    <t>2016-11-30 22</t>
  </si>
  <si>
    <t>2016-11-30 21</t>
  </si>
  <si>
    <t>2016-11-30 20</t>
  </si>
  <si>
    <t>2016-11-30 19</t>
  </si>
  <si>
    <t>2016-11-30 18</t>
  </si>
  <si>
    <t>2016-11-30 17</t>
  </si>
  <si>
    <t>2016-11-30 16</t>
  </si>
  <si>
    <t>2016-11-30 15</t>
  </si>
  <si>
    <t>2016-11-30 14</t>
  </si>
  <si>
    <t>2016-11-30 13</t>
  </si>
  <si>
    <t>2016-11-30 12</t>
  </si>
  <si>
    <t>2016-11-30 11</t>
  </si>
  <si>
    <t>2016-11-30 10</t>
  </si>
  <si>
    <t>2016-11-30 09</t>
  </si>
  <si>
    <t>2016-11-30 08</t>
  </si>
  <si>
    <t>2016-11-30 07</t>
  </si>
  <si>
    <t>2016-11-30 06</t>
  </si>
  <si>
    <t>2016-11-30 05</t>
  </si>
  <si>
    <t>2016-11-30 04</t>
  </si>
  <si>
    <t>2016-11-30 03</t>
  </si>
  <si>
    <t>2016-11-30 02</t>
  </si>
  <si>
    <t>2016-11-30 01</t>
  </si>
  <si>
    <t>2016-11-30 00</t>
  </si>
  <si>
    <t>2016-11-29 23</t>
  </si>
  <si>
    <t>2016-11-29 22</t>
  </si>
  <si>
    <t>2016-11-29 21</t>
  </si>
  <si>
    <t>2016-11-29 20</t>
  </si>
  <si>
    <t>2016-11-29 19</t>
  </si>
  <si>
    <t>2016-11-29 18</t>
  </si>
  <si>
    <t>2016-11-29 17</t>
  </si>
  <si>
    <t>2016-11-29 16</t>
  </si>
  <si>
    <t>2016-11-29 15</t>
  </si>
  <si>
    <t>2016-11-29 14</t>
  </si>
  <si>
    <t>2016-11-29 13</t>
  </si>
  <si>
    <t>2016-11-29 12</t>
  </si>
  <si>
    <t>2016-11-29 11</t>
  </si>
  <si>
    <t>2016-11-29 10</t>
  </si>
  <si>
    <t>2016-11-29 09</t>
  </si>
  <si>
    <t>2016-11-29 08</t>
  </si>
  <si>
    <t>2016-11-29 07</t>
  </si>
  <si>
    <t>2016-11-29 06</t>
  </si>
  <si>
    <t>2016-11-29 05</t>
  </si>
  <si>
    <t>2016-11-29 04</t>
  </si>
  <si>
    <t>2016-11-29 03</t>
  </si>
  <si>
    <t>2016-11-29 02</t>
  </si>
  <si>
    <t>2016-11-29 01</t>
  </si>
  <si>
    <t>2016-11-29 00</t>
  </si>
  <si>
    <t>2016-11-28 23</t>
  </si>
  <si>
    <t>2016-11-28 22</t>
  </si>
  <si>
    <t>2016-11-28 21</t>
  </si>
  <si>
    <t>2016-11-28 20</t>
  </si>
  <si>
    <t>2016-11-28 19</t>
  </si>
  <si>
    <t>2016-11-28 18</t>
  </si>
  <si>
    <t>2016-11-28 17</t>
  </si>
  <si>
    <t>2016-11-28 16</t>
  </si>
  <si>
    <t>2016-11-28 15</t>
  </si>
  <si>
    <t>2016-11-28 14</t>
  </si>
  <si>
    <t>2016-11-28 13</t>
  </si>
  <si>
    <t>2016-11-28 12</t>
  </si>
  <si>
    <t>2016-11-28 11</t>
  </si>
  <si>
    <t>2016-11-28 10</t>
  </si>
  <si>
    <t>2016-11-28 09</t>
  </si>
  <si>
    <t>2016-11-28 08</t>
  </si>
  <si>
    <t>2016-11-28 07</t>
  </si>
  <si>
    <t>2016-11-28 06</t>
  </si>
  <si>
    <t>2016-11-28 05</t>
  </si>
  <si>
    <t>2016-11-28 04</t>
  </si>
  <si>
    <t>2016-11-28 03</t>
  </si>
  <si>
    <t>2016-11-28 02</t>
  </si>
  <si>
    <t>2016-11-28 01</t>
  </si>
  <si>
    <t>2016-11-28 00</t>
  </si>
  <si>
    <t>2016-11-27 23</t>
  </si>
  <si>
    <t>2016-11-27 22</t>
  </si>
  <si>
    <t>2016-11-27 21</t>
  </si>
  <si>
    <t>2016-11-27 20</t>
  </si>
  <si>
    <t>2016-11-27 19</t>
  </si>
  <si>
    <t>2016-11-27 18</t>
  </si>
  <si>
    <t>2016-11-27 17</t>
  </si>
  <si>
    <t>2016-11-27 16</t>
  </si>
  <si>
    <t>2016-11-27 15</t>
  </si>
  <si>
    <t>2016-11-27 14</t>
  </si>
  <si>
    <t>2016-11-27 13</t>
  </si>
  <si>
    <t>2016-11-27 12</t>
  </si>
  <si>
    <t>2016-11-27 11</t>
  </si>
  <si>
    <t>2016-11-27 10</t>
  </si>
  <si>
    <t>2016-11-27 09</t>
  </si>
  <si>
    <t>2016-11-27 08</t>
  </si>
  <si>
    <t>2016-11-27 07</t>
  </si>
  <si>
    <t>2016-11-27 06</t>
  </si>
  <si>
    <t>2016-11-27 05</t>
  </si>
  <si>
    <t>2016-11-27 04</t>
  </si>
  <si>
    <t>2016-11-27 03</t>
  </si>
  <si>
    <t>2016-11-27 02</t>
  </si>
  <si>
    <t>2016-11-27 01</t>
  </si>
  <si>
    <t>2016-11-27 00</t>
  </si>
  <si>
    <t>2016-11-26 23</t>
  </si>
  <si>
    <t>2016-11-26 22</t>
  </si>
  <si>
    <t>2016-11-26 21</t>
  </si>
  <si>
    <t>2016-11-26 20</t>
  </si>
  <si>
    <t>2016-11-26 19</t>
  </si>
  <si>
    <t>2016-11-26 18</t>
  </si>
  <si>
    <t>2016-11-26 17</t>
  </si>
  <si>
    <t>2016-11-26 16</t>
  </si>
  <si>
    <t>2016-11-26 15</t>
  </si>
  <si>
    <t>2016-11-26 14</t>
  </si>
  <si>
    <t>2016-11-26 13</t>
  </si>
  <si>
    <t>2016-11-26 12</t>
  </si>
  <si>
    <t>2016-11-26 11</t>
  </si>
  <si>
    <t>2016-11-26 10</t>
  </si>
  <si>
    <t>2016-11-26 09</t>
  </si>
  <si>
    <t>2016-11-26 08</t>
  </si>
  <si>
    <t>2016-11-26 07</t>
  </si>
  <si>
    <t>2016-11-26 06</t>
  </si>
  <si>
    <t>2016-11-26 05</t>
  </si>
  <si>
    <t>2016-11-26 04</t>
  </si>
  <si>
    <t>2016-11-26 03</t>
  </si>
  <si>
    <t>2016-11-26 02</t>
  </si>
  <si>
    <t>2016-11-26 01</t>
  </si>
  <si>
    <t>2016-11-26 00</t>
  </si>
  <si>
    <t>2016-11-25 23</t>
  </si>
  <si>
    <t>2016-11-25 22</t>
  </si>
  <si>
    <t>2016-11-25 21</t>
  </si>
  <si>
    <t>2016-11-25 20</t>
  </si>
  <si>
    <t>2016-11-25 19</t>
  </si>
  <si>
    <t>2016-11-25 18</t>
  </si>
  <si>
    <t>2016-11-25 17</t>
  </si>
  <si>
    <t>2016-11-25 16</t>
  </si>
  <si>
    <t>2016-11-25 15</t>
  </si>
  <si>
    <t>2016-11-25 14</t>
  </si>
  <si>
    <t>2016-11-25 13</t>
  </si>
  <si>
    <t>2016-11-25 12</t>
  </si>
  <si>
    <t>2016-11-25 11</t>
  </si>
  <si>
    <t>2016-11-25 10</t>
  </si>
  <si>
    <t>2016-11-25 09</t>
  </si>
  <si>
    <t>2016-11-25 08</t>
  </si>
  <si>
    <t>2016-11-25 07</t>
  </si>
  <si>
    <t>2016-11-25 06</t>
  </si>
  <si>
    <t>2016-11-25 05</t>
  </si>
  <si>
    <t>2016-11-25 04</t>
  </si>
  <si>
    <t>2016-11-25 03</t>
  </si>
  <si>
    <t>2016-11-25 02</t>
  </si>
  <si>
    <t>2016-11-25 01</t>
  </si>
  <si>
    <t>2016-11-25 00</t>
  </si>
  <si>
    <t>2016-11-24 23</t>
  </si>
  <si>
    <t>2016-11-24 22</t>
  </si>
  <si>
    <t>2016-11-24 21</t>
  </si>
  <si>
    <t>2016-11-24 20</t>
  </si>
  <si>
    <t>2016-11-24 19</t>
  </si>
  <si>
    <t>2016-11-24 18</t>
  </si>
  <si>
    <t>2016-11-24 17</t>
  </si>
  <si>
    <t>2016-11-24 16</t>
  </si>
  <si>
    <t>2016-11-24 15</t>
  </si>
  <si>
    <t>2016-11-24 14</t>
  </si>
  <si>
    <t>2016-11-24 13</t>
  </si>
  <si>
    <t>2016-11-24 12</t>
  </si>
  <si>
    <t>2016-11-24 11</t>
  </si>
  <si>
    <t>2016-11-24 10</t>
  </si>
  <si>
    <t>2016-11-24 09</t>
  </si>
  <si>
    <t>2016-11-24 08</t>
  </si>
  <si>
    <t>2016-11-24 07</t>
  </si>
  <si>
    <t>2016-11-24 06</t>
  </si>
  <si>
    <t>2016-11-24 05</t>
  </si>
  <si>
    <t>2016-11-24 04</t>
  </si>
  <si>
    <t>2016-11-24 03</t>
  </si>
  <si>
    <t>2016-11-24 02</t>
  </si>
  <si>
    <t>2016-11-24 01</t>
  </si>
  <si>
    <t>2016-11-24 00</t>
  </si>
  <si>
    <t>2016-11-23 23</t>
  </si>
  <si>
    <t>2016-11-23 22</t>
  </si>
  <si>
    <t>2016-11-23 21</t>
  </si>
  <si>
    <t>2016-11-23 20</t>
  </si>
  <si>
    <t>2016-11-23 19</t>
  </si>
  <si>
    <t>2016-11-23 18</t>
  </si>
  <si>
    <t>2016-11-23 17</t>
  </si>
  <si>
    <t>2016-11-23 16</t>
  </si>
  <si>
    <t>2016-11-23 15</t>
  </si>
  <si>
    <t>2016-11-23 14</t>
  </si>
  <si>
    <t>2016-11-23 13</t>
  </si>
  <si>
    <t>2016-11-23 12</t>
  </si>
  <si>
    <t>2016-11-23 11</t>
  </si>
  <si>
    <t>2016-11-23 10</t>
  </si>
  <si>
    <t>2016-11-23 09</t>
  </si>
  <si>
    <t>2016-11-23 08</t>
  </si>
  <si>
    <t>2016-11-23 07</t>
  </si>
  <si>
    <t>2016-11-23 06</t>
  </si>
  <si>
    <t>2016-11-23 05</t>
  </si>
  <si>
    <t>2016-11-23 04</t>
  </si>
  <si>
    <t>2016-11-23 03</t>
  </si>
  <si>
    <t>2016-11-23 02</t>
  </si>
  <si>
    <t>2016-11-23 01</t>
  </si>
  <si>
    <t>2016-11-23 00</t>
  </si>
  <si>
    <t>2016-11-22 23</t>
  </si>
  <si>
    <t>2016-11-22 22</t>
  </si>
  <si>
    <t>2016-11-22 21</t>
  </si>
  <si>
    <t>2016-11-22 20</t>
  </si>
  <si>
    <t>2016-11-22 19</t>
  </si>
  <si>
    <t>2016-11-22 18</t>
  </si>
  <si>
    <t>2016-11-22 17</t>
  </si>
  <si>
    <t>2016-11-22 16</t>
  </si>
  <si>
    <t>2016-11-22 15</t>
  </si>
  <si>
    <t>2016-11-22 14</t>
  </si>
  <si>
    <t>2016-11-22 13</t>
  </si>
  <si>
    <t>2016-11-22 12</t>
  </si>
  <si>
    <t>2016-11-22 11</t>
  </si>
  <si>
    <t>2016-11-22 10</t>
  </si>
  <si>
    <t>2016-11-22 09</t>
  </si>
  <si>
    <t>2016-11-22 08</t>
  </si>
  <si>
    <t>2016-11-22 07</t>
  </si>
  <si>
    <t>2016-11-22 06</t>
  </si>
  <si>
    <t>2016-11-22 05</t>
  </si>
  <si>
    <t>2016-11-22 04</t>
  </si>
  <si>
    <t>2016-11-22 03</t>
  </si>
  <si>
    <t>2016-11-22 02</t>
  </si>
  <si>
    <t>2016-11-22 01</t>
  </si>
  <si>
    <t>2016-11-22 00</t>
  </si>
  <si>
    <t>2016-11-21 23</t>
  </si>
  <si>
    <t>2016-11-21 22</t>
  </si>
  <si>
    <t>2016-11-21 21</t>
  </si>
  <si>
    <t>2016-11-21 20</t>
  </si>
  <si>
    <t>2016-11-21 19</t>
  </si>
  <si>
    <t>2016-11-21 18</t>
  </si>
  <si>
    <t>2016-11-21 17</t>
  </si>
  <si>
    <t>2016-11-21 16</t>
  </si>
  <si>
    <t>2016-11-21 15</t>
  </si>
  <si>
    <t>2016-11-21 14</t>
  </si>
  <si>
    <t>2016-11-21 13</t>
  </si>
  <si>
    <t>2016-11-21 12</t>
  </si>
  <si>
    <t>2016-11-21 11</t>
  </si>
  <si>
    <t>2016-11-21 10</t>
  </si>
  <si>
    <t>2016-11-21 09</t>
  </si>
  <si>
    <t>2016-11-21 08</t>
  </si>
  <si>
    <t>2016-11-21 07</t>
  </si>
  <si>
    <t>2016-11-21 06</t>
  </si>
  <si>
    <t>2016-11-21 05</t>
  </si>
  <si>
    <t>2016-11-21 04</t>
  </si>
  <si>
    <t>2016-11-21 03</t>
  </si>
  <si>
    <t>2016-11-21 02</t>
  </si>
  <si>
    <t>2016-11-21 01</t>
  </si>
  <si>
    <t>2016-11-21 00</t>
  </si>
  <si>
    <t>2016-11-20 23</t>
  </si>
  <si>
    <t>2016-11-20 22</t>
  </si>
  <si>
    <t>2016-11-20 21</t>
  </si>
  <si>
    <t>2016-11-20 20</t>
  </si>
  <si>
    <t>2016-11-20 19</t>
  </si>
  <si>
    <t>2016-11-20 18</t>
  </si>
  <si>
    <t>2016-11-20 17</t>
  </si>
  <si>
    <t>2016-11-20 16</t>
  </si>
  <si>
    <t>2016-11-20 15</t>
  </si>
  <si>
    <t>2016-11-20 14</t>
  </si>
  <si>
    <t>2016-11-20 13</t>
  </si>
  <si>
    <t>2016-11-20 12</t>
  </si>
  <si>
    <t>2016-11-20 11</t>
  </si>
  <si>
    <t>2016-11-20 10</t>
  </si>
  <si>
    <t>2016-11-20 09</t>
  </si>
  <si>
    <t>2016-11-20 08</t>
  </si>
  <si>
    <t>2016-11-20 07</t>
  </si>
  <si>
    <t>2016-11-20 06</t>
  </si>
  <si>
    <t>2016-11-20 05</t>
  </si>
  <si>
    <t>2016-11-20 04</t>
  </si>
  <si>
    <t>2016-11-20 03</t>
  </si>
  <si>
    <t>2016-11-20 02</t>
  </si>
  <si>
    <t>2016-11-20 01</t>
  </si>
  <si>
    <t>2016-11-20 00</t>
  </si>
  <si>
    <t>2016-11-19 23</t>
  </si>
  <si>
    <t>2016-11-19 22</t>
  </si>
  <si>
    <t>2016-11-19 21</t>
  </si>
  <si>
    <t>2016-11-19 20</t>
  </si>
  <si>
    <t>2016-11-19 19</t>
  </si>
  <si>
    <t>2016-11-19 18</t>
  </si>
  <si>
    <t>2016-11-19 17</t>
  </si>
  <si>
    <t>2016-11-19 16</t>
  </si>
  <si>
    <t>2016-11-19 15</t>
  </si>
  <si>
    <t>2016-11-19 14</t>
  </si>
  <si>
    <t>2016-11-19 13</t>
  </si>
  <si>
    <t>2016-11-19 12</t>
  </si>
  <si>
    <t>2016-11-19 11</t>
  </si>
  <si>
    <t>2016-11-19 10</t>
  </si>
  <si>
    <t>2016-11-19 09</t>
  </si>
  <si>
    <t>2016-11-19 08</t>
  </si>
  <si>
    <t>2016-11-19 07</t>
  </si>
  <si>
    <t>2016-11-19 06</t>
  </si>
  <si>
    <t>2016-11-19 05</t>
  </si>
  <si>
    <t>2016-11-19 04</t>
  </si>
  <si>
    <t>2016-11-19 03</t>
  </si>
  <si>
    <t>2016-11-19 02</t>
  </si>
  <si>
    <t>2016-11-19 01</t>
  </si>
  <si>
    <t>2016-11-19 00</t>
  </si>
  <si>
    <t>2016-11-18 23</t>
  </si>
  <si>
    <t>2016-11-18 22</t>
  </si>
  <si>
    <t>2016-11-18 21</t>
  </si>
  <si>
    <t>2016-11-18 20</t>
  </si>
  <si>
    <t>2016-11-18 19</t>
  </si>
  <si>
    <t>2016-11-18 18</t>
  </si>
  <si>
    <t>2016-11-18 17</t>
  </si>
  <si>
    <t>2016-11-18 16</t>
  </si>
  <si>
    <t>2016-11-18 15</t>
  </si>
  <si>
    <t>2016-11-18 14</t>
  </si>
  <si>
    <t>2016-11-18 13</t>
  </si>
  <si>
    <t>2016-11-18 12</t>
  </si>
  <si>
    <t>2016-11-18 11</t>
  </si>
  <si>
    <t>2016-11-18 10</t>
  </si>
  <si>
    <t>2016-11-18 09</t>
  </si>
  <si>
    <t>2016-11-18 08</t>
  </si>
  <si>
    <t>2016-11-18 07</t>
  </si>
  <si>
    <t>2016-11-18 06</t>
  </si>
  <si>
    <t>2016-11-18 05</t>
  </si>
  <si>
    <t>2016-11-18 04</t>
  </si>
  <si>
    <t>2016-11-18 03</t>
  </si>
  <si>
    <t>2016-11-18 02</t>
  </si>
  <si>
    <t>2016-11-18 01</t>
  </si>
  <si>
    <t>2016-11-18 00</t>
  </si>
  <si>
    <t>2016-11-17 23</t>
  </si>
  <si>
    <t>2016-11-17 22</t>
  </si>
  <si>
    <t>2016-11-17 21</t>
  </si>
  <si>
    <t>2016-11-17 20</t>
  </si>
  <si>
    <t>2016-11-17 19</t>
  </si>
  <si>
    <t>2016-11-17 18</t>
  </si>
  <si>
    <t>2016-11-17 17</t>
  </si>
  <si>
    <t>2016-11-17 16</t>
  </si>
  <si>
    <t>2016-11-17 15</t>
  </si>
  <si>
    <t>2016-11-17 14</t>
  </si>
  <si>
    <t>2016-11-17 13</t>
  </si>
  <si>
    <t>2016-11-17 12</t>
  </si>
  <si>
    <t>2016-11-17 11</t>
  </si>
  <si>
    <t>2016-11-17 10</t>
  </si>
  <si>
    <t>2016-11-17 09</t>
  </si>
  <si>
    <t>2016-11-17 08</t>
  </si>
  <si>
    <t>2016-11-17 07</t>
  </si>
  <si>
    <t>2016-11-17 06</t>
  </si>
  <si>
    <t>2016-11-17 05</t>
  </si>
  <si>
    <t>2016-11-17 04</t>
  </si>
  <si>
    <t>2016-11-17 03</t>
  </si>
  <si>
    <t>2016-11-17 02</t>
  </si>
  <si>
    <t>2016-11-17 01</t>
  </si>
  <si>
    <t>2016-11-17 00</t>
  </si>
  <si>
    <t>2016-11-16 23</t>
  </si>
  <si>
    <t>2016-11-16 22</t>
  </si>
  <si>
    <t>2016-11-16 21</t>
  </si>
  <si>
    <t>2016-11-16 20</t>
  </si>
  <si>
    <t>2016-11-16 19</t>
  </si>
  <si>
    <t>2016-11-16 18</t>
  </si>
  <si>
    <t>2016-11-16 17</t>
  </si>
  <si>
    <t>2016-11-16 16</t>
  </si>
  <si>
    <t>2016-11-16 15</t>
  </si>
  <si>
    <t>2016-11-16 14</t>
  </si>
  <si>
    <t>2016-11-16 13</t>
  </si>
  <si>
    <t>2016-11-16 12</t>
  </si>
  <si>
    <t>2016-11-16 11</t>
  </si>
  <si>
    <t>2016-11-16 10</t>
  </si>
  <si>
    <t>2016-11-16 09</t>
  </si>
  <si>
    <t>2016-11-16 08</t>
  </si>
  <si>
    <t>2016-11-16 07</t>
  </si>
  <si>
    <t>2016-11-16 06</t>
  </si>
  <si>
    <t>2016-11-16 05</t>
  </si>
  <si>
    <t>2016-11-16 04</t>
  </si>
  <si>
    <t>2016-11-16 03</t>
  </si>
  <si>
    <t>2016-11-16 02</t>
  </si>
  <si>
    <t>2016-11-16 01</t>
  </si>
  <si>
    <t>2016-11-16 00</t>
  </si>
  <si>
    <t>2016-11-15 23</t>
  </si>
  <si>
    <t>2016-11-15 22</t>
  </si>
  <si>
    <t>2016-11-15 21</t>
  </si>
  <si>
    <t>2016-11-15 20</t>
  </si>
  <si>
    <t>2016-11-15 19</t>
  </si>
  <si>
    <t>2016-11-15 18</t>
  </si>
  <si>
    <t>2016-11-15 17</t>
  </si>
  <si>
    <t>2016-11-15 16</t>
  </si>
  <si>
    <t>2016-11-15 15</t>
  </si>
  <si>
    <t>2016-11-15 14</t>
  </si>
  <si>
    <t>2016-11-15 13</t>
  </si>
  <si>
    <t>2016-11-15 12</t>
  </si>
  <si>
    <t>2016-11-15 11</t>
  </si>
  <si>
    <t>2016-11-15 10</t>
  </si>
  <si>
    <t>2016-11-15 09</t>
  </si>
  <si>
    <t>2016-11-15 08</t>
  </si>
  <si>
    <t>2016-11-15 07</t>
  </si>
  <si>
    <t>2016-11-15 06</t>
  </si>
  <si>
    <t>2016-11-15 05</t>
  </si>
  <si>
    <t>2016-11-15 04</t>
  </si>
  <si>
    <t>2016-11-15 03</t>
  </si>
  <si>
    <t>2016-11-15 02</t>
  </si>
  <si>
    <t>2016-11-15 01</t>
  </si>
  <si>
    <t>2016-11-15 00</t>
  </si>
  <si>
    <t>2016-11-14 23</t>
  </si>
  <si>
    <t>2016-11-14 22</t>
  </si>
  <si>
    <t>2016-11-14 21</t>
  </si>
  <si>
    <t>2016-11-14 20</t>
  </si>
  <si>
    <t>2016-11-14 19</t>
  </si>
  <si>
    <t>2016-11-14 18</t>
  </si>
  <si>
    <t>2016-11-14 17</t>
  </si>
  <si>
    <t>2016-11-14 16</t>
  </si>
  <si>
    <t>2016-11-14 15</t>
  </si>
  <si>
    <t>2016-11-14 14</t>
  </si>
  <si>
    <t>2016-11-14 13</t>
  </si>
  <si>
    <t>2016-11-14 12</t>
  </si>
  <si>
    <t>2016-11-14 11</t>
  </si>
  <si>
    <t>2016-11-14 10</t>
  </si>
  <si>
    <t>2016-11-14 09</t>
  </si>
  <si>
    <t>2016-11-14 08</t>
  </si>
  <si>
    <t>2016-11-14 07</t>
  </si>
  <si>
    <t>2016-11-14 06</t>
  </si>
  <si>
    <t>2016-11-14 05</t>
  </si>
  <si>
    <t>2016-11-14 04</t>
  </si>
  <si>
    <t>2016-11-14 03</t>
  </si>
  <si>
    <t>2016-11-14 02</t>
  </si>
  <si>
    <t>2016-11-14 01</t>
  </si>
  <si>
    <t>2016-11-14 00</t>
  </si>
  <si>
    <t>People saw 0 cars (unique)</t>
  </si>
  <si>
    <t>People saw +1 cars (unique)</t>
  </si>
  <si>
    <t>Coverage Ratio (%)</t>
  </si>
  <si>
    <t>Hour</t>
  </si>
  <si>
    <t>Day</t>
  </si>
  <si>
    <t>Row Labels</t>
  </si>
  <si>
    <t xml:space="preserve"> 00</t>
  </si>
  <si>
    <t xml:space="preserve"> 01</t>
  </si>
  <si>
    <t xml:space="preserve"> 02</t>
  </si>
  <si>
    <t xml:space="preserve"> 03</t>
  </si>
  <si>
    <t xml:space="preserve"> 04</t>
  </si>
  <si>
    <t xml:space="preserve"> 05</t>
  </si>
  <si>
    <t xml:space="preserve"> 06</t>
  </si>
  <si>
    <t xml:space="preserve"> 07</t>
  </si>
  <si>
    <t xml:space="preserve"> 08</t>
  </si>
  <si>
    <t xml:space="preserve"> 09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</si>
  <si>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</si>
  <si>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</si>
  <si>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</si>
  <si>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</si>
  <si>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</si>
  <si>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</si>
  <si>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</si>
  <si>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</si>
  <si>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</si>
  <si>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</si>
  <si>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</si>
  <si>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</si>
  <si>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</si>
  <si>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</si>
  <si>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>Grand Total</t>
  </si>
  <si>
    <t>Date_Only</t>
  </si>
  <si>
    <t>WeekDay</t>
  </si>
  <si>
    <t>Active_Drivers</t>
  </si>
  <si>
    <t>Online(H)</t>
  </si>
  <si>
    <t>Has Booking(H)</t>
  </si>
  <si>
    <t>Finished_Rides</t>
  </si>
  <si>
    <t>Total_Demand</t>
  </si>
  <si>
    <t>Column Labels</t>
  </si>
  <si>
    <t>Sunday</t>
  </si>
  <si>
    <t>Monday</t>
  </si>
  <si>
    <t>Tuesday</t>
  </si>
  <si>
    <t>Wednesday</t>
  </si>
  <si>
    <t>Thursday</t>
  </si>
  <si>
    <t>Friday</t>
  </si>
  <si>
    <t>Saturday</t>
  </si>
  <si>
    <t>Average of Finished_Rides</t>
  </si>
  <si>
    <t>Hours</t>
  </si>
  <si>
    <t>Sum of People saw +1 cars (unique)</t>
  </si>
  <si>
    <t>Average of Coverage Ratio (%)</t>
  </si>
  <si>
    <t>Average of Online(H)</t>
  </si>
  <si>
    <t>Additional Supply Required</t>
  </si>
  <si>
    <t xml:space="preserve">2016-12-18 </t>
  </si>
  <si>
    <t xml:space="preserve">2016-12-17 </t>
  </si>
  <si>
    <t xml:space="preserve">2016-12-16 </t>
  </si>
  <si>
    <t xml:space="preserve">2016-12-15 </t>
  </si>
  <si>
    <t xml:space="preserve">2016-12-14 </t>
  </si>
  <si>
    <t xml:space="preserve">2016-12-13 </t>
  </si>
  <si>
    <t xml:space="preserve">2016-12-12 </t>
  </si>
  <si>
    <t xml:space="preserve">2016-12-11 </t>
  </si>
  <si>
    <t xml:space="preserve">2016-12-10 </t>
  </si>
  <si>
    <t xml:space="preserve">2016-12-09 </t>
  </si>
  <si>
    <t xml:space="preserve">2016-12-08 </t>
  </si>
  <si>
    <t xml:space="preserve">2016-12-07 </t>
  </si>
  <si>
    <t xml:space="preserve">2016-12-06 </t>
  </si>
  <si>
    <t xml:space="preserve">2016-12-05 </t>
  </si>
  <si>
    <t xml:space="preserve">2016-12-04 </t>
  </si>
  <si>
    <t xml:space="preserve">2016-12-03 </t>
  </si>
  <si>
    <t xml:space="preserve">2016-12-02 </t>
  </si>
  <si>
    <t xml:space="preserve">2016-12-01 </t>
  </si>
  <si>
    <t xml:space="preserve">2016-11-30 </t>
  </si>
  <si>
    <t xml:space="preserve">2016-11-29 </t>
  </si>
  <si>
    <t xml:space="preserve">2016-11-28 </t>
  </si>
  <si>
    <t xml:space="preserve">2016-11-27 </t>
  </si>
  <si>
    <t xml:space="preserve">2016-11-26 </t>
  </si>
  <si>
    <t xml:space="preserve">2016-11-25 </t>
  </si>
  <si>
    <t xml:space="preserve">2016-11-24 </t>
  </si>
  <si>
    <t xml:space="preserve">2016-11-23 </t>
  </si>
  <si>
    <t xml:space="preserve">2016-11-22 </t>
  </si>
  <si>
    <t xml:space="preserve">2016-11-21 </t>
  </si>
  <si>
    <t xml:space="preserve">2016-11-20 </t>
  </si>
  <si>
    <t xml:space="preserve">2016-11-19 </t>
  </si>
  <si>
    <t xml:space="preserve">2016-11-18 </t>
  </si>
  <si>
    <t xml:space="preserve">2016-11-17 </t>
  </si>
  <si>
    <t xml:space="preserve">2016-11-16 </t>
  </si>
  <si>
    <t xml:space="preserve">2016-11-15 </t>
  </si>
  <si>
    <t xml:space="preserve">2016-11-14 </t>
  </si>
  <si>
    <t>Total_Active_Drivers</t>
  </si>
  <si>
    <t>Total__Demand</t>
  </si>
  <si>
    <t>Day Of Week Analysis</t>
  </si>
  <si>
    <t>Average of Total_Demand</t>
  </si>
  <si>
    <t>Demand Index</t>
  </si>
  <si>
    <t>Law</t>
  </si>
  <si>
    <t>Medium</t>
  </si>
  <si>
    <t>High</t>
  </si>
  <si>
    <t>Total_Finished_Rides</t>
  </si>
  <si>
    <t>Avg. Coverage Ratio(%)</t>
  </si>
  <si>
    <t>Gap (Rides)</t>
  </si>
  <si>
    <t>PEAK VS OFF-PEAK COMPARISION</t>
  </si>
  <si>
    <t>Time Block</t>
  </si>
  <si>
    <t>Morning Rush</t>
  </si>
  <si>
    <t>Evening Peak</t>
  </si>
  <si>
    <t>Off-peak</t>
  </si>
  <si>
    <t>Overall Avg</t>
  </si>
  <si>
    <t>6-9 AM</t>
  </si>
  <si>
    <t>5-8 AM</t>
  </si>
  <si>
    <t>Rest</t>
  </si>
  <si>
    <t>All 24 Hrs</t>
  </si>
  <si>
    <t>Avg. Demand</t>
  </si>
  <si>
    <t>Avg. Finished Rides</t>
  </si>
  <si>
    <t>Avg. Supply</t>
  </si>
  <si>
    <t>Avg. Gap Rides</t>
  </si>
  <si>
    <t>KPI</t>
  </si>
  <si>
    <t>Total Finished Ride</t>
  </si>
  <si>
    <t>Total Demand</t>
  </si>
  <si>
    <t>Avg. Coverage (%)</t>
  </si>
  <si>
    <t>Avg. Ride Per Hour</t>
  </si>
  <si>
    <t>Daily Total</t>
  </si>
  <si>
    <t>Supply</t>
  </si>
  <si>
    <t>Total Demand by hour</t>
  </si>
  <si>
    <t>Total_ People saw +1 cars (unique)</t>
  </si>
  <si>
    <t>Problem : 3 Drivers incentives Estimation</t>
  </si>
  <si>
    <t>PIVOT 4 — PEAK vs OFF-PEAK COMPARISON</t>
  </si>
  <si>
    <t>Avg Demand</t>
  </si>
  <si>
    <t>Avg Supply</t>
  </si>
  <si>
    <t>Avg Coverage%</t>
  </si>
  <si>
    <t>Avg Gap Rides</t>
  </si>
  <si>
    <t>Off-Peak</t>
  </si>
  <si>
    <t>All 24 hrs</t>
  </si>
  <si>
    <t>6 - 9 AM</t>
  </si>
  <si>
    <t>5 - 8 PM</t>
  </si>
  <si>
    <t>Evening Peak (5 - 8 PM) shows significantly higher average demand (2838.75) compared to Morning Rush (6 - 9 AM) with 1464.25, indicating customer activity is strongest during evening hours.</t>
  </si>
  <si>
    <t>Implication : Prioritize driver incentives for 5 - 8 PM window.</t>
  </si>
  <si>
    <t>Statement: Evening hours (5 to 8 PM) have the highest demand, exceeding all other time blocks.</t>
  </si>
  <si>
    <t>Total_People saw +1 cars (unique)</t>
  </si>
  <si>
    <t>Statement : Day 5 means (Friday) has the highest Total demand among weekdays.</t>
  </si>
  <si>
    <t>Insights: Friday is confirmed peak weekday. Weekend surprisingly lower (Sat 161, Sun 100).</t>
  </si>
  <si>
    <t>Implication : Apply demand-based pricing / driver bonuses on Fridays.</t>
  </si>
  <si>
    <t>Days</t>
  </si>
  <si>
    <t>Statement : Morning hours (7-10 AM) and Evening Peak (6-8 PM) show the highest demand pressure, where Online Hours (Demand) exceed Finished Ride Hours (Supply), causing lower coverage ratios and indicating additional driver supply is required.</t>
  </si>
  <si>
    <t>Demand peaks at 6–7 PM (hours 18–19), averaging 92 searchers/hr — 3.5× the daytime average.</t>
  </si>
  <si>
    <t>Critical supply shortage occurs during early morning 3 AM–9 AM (coverage dips as low as 53% at 4 AM).</t>
  </si>
  <si>
    <t>Friday has the highest demand (avg 62.8 searchers) vs Sunday/Saturday which are lowest — weekdays dominate.</t>
  </si>
  <si>
    <t>Supply peaks 2 hrs AFTER demand (drivers peak at 8–9 PM, demand peaks at 6–7 PM) — a systematic lag.</t>
  </si>
  <si>
    <t>Dec 15–17 shows a demand surge (2,731 searchers on Dec 16) with coverage dropping to 55% — likely holiday effect.</t>
  </si>
  <si>
    <t>Avg RPH of 0.57 rides/hr means each driver-hour converts to less than 1 ride — utilization headroom exists.</t>
  </si>
  <si>
    <t>Estimated Required Supply(Additional driver)</t>
  </si>
  <si>
    <t>Hour 7-10</t>
  </si>
  <si>
    <t>Hour 6-8</t>
  </si>
  <si>
    <t>Total Supply</t>
  </si>
  <si>
    <t>Problem : 2 Indetify Pick hours and Additional Supply</t>
  </si>
  <si>
    <t>Value</t>
  </si>
  <si>
    <t>Unit</t>
  </si>
  <si>
    <t>%</t>
  </si>
  <si>
    <t>ratio</t>
  </si>
  <si>
    <t>Assumptions</t>
  </si>
  <si>
    <t>Drivers Earning</t>
  </si>
  <si>
    <t xml:space="preserve">Uber Revenue Share </t>
  </si>
  <si>
    <t>Avg. Ride Duration</t>
  </si>
  <si>
    <t>Unmet Demand</t>
  </si>
  <si>
    <t>Total</t>
  </si>
  <si>
    <t>Gap%</t>
  </si>
  <si>
    <t>Guaranteed Hour Incentive</t>
  </si>
  <si>
    <t>Extra Drivers - Hrs Needed</t>
  </si>
  <si>
    <t>Incentive Cost($)</t>
  </si>
  <si>
    <t>Avg. Total Demand</t>
  </si>
  <si>
    <t>Note</t>
  </si>
  <si>
    <t>Case Assumption</t>
  </si>
  <si>
    <t>Uber Driver Payout</t>
  </si>
  <si>
    <t>Uber Platform Cut</t>
  </si>
  <si>
    <t>20 Min Per Ride</t>
  </si>
  <si>
    <t xml:space="preserve">From Supply Data </t>
  </si>
  <si>
    <t>Incentive Benchmark</t>
  </si>
  <si>
    <t>No.</t>
  </si>
  <si>
    <t>A  - KEY ASSUMPTIONS</t>
  </si>
  <si>
    <t>Avg. Finished Rides(Supply)</t>
  </si>
  <si>
    <t>Gap(%)</t>
  </si>
  <si>
    <t>Extra Driver - Hrs Needed</t>
  </si>
  <si>
    <t>Avg. Finished Ride Value(Supply)</t>
  </si>
  <si>
    <t xml:space="preserve">Revnue_at_Risk </t>
  </si>
  <si>
    <t>Incentive_Cost</t>
  </si>
  <si>
    <t>Unmet_Demand</t>
  </si>
  <si>
    <t>Only 335 out of 1,158 average daily Demand get a ride - that is a 70% unmet demand rate across 24 hours. Supply is severely under-served almost all day, not just at peak hours.
The worst hours are 6 AM (81.5% gap), 7 AM (75.9%), and 8 - 9 AM (74%)  : The morning rush has the highest percentage of unmet demand, while 6 - 7 PM has the highest absolute unmet volume (65+ rides/hr).</t>
  </si>
  <si>
    <t xml:space="preserve">B - CRITICAL HOUR INCENTIVE COST ESTIMATION </t>
  </si>
  <si>
    <t>Problem : 5 Assumption and Incentives Framework</t>
  </si>
  <si>
    <t>Hour(9) Analysis</t>
  </si>
  <si>
    <t>Critical supply shortage occurs during early morning 3 AM - 9 AM (coverage dips as low as 53% at 4 AM).</t>
  </si>
  <si>
    <t>Saturday and Sunday (Weekends) has lower Demand compared to Weekdays. Friday has highest demand (Avg. 62.8).</t>
  </si>
  <si>
    <t>Daily Total(Demand vs Supply)</t>
  </si>
  <si>
    <t>Gap(Rides)</t>
  </si>
  <si>
    <t>Problem : 1 (Daily and Weekly Demand vs Supply Analysis)</t>
  </si>
  <si>
    <t>F:1</t>
  </si>
  <si>
    <t>F:2</t>
  </si>
  <si>
    <t>F:3</t>
  </si>
  <si>
    <t>F:4</t>
  </si>
  <si>
    <t>F:5</t>
  </si>
  <si>
    <t>Analysis based on 840 raw data of demand and supply (UBER) / Month - Oct-Nov 2016</t>
  </si>
  <si>
    <t>Exploratory Data Analysis - Key Finding</t>
  </si>
  <si>
    <t xml:space="preserve"> UBER SUPPLY - DEMAND MISMATCH DASHBOARD / Nov - Dec 2016</t>
  </si>
  <si>
    <t>Here, 15 to 17 December shows a demand surge (2,731 Demand on 16 December) with coverage dropping to 55% - likely holiday effect.</t>
  </si>
  <si>
    <t>(Drivers peak at 8 - 9 PM / Demand peaks at 6 - 7 PM) = Supply peaks after 2 hours of Demand.</t>
  </si>
  <si>
    <t>Critical Gap: Hours 3 to 10 AM have coverage as low as 53%. 370 additional driver  hours per day needed during morning window.</t>
  </si>
  <si>
    <t>Demand Peak : Evening 6 - 7 PM is highest avearge demand (92). Supply only peaks 2 hours later at 8 PM.</t>
  </si>
  <si>
    <t>Weekly Pattern : Fridays show highest demand. Consider "Friday Demand" driver bonuses. 15 to 17 December holiday effect.</t>
  </si>
  <si>
    <t>More Recommendations:</t>
  </si>
  <si>
    <t xml:space="preserve">Demand Evening Peak (5 - 8 PM) = Average 2839 Demand out of Total Average 1688. </t>
  </si>
  <si>
    <t>Insights: 6 - 7 PM Confirmed as absolute peak.  Evening Peak (5 - 8 PM) = Average 2839 Demand out of Total Average 1688.</t>
  </si>
  <si>
    <t>Implication : Prioritize additional driver supply and incentive planning for 7 to 10 AM and 6 to 8 PM to improve ride completion rates, increase coverage ratio, and reduce unmet customer demand.</t>
  </si>
  <si>
    <t>Summery : Coverage ratio is strongest during mid-day hours, while early morning and evening peak slots face supply shortages. The gap between demand and finished rides is highest during 7 to 10 AM and 6 to 8 PM, making these the most critical periods for driver allocation.</t>
  </si>
  <si>
    <t>₹ Per Hour</t>
  </si>
  <si>
    <t>2 : Coverage % alone is misleading. Hour 20 shows 87% coverage but still 51 unmet rides. Use Absolute Gap metric too.</t>
  </si>
  <si>
    <t>1 : Guarantee ₹9 per hour for morning shift (3 to 10 AM). Total estimated incentive cost:  ₹3337/- per day across critical hours.</t>
  </si>
  <si>
    <t>3 : Run push notifications to drivers at 4:30 PM to prompt early login before 6 PM demand begins.</t>
  </si>
  <si>
    <t>Metric Tree</t>
  </si>
  <si>
    <t>V</t>
  </si>
  <si>
    <t>Waiting for Booking hours</t>
  </si>
  <si>
    <t>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</si>
</sst>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0.0"/>
    <numFmt numFmtId="165" formatCode="0.0%"/>
  </numFmts>
  <fonts count="3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rgb="FF118AB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16213E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18AB2"/>
      </patternFill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E2E6"/>
      </patternFill>
    </fill>
    <fill>
      <patternFill patternType="solid">
        <fgColor theme="8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4" borderId="1" xfId="0" applyFill="1" applyBorder="1"/>
    <xf numFmtId="0" fontId="0" fillId="4" borderId="2" xfId="0" applyFill="1" applyBorder="1"/>
    <xf numFmtId="0" fontId="0" fillId="0" borderId="1" xfId="0" applyBorder="1"/>
    <xf numFmtId="0" fontId="4" fillId="5" borderId="4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pivotButton="1" applyAlignment="1">
      <alignment wrapText="1"/>
    </xf>
    <xf numFmtId="2" fontId="0" fillId="0" borderId="0" xfId="0" applyNumberFormat="1"/>
    <xf numFmtId="2" fontId="0" fillId="6" borderId="0" xfId="0" applyNumberFormat="1" applyFill="1"/>
    <xf numFmtId="0" fontId="0" fillId="4" borderId="3" xfId="0" applyFill="1" applyBorder="1"/>
    <xf numFmtId="0" fontId="0" fillId="0" borderId="3" xfId="0" applyBorder="1"/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164" fontId="0" fillId="0" borderId="0" xfId="0" applyNumberFormat="1"/>
    <xf numFmtId="0" fontId="4" fillId="5" borderId="4" xfId="0" applyFont="1" applyFill="1" applyBorder="1" applyAlignment="1">
      <alignment wrapText="1"/>
    </xf>
    <xf numFmtId="0" fontId="4" fillId="0" borderId="0" xfId="0" applyFont="1"/>
    <xf numFmtId="164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0" borderId="5" xfId="0" pivotButton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10" borderId="0" xfId="0" applyFill="1"/>
    <xf numFmtId="0" fontId="4" fillId="5" borderId="0" xfId="0" applyFont="1" applyFill="1"/>
    <xf numFmtId="0" fontId="12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7" borderId="0" xfId="0" applyFill="1"/>
    <xf numFmtId="0" fontId="8" fillId="7" borderId="0" xfId="0" applyFont="1" applyFill="1"/>
    <xf numFmtId="0" fontId="4" fillId="18" borderId="0" xfId="0" applyFont="1" applyFill="1"/>
    <xf numFmtId="0" fontId="4" fillId="18" borderId="0" xfId="0" applyFont="1" applyFill="1" applyAlignment="1">
      <alignment horizontal="center" vertical="center" wrapText="1"/>
    </xf>
    <xf numFmtId="0" fontId="15" fillId="10" borderId="0" xfId="0" applyFont="1" applyFill="1"/>
    <xf numFmtId="0" fontId="0" fillId="10" borderId="0" xfId="0" applyFill="1" applyAlignment="1">
      <alignment wrapText="1"/>
    </xf>
    <xf numFmtId="2" fontId="0" fillId="10" borderId="0" xfId="0" applyNumberFormat="1" applyFill="1"/>
    <xf numFmtId="2" fontId="0" fillId="10" borderId="5" xfId="0" applyNumberFormat="1" applyFill="1" applyBorder="1"/>
    <xf numFmtId="0" fontId="22" fillId="0" borderId="0" xfId="0" applyFont="1"/>
    <xf numFmtId="0" fontId="23" fillId="22" borderId="5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24" fillId="16" borderId="7" xfId="0" applyFont="1" applyFill="1" applyBorder="1" applyAlignment="1">
      <alignment horizontal="center" vertical="center"/>
    </xf>
    <xf numFmtId="0" fontId="24" fillId="16" borderId="7" xfId="0" applyFont="1" applyFill="1" applyBorder="1" applyAlignment="1">
      <alignment horizontal="left" vertical="center"/>
    </xf>
    <xf numFmtId="0" fontId="25" fillId="16" borderId="7" xfId="0" applyFont="1" applyFill="1" applyBorder="1" applyAlignment="1">
      <alignment horizontal="center" vertical="center"/>
    </xf>
    <xf numFmtId="165" fontId="0" fillId="0" borderId="0" xfId="1" applyNumberFormat="1" applyFont="1"/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10" borderId="5" xfId="0" applyFill="1" applyBorder="1" applyAlignment="1">
      <alignment horizontal="center" vertical="center"/>
    </xf>
    <xf numFmtId="8" fontId="0" fillId="10" borderId="5" xfId="0" applyNumberFormat="1" applyFill="1" applyBorder="1" applyAlignment="1">
      <alignment horizontal="center" vertical="center"/>
    </xf>
    <xf numFmtId="0" fontId="28" fillId="12" borderId="5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left" vertical="center"/>
    </xf>
    <xf numFmtId="0" fontId="0" fillId="0" borderId="0" xfId="0" pivotButton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5" fontId="0" fillId="7" borderId="5" xfId="1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1" fontId="0" fillId="8" borderId="5" xfId="0" applyNumberForma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7" fillId="7" borderId="5" xfId="0" applyFont="1" applyFill="1" applyBorder="1"/>
    <xf numFmtId="0" fontId="31" fillId="23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31" fillId="10" borderId="0" xfId="0" applyFont="1" applyFill="1" applyAlignment="1">
      <alignment vertical="top"/>
    </xf>
    <xf numFmtId="1" fontId="0" fillId="7" borderId="0" xfId="0" applyNumberFormat="1" applyFill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5" fillId="10" borderId="0" xfId="0" applyFont="1" applyFill="1" applyAlignment="1">
      <alignment vertical="center" wrapText="1"/>
    </xf>
    <xf numFmtId="0" fontId="31" fillId="23" borderId="6" xfId="0" applyFont="1" applyFill="1" applyBorder="1" applyAlignment="1">
      <alignment horizontal="left" vertical="top"/>
    </xf>
    <xf numFmtId="0" fontId="5" fillId="17" borderId="0" xfId="0" applyFont="1" applyFill="1" applyAlignment="1">
      <alignment horizontal="center" vertical="center" wrapText="1"/>
    </xf>
    <xf numFmtId="0" fontId="15" fillId="19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31" fillId="23" borderId="0" xfId="0" applyFont="1" applyFill="1" applyAlignment="1">
      <alignment horizontal="left" vertical="top"/>
    </xf>
    <xf numFmtId="0" fontId="34" fillId="17" borderId="8" xfId="0" applyFont="1" applyFill="1" applyBorder="1" applyAlignment="1">
      <alignment horizontal="left"/>
    </xf>
    <xf numFmtId="0" fontId="34" fillId="17" borderId="9" xfId="0" applyFont="1" applyFill="1" applyBorder="1" applyAlignment="1">
      <alignment horizontal="left"/>
    </xf>
    <xf numFmtId="0" fontId="34" fillId="17" borderId="10" xfId="0" applyFont="1" applyFill="1" applyBorder="1" applyAlignment="1">
      <alignment horizontal="left"/>
    </xf>
    <xf numFmtId="0" fontId="33" fillId="13" borderId="11" xfId="0" applyFont="1" applyFill="1" applyBorder="1" applyAlignment="1">
      <alignment horizontal="left"/>
    </xf>
    <xf numFmtId="0" fontId="33" fillId="13" borderId="12" xfId="0" applyFont="1" applyFill="1" applyBorder="1" applyAlignment="1">
      <alignment horizontal="left"/>
    </xf>
    <xf numFmtId="0" fontId="33" fillId="13" borderId="13" xfId="0" applyFont="1" applyFill="1" applyBorder="1" applyAlignment="1">
      <alignment horizontal="left"/>
    </xf>
    <xf numFmtId="0" fontId="33" fillId="13" borderId="16" xfId="0" applyFont="1" applyFill="1" applyBorder="1" applyAlignment="1">
      <alignment horizontal="left" wrapText="1"/>
    </xf>
    <xf numFmtId="0" fontId="33" fillId="13" borderId="0" xfId="0" applyFont="1" applyFill="1" applyAlignment="1">
      <alignment horizontal="left" wrapText="1"/>
    </xf>
    <xf numFmtId="0" fontId="33" fillId="13" borderId="17" xfId="0" applyFont="1" applyFill="1" applyBorder="1" applyAlignment="1">
      <alignment horizontal="left" wrapText="1"/>
    </xf>
    <xf numFmtId="0" fontId="33" fillId="13" borderId="14" xfId="0" applyFont="1" applyFill="1" applyBorder="1" applyAlignment="1">
      <alignment horizontal="left" wrapText="1"/>
    </xf>
    <xf numFmtId="0" fontId="33" fillId="13" borderId="6" xfId="0" applyFont="1" applyFill="1" applyBorder="1" applyAlignment="1">
      <alignment horizontal="left" wrapText="1"/>
    </xf>
    <xf numFmtId="0" fontId="33" fillId="13" borderId="15" xfId="0" applyFont="1" applyFill="1" applyBorder="1" applyAlignment="1">
      <alignment horizontal="left" wrapText="1"/>
    </xf>
    <xf numFmtId="0" fontId="5" fillId="13" borderId="11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18" fillId="13" borderId="13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15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/>
    </xf>
    <xf numFmtId="0" fontId="29" fillId="10" borderId="0" xfId="0" applyFont="1" applyFill="1" applyAlignment="1">
      <alignment horizontal="center"/>
    </xf>
    <xf numFmtId="0" fontId="16" fillId="17" borderId="5" xfId="0" applyFont="1" applyFill="1" applyBorder="1"/>
    <xf numFmtId="0" fontId="18" fillId="13" borderId="0" xfId="0" applyFont="1" applyFill="1" applyAlignment="1">
      <alignment horizontal="center"/>
    </xf>
    <xf numFmtId="0" fontId="14" fillId="20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/>
    </xf>
    <xf numFmtId="0" fontId="19" fillId="21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2" fontId="1" fillId="10" borderId="0" xfId="0" applyNumberFormat="1" applyFont="1" applyFill="1" applyAlignment="1">
      <alignment horizontal="center"/>
    </xf>
    <xf numFmtId="0" fontId="17" fillId="20" borderId="0" xfId="0" applyFont="1" applyFill="1" applyAlignment="1">
      <alignment horizontal="center" vertical="center"/>
    </xf>
    <xf numFmtId="2" fontId="17" fillId="20" borderId="0" xfId="0" applyNumberFormat="1" applyFont="1" applyFill="1" applyAlignment="1">
      <alignment horizontal="center" vertical="center"/>
    </xf>
    <xf numFmtId="0" fontId="15" fillId="19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0" fillId="10" borderId="5" xfId="0" applyFill="1" applyBorder="1" applyAlignment="1">
      <alignment horizontal="center" vertical="center"/>
    </xf>
    <xf numFmtId="0" fontId="30" fillId="15" borderId="0" xfId="0" applyFont="1" applyFill="1" applyAlignment="1">
      <alignment horizontal="left" vertical="center"/>
    </xf>
    <xf numFmtId="0" fontId="22" fillId="0" borderId="0" xfId="0" applyFont="1"/>
    <xf numFmtId="0" fontId="28" fillId="12" borderId="5" xfId="0" applyFont="1" applyFill="1" applyBorder="1" applyAlignment="1">
      <alignment horizontal="center" vertical="center"/>
    </xf>
    <xf numFmtId="0" fontId="28" fillId="21" borderId="0" xfId="0" applyFont="1" applyFill="1" applyAlignment="1">
      <alignment horizontal="left" vertical="center" wrapText="1"/>
    </xf>
    <xf numFmtId="0" fontId="30" fillId="15" borderId="8" xfId="0" applyFont="1" applyFill="1" applyBorder="1" applyAlignment="1">
      <alignment horizontal="left" vertical="center"/>
    </xf>
    <xf numFmtId="0" fontId="30" fillId="15" borderId="9" xfId="0" applyFont="1" applyFill="1" applyBorder="1" applyAlignment="1">
      <alignment horizontal="left" vertical="center"/>
    </xf>
    <xf numFmtId="0" fontId="30" fillId="15" borderId="10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0" fillId="7" borderId="5" xfId="0" applyFill="1" applyBorder="1"/>
    <xf numFmtId="0" fontId="5" fillId="9" borderId="0" xfId="0" applyFont="1" applyFill="1" applyAlignment="1">
      <alignment horizontal="left"/>
    </xf>
    <xf numFmtId="0" fontId="5" fillId="9" borderId="6" xfId="0" applyFont="1" applyFill="1" applyBorder="1" applyAlignment="1">
      <alignment horizontal="left"/>
    </xf>
    <xf numFmtId="0" fontId="9" fillId="14" borderId="0" xfId="0" applyFont="1" applyFill="1" applyAlignment="1">
      <alignment horizontal="left" vertical="center"/>
    </xf>
    <xf numFmtId="0" fontId="0" fillId="0" borderId="0" xfId="0"/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0" fillId="0" borderId="0" xfId="0" applyNumberFormat="1"/>
    <xf numFmtId="0" fontId="35" fillId="10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 vertical="center"/>
    </xf>
    <xf numFmtId="0" fontId="17" fillId="10" borderId="0" xfId="0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117">
    <dxf>
      <numFmt numFmtId="0" formatCode="General"/>
    </dxf>
    <dxf>
      <alignment wrapText="1"/>
    </dxf>
    <dxf>
      <alignment wrapText="1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0.0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0.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64" formatCode="0.0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0.0"/>
    </dxf>
  </dxfs>
  <tableStyles count="0" defaultTableStyle="TableStyleMedium2" defaultPivotStyle="PivotStyleLight16"/>
  <colors>
    <mruColors>
      <color rgb="FFF794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MINE.xlsx]Metrics!PivotTable37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Metrics!$B$63</c:f>
              <c:strCache>
                <c:ptCount val="1"/>
                <c:pt idx="0">
                  <c:v>Average of Finished_Rides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Metrics!$A$64:$A$88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Metrics!$B$64:$B$88</c:f>
              <c:numCache>
                <c:formatCode>0.0</c:formatCode>
                <c:ptCount val="24"/>
                <c:pt idx="0">
                  <c:v>19.685714285714287</c:v>
                </c:pt>
                <c:pt idx="1">
                  <c:v>12.885714285714286</c:v>
                </c:pt>
                <c:pt idx="2">
                  <c:v>9.257142857142858</c:v>
                </c:pt>
                <c:pt idx="3">
                  <c:v>8.0285714285714285</c:v>
                </c:pt>
                <c:pt idx="4">
                  <c:v>6.2857142857142856</c:v>
                </c:pt>
                <c:pt idx="5">
                  <c:v>2.9705882352941178</c:v>
                </c:pt>
                <c:pt idx="6">
                  <c:v>1.8857142857142857</c:v>
                </c:pt>
                <c:pt idx="7">
                  <c:v>6.8</c:v>
                </c:pt>
                <c:pt idx="8">
                  <c:v>14.685714285714285</c:v>
                </c:pt>
                <c:pt idx="9">
                  <c:v>20.171428571428571</c:v>
                </c:pt>
                <c:pt idx="10">
                  <c:v>12.571428571428571</c:v>
                </c:pt>
                <c:pt idx="11">
                  <c:v>8.6</c:v>
                </c:pt>
                <c:pt idx="12">
                  <c:v>8.5428571428571427</c:v>
                </c:pt>
                <c:pt idx="13">
                  <c:v>8.5714285714285712</c:v>
                </c:pt>
                <c:pt idx="14">
                  <c:v>8.5142857142857142</c:v>
                </c:pt>
                <c:pt idx="15">
                  <c:v>9.0857142857142854</c:v>
                </c:pt>
                <c:pt idx="16">
                  <c:v>11.971428571428572</c:v>
                </c:pt>
                <c:pt idx="17">
                  <c:v>18.828571428571429</c:v>
                </c:pt>
                <c:pt idx="18">
                  <c:v>26.6</c:v>
                </c:pt>
                <c:pt idx="19">
                  <c:v>27.6</c:v>
                </c:pt>
                <c:pt idx="20">
                  <c:v>23.657142857142858</c:v>
                </c:pt>
                <c:pt idx="21">
                  <c:v>23.342857142857142</c:v>
                </c:pt>
                <c:pt idx="22">
                  <c:v>22</c:v>
                </c:pt>
                <c:pt idx="23">
                  <c:v>22.914285714285715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E-4B57-B11B-657BEAFF63CD}"/>
            </c:ext>
          </c:extLst>
        </c:ser>
        <c:ser>
          <c:idx val="1"/>
          <c:order val="1"/>
          <c:tx>
            <c:strRef>
              <c:f>Metrics!$C$63</c:f>
              <c:strCache>
                <c:ptCount val="1"/>
                <c:pt idx="0">
                  <c:v>Average of Total_Demand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Metrics!$A$64:$A$88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Metrics!$C$64:$C$88</c:f>
              <c:numCache>
                <c:formatCode>0.0</c:formatCode>
                <c:ptCount val="24"/>
                <c:pt idx="0">
                  <c:v>54.057142857142857</c:v>
                </c:pt>
                <c:pt idx="1">
                  <c:v>37.771428571428572</c:v>
                </c:pt>
                <c:pt idx="2">
                  <c:v>30.342857142857142</c:v>
                </c:pt>
                <c:pt idx="3">
                  <c:v>30.62857142857143</c:v>
                </c:pt>
                <c:pt idx="4">
                  <c:v>25.828571428571429</c:v>
                </c:pt>
                <c:pt idx="5">
                  <c:v>11.588235294117647</c:v>
                </c:pt>
                <c:pt idx="6">
                  <c:v>10.171428571428571</c:v>
                </c:pt>
                <c:pt idx="7">
                  <c:v>28.257142857142856</c:v>
                </c:pt>
                <c:pt idx="8">
                  <c:v>57.4</c:v>
                </c:pt>
                <c:pt idx="9">
                  <c:v>71.51428571428572</c:v>
                </c:pt>
                <c:pt idx="10">
                  <c:v>49.371428571428574</c:v>
                </c:pt>
                <c:pt idx="11">
                  <c:v>37.342857142857142</c:v>
                </c:pt>
                <c:pt idx="12">
                  <c:v>38.114285714285714</c:v>
                </c:pt>
                <c:pt idx="13">
                  <c:v>38.657142857142858</c:v>
                </c:pt>
                <c:pt idx="14">
                  <c:v>38.799999999999997</c:v>
                </c:pt>
                <c:pt idx="15">
                  <c:v>40.342857142857142</c:v>
                </c:pt>
                <c:pt idx="16">
                  <c:v>46.114285714285714</c:v>
                </c:pt>
                <c:pt idx="17">
                  <c:v>66.057142857142864</c:v>
                </c:pt>
                <c:pt idx="18">
                  <c:v>92.228571428571428</c:v>
                </c:pt>
                <c:pt idx="19">
                  <c:v>91.571428571428569</c:v>
                </c:pt>
                <c:pt idx="20">
                  <c:v>74.571428571428569</c:v>
                </c:pt>
                <c:pt idx="21">
                  <c:v>63.971428571428568</c:v>
                </c:pt>
                <c:pt idx="22">
                  <c:v>62.314285714285717</c:v>
                </c:pt>
                <c:pt idx="23">
                  <c:v>60.714285714285715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E-4B57-B11B-657BEAFF6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084479"/>
        <c:axId val="1842081599"/>
      </c:lineChart>
      <c:catAx>
        <c:axId val="18420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81599"/>
        <c:crosses val="autoZero"/>
        <c:auto val="1"/>
        <c:lblAlgn val="ctr"/>
        <c:lblOffset val="100"/>
        <c:noMultiLvlLbl val="0"/>
      </c:catAx>
      <c:valAx>
        <c:axId val="18420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8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MINE.xlsx]Metrics!PivotTable41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Metrics!$A$92:$A$116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Metrics!$B$92:$B$116</c:f>
              <c:numCache>
                <c:formatCode>0.0</c:formatCode>
                <c:ptCount val="24"/>
                <c:pt idx="0">
                  <c:v>84.942857142857136</c:v>
                </c:pt>
                <c:pt idx="1">
                  <c:v>80.400000000000006</c:v>
                </c:pt>
                <c:pt idx="2">
                  <c:v>76.171428571428578</c:v>
                </c:pt>
                <c:pt idx="3">
                  <c:v>63.628571428571426</c:v>
                </c:pt>
                <c:pt idx="4">
                  <c:v>53.428571428571431</c:v>
                </c:pt>
                <c:pt idx="5">
                  <c:v>66.32352941176471</c:v>
                </c:pt>
                <c:pt idx="6">
                  <c:v>58.914285714285711</c:v>
                </c:pt>
                <c:pt idx="7">
                  <c:v>58</c:v>
                </c:pt>
                <c:pt idx="8">
                  <c:v>59.885714285714286</c:v>
                </c:pt>
                <c:pt idx="9">
                  <c:v>64.971428571428575</c:v>
                </c:pt>
                <c:pt idx="10">
                  <c:v>75.257142857142853</c:v>
                </c:pt>
                <c:pt idx="11">
                  <c:v>80.057142857142864</c:v>
                </c:pt>
                <c:pt idx="12">
                  <c:v>80</c:v>
                </c:pt>
                <c:pt idx="13">
                  <c:v>78.400000000000006</c:v>
                </c:pt>
                <c:pt idx="14">
                  <c:v>79.971428571428575</c:v>
                </c:pt>
                <c:pt idx="15">
                  <c:v>80.828571428571422</c:v>
                </c:pt>
                <c:pt idx="16">
                  <c:v>81.599999999999994</c:v>
                </c:pt>
                <c:pt idx="17">
                  <c:v>84.114285714285714</c:v>
                </c:pt>
                <c:pt idx="18">
                  <c:v>77.599999999999994</c:v>
                </c:pt>
                <c:pt idx="19">
                  <c:v>80.657142857142858</c:v>
                </c:pt>
                <c:pt idx="20">
                  <c:v>86.8</c:v>
                </c:pt>
                <c:pt idx="21">
                  <c:v>88.542857142857144</c:v>
                </c:pt>
                <c:pt idx="22">
                  <c:v>88.2</c:v>
                </c:pt>
                <c:pt idx="23">
                  <c:v>86.914285714285711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9-4854-A7C5-77287CE5A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113759"/>
        <c:axId val="1842114239"/>
      </c:barChart>
      <c:catAx>
        <c:axId val="184211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14239"/>
        <c:crosses val="autoZero"/>
        <c:auto val="1"/>
        <c:lblAlgn val="ctr"/>
        <c:lblOffset val="100"/>
        <c:noMultiLvlLbl val="0"/>
      </c:catAx>
      <c:valAx>
        <c:axId val="184211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MINE.xlsx]Metrics!PivotTable23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Metrics!$I$43</c:f>
              <c:strCache>
                <c:ptCount val="1"/>
                <c:pt idx="0">
                  <c:v>Total_Finished_Rides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Metrics!$H$44:$H$78</c:f>
              <c:strCache>
                <c:ptCount val="35"/>
                <c:pt idx="0">
                  <c:v>2016-11-14 </c:v>
                </c:pt>
                <c:pt idx="1">
                  <c:v>2016-11-15 </c:v>
                </c:pt>
                <c:pt idx="2">
                  <c:v>2016-11-16 </c:v>
                </c:pt>
                <c:pt idx="3">
                  <c:v>2016-11-17 </c:v>
                </c:pt>
                <c:pt idx="4">
                  <c:v>2016-11-18 </c:v>
                </c:pt>
                <c:pt idx="5">
                  <c:v>2016-11-19 </c:v>
                </c:pt>
                <c:pt idx="6">
                  <c:v>2016-11-20 </c:v>
                </c:pt>
                <c:pt idx="7">
                  <c:v>2016-11-21 </c:v>
                </c:pt>
                <c:pt idx="8">
                  <c:v>2016-11-22 </c:v>
                </c:pt>
                <c:pt idx="9">
                  <c:v>2016-11-23 </c:v>
                </c:pt>
                <c:pt idx="10">
                  <c:v>2016-11-24 </c:v>
                </c:pt>
                <c:pt idx="11">
                  <c:v>2016-11-25 </c:v>
                </c:pt>
                <c:pt idx="12">
                  <c:v>2016-11-26 </c:v>
                </c:pt>
                <c:pt idx="13">
                  <c:v>2016-11-27 </c:v>
                </c:pt>
                <c:pt idx="14">
                  <c:v>2016-11-28 </c:v>
                </c:pt>
                <c:pt idx="15">
                  <c:v>2016-11-29 </c:v>
                </c:pt>
                <c:pt idx="16">
                  <c:v>2016-11-30 </c:v>
                </c:pt>
                <c:pt idx="17">
                  <c:v>2016-12-01 </c:v>
                </c:pt>
                <c:pt idx="18">
                  <c:v>2016-12-02 </c:v>
                </c:pt>
                <c:pt idx="19">
                  <c:v>2016-12-03 </c:v>
                </c:pt>
                <c:pt idx="20">
                  <c:v>2016-12-04 </c:v>
                </c:pt>
                <c:pt idx="21">
                  <c:v>2016-12-05 </c:v>
                </c:pt>
                <c:pt idx="22">
                  <c:v>2016-12-06 </c:v>
                </c:pt>
                <c:pt idx="23">
                  <c:v>2016-12-07 </c:v>
                </c:pt>
                <c:pt idx="24">
                  <c:v>2016-12-08 </c:v>
                </c:pt>
                <c:pt idx="25">
                  <c:v>2016-12-09 </c:v>
                </c:pt>
                <c:pt idx="26">
                  <c:v>2016-12-10 </c:v>
                </c:pt>
                <c:pt idx="27">
                  <c:v>2016-12-11 </c:v>
                </c:pt>
                <c:pt idx="28">
                  <c:v>2016-12-12 </c:v>
                </c:pt>
                <c:pt idx="29">
                  <c:v>2016-12-13 </c:v>
                </c:pt>
                <c:pt idx="30">
                  <c:v>2016-12-14 </c:v>
                </c:pt>
                <c:pt idx="31">
                  <c:v>2016-12-15 </c:v>
                </c:pt>
                <c:pt idx="32">
                  <c:v>2016-12-16 </c:v>
                </c:pt>
                <c:pt idx="33">
                  <c:v>2016-12-17 </c:v>
                </c:pt>
                <c:pt idx="34">
                  <c:v>2016-12-18 </c:v>
                </c:pt>
              </c:strCache>
            </c:strRef>
          </c:cat>
          <c:val>
            <c:numRef>
              <c:f>Metrics!$I$44:$I$78</c:f>
              <c:numCache>
                <c:formatCode>General</c:formatCode>
                <c:ptCount val="35"/>
                <c:pt idx="0">
                  <c:v>231</c:v>
                </c:pt>
                <c:pt idx="1">
                  <c:v>259</c:v>
                </c:pt>
                <c:pt idx="2">
                  <c:v>327</c:v>
                </c:pt>
                <c:pt idx="3">
                  <c:v>345</c:v>
                </c:pt>
                <c:pt idx="4">
                  <c:v>375</c:v>
                </c:pt>
                <c:pt idx="5">
                  <c:v>289</c:v>
                </c:pt>
                <c:pt idx="6">
                  <c:v>245</c:v>
                </c:pt>
                <c:pt idx="7">
                  <c:v>222</c:v>
                </c:pt>
                <c:pt idx="8">
                  <c:v>224</c:v>
                </c:pt>
                <c:pt idx="9">
                  <c:v>329</c:v>
                </c:pt>
                <c:pt idx="10">
                  <c:v>340</c:v>
                </c:pt>
                <c:pt idx="11">
                  <c:v>370</c:v>
                </c:pt>
                <c:pt idx="12">
                  <c:v>313</c:v>
                </c:pt>
                <c:pt idx="13">
                  <c:v>318</c:v>
                </c:pt>
                <c:pt idx="14">
                  <c:v>267</c:v>
                </c:pt>
                <c:pt idx="15">
                  <c:v>413</c:v>
                </c:pt>
                <c:pt idx="16">
                  <c:v>280</c:v>
                </c:pt>
                <c:pt idx="17">
                  <c:v>235</c:v>
                </c:pt>
                <c:pt idx="18">
                  <c:v>202</c:v>
                </c:pt>
                <c:pt idx="19">
                  <c:v>161</c:v>
                </c:pt>
                <c:pt idx="20">
                  <c:v>242</c:v>
                </c:pt>
                <c:pt idx="21">
                  <c:v>287</c:v>
                </c:pt>
                <c:pt idx="22">
                  <c:v>307</c:v>
                </c:pt>
                <c:pt idx="23">
                  <c:v>321</c:v>
                </c:pt>
                <c:pt idx="24">
                  <c:v>447</c:v>
                </c:pt>
                <c:pt idx="25">
                  <c:v>512</c:v>
                </c:pt>
                <c:pt idx="26">
                  <c:v>442</c:v>
                </c:pt>
                <c:pt idx="27">
                  <c:v>377</c:v>
                </c:pt>
                <c:pt idx="28">
                  <c:v>266</c:v>
                </c:pt>
                <c:pt idx="29">
                  <c:v>353</c:v>
                </c:pt>
                <c:pt idx="30">
                  <c:v>398</c:v>
                </c:pt>
                <c:pt idx="31">
                  <c:v>514</c:v>
                </c:pt>
                <c:pt idx="32">
                  <c:v>545</c:v>
                </c:pt>
                <c:pt idx="33">
                  <c:v>562</c:v>
                </c:pt>
                <c:pt idx="34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2-4E08-9293-85F5648E5F12}"/>
            </c:ext>
          </c:extLst>
        </c:ser>
        <c:ser>
          <c:idx val="1"/>
          <c:order val="1"/>
          <c:tx>
            <c:strRef>
              <c:f>Metrics!$J$43</c:f>
              <c:strCache>
                <c:ptCount val="1"/>
                <c:pt idx="0">
                  <c:v>Total__Demand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Metrics!$H$44:$H$78</c:f>
              <c:strCache>
                <c:ptCount val="35"/>
                <c:pt idx="0">
                  <c:v>2016-11-14 </c:v>
                </c:pt>
                <c:pt idx="1">
                  <c:v>2016-11-15 </c:v>
                </c:pt>
                <c:pt idx="2">
                  <c:v>2016-11-16 </c:v>
                </c:pt>
                <c:pt idx="3">
                  <c:v>2016-11-17 </c:v>
                </c:pt>
                <c:pt idx="4">
                  <c:v>2016-11-18 </c:v>
                </c:pt>
                <c:pt idx="5">
                  <c:v>2016-11-19 </c:v>
                </c:pt>
                <c:pt idx="6">
                  <c:v>2016-11-20 </c:v>
                </c:pt>
                <c:pt idx="7">
                  <c:v>2016-11-21 </c:v>
                </c:pt>
                <c:pt idx="8">
                  <c:v>2016-11-22 </c:v>
                </c:pt>
                <c:pt idx="9">
                  <c:v>2016-11-23 </c:v>
                </c:pt>
                <c:pt idx="10">
                  <c:v>2016-11-24 </c:v>
                </c:pt>
                <c:pt idx="11">
                  <c:v>2016-11-25 </c:v>
                </c:pt>
                <c:pt idx="12">
                  <c:v>2016-11-26 </c:v>
                </c:pt>
                <c:pt idx="13">
                  <c:v>2016-11-27 </c:v>
                </c:pt>
                <c:pt idx="14">
                  <c:v>2016-11-28 </c:v>
                </c:pt>
                <c:pt idx="15">
                  <c:v>2016-11-29 </c:v>
                </c:pt>
                <c:pt idx="16">
                  <c:v>2016-11-30 </c:v>
                </c:pt>
                <c:pt idx="17">
                  <c:v>2016-12-01 </c:v>
                </c:pt>
                <c:pt idx="18">
                  <c:v>2016-12-02 </c:v>
                </c:pt>
                <c:pt idx="19">
                  <c:v>2016-12-03 </c:v>
                </c:pt>
                <c:pt idx="20">
                  <c:v>2016-12-04 </c:v>
                </c:pt>
                <c:pt idx="21">
                  <c:v>2016-12-05 </c:v>
                </c:pt>
                <c:pt idx="22">
                  <c:v>2016-12-06 </c:v>
                </c:pt>
                <c:pt idx="23">
                  <c:v>2016-12-07 </c:v>
                </c:pt>
                <c:pt idx="24">
                  <c:v>2016-12-08 </c:v>
                </c:pt>
                <c:pt idx="25">
                  <c:v>2016-12-09 </c:v>
                </c:pt>
                <c:pt idx="26">
                  <c:v>2016-12-10 </c:v>
                </c:pt>
                <c:pt idx="27">
                  <c:v>2016-12-11 </c:v>
                </c:pt>
                <c:pt idx="28">
                  <c:v>2016-12-12 </c:v>
                </c:pt>
                <c:pt idx="29">
                  <c:v>2016-12-13 </c:v>
                </c:pt>
                <c:pt idx="30">
                  <c:v>2016-12-14 </c:v>
                </c:pt>
                <c:pt idx="31">
                  <c:v>2016-12-15 </c:v>
                </c:pt>
                <c:pt idx="32">
                  <c:v>2016-12-16 </c:v>
                </c:pt>
                <c:pt idx="33">
                  <c:v>2016-12-17 </c:v>
                </c:pt>
                <c:pt idx="34">
                  <c:v>2016-12-18 </c:v>
                </c:pt>
              </c:strCache>
            </c:strRef>
          </c:cat>
          <c:val>
            <c:numRef>
              <c:f>Metrics!$J$44:$J$78</c:f>
              <c:numCache>
                <c:formatCode>General</c:formatCode>
                <c:ptCount val="35"/>
                <c:pt idx="0">
                  <c:v>832</c:v>
                </c:pt>
                <c:pt idx="1">
                  <c:v>954</c:v>
                </c:pt>
                <c:pt idx="2">
                  <c:v>1063</c:v>
                </c:pt>
                <c:pt idx="3">
                  <c:v>1300</c:v>
                </c:pt>
                <c:pt idx="4">
                  <c:v>1200</c:v>
                </c:pt>
                <c:pt idx="5">
                  <c:v>924</c:v>
                </c:pt>
                <c:pt idx="6">
                  <c:v>760</c:v>
                </c:pt>
                <c:pt idx="7">
                  <c:v>775</c:v>
                </c:pt>
                <c:pt idx="8">
                  <c:v>727</c:v>
                </c:pt>
                <c:pt idx="9">
                  <c:v>1111</c:v>
                </c:pt>
                <c:pt idx="10">
                  <c:v>1136</c:v>
                </c:pt>
                <c:pt idx="11">
                  <c:v>1239</c:v>
                </c:pt>
                <c:pt idx="12">
                  <c:v>903</c:v>
                </c:pt>
                <c:pt idx="13">
                  <c:v>905</c:v>
                </c:pt>
                <c:pt idx="14">
                  <c:v>876</c:v>
                </c:pt>
                <c:pt idx="15">
                  <c:v>1332</c:v>
                </c:pt>
                <c:pt idx="16">
                  <c:v>959</c:v>
                </c:pt>
                <c:pt idx="17">
                  <c:v>839</c:v>
                </c:pt>
                <c:pt idx="18">
                  <c:v>656</c:v>
                </c:pt>
                <c:pt idx="19">
                  <c:v>547</c:v>
                </c:pt>
                <c:pt idx="20">
                  <c:v>854</c:v>
                </c:pt>
                <c:pt idx="21">
                  <c:v>1047</c:v>
                </c:pt>
                <c:pt idx="22">
                  <c:v>1034</c:v>
                </c:pt>
                <c:pt idx="23">
                  <c:v>1127</c:v>
                </c:pt>
                <c:pt idx="24">
                  <c:v>1350</c:v>
                </c:pt>
                <c:pt idx="25">
                  <c:v>1709</c:v>
                </c:pt>
                <c:pt idx="26">
                  <c:v>1395</c:v>
                </c:pt>
                <c:pt idx="27">
                  <c:v>1258</c:v>
                </c:pt>
                <c:pt idx="28">
                  <c:v>926</c:v>
                </c:pt>
                <c:pt idx="29">
                  <c:v>1256</c:v>
                </c:pt>
                <c:pt idx="30">
                  <c:v>1474</c:v>
                </c:pt>
                <c:pt idx="31">
                  <c:v>1847</c:v>
                </c:pt>
                <c:pt idx="32">
                  <c:v>2731</c:v>
                </c:pt>
                <c:pt idx="33">
                  <c:v>2125</c:v>
                </c:pt>
                <c:pt idx="34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2-4E08-9293-85F5648E5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615199"/>
        <c:axId val="1400613759"/>
      </c:lineChart>
      <c:catAx>
        <c:axId val="14006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3759"/>
        <c:crosses val="autoZero"/>
        <c:auto val="1"/>
        <c:lblAlgn val="ctr"/>
        <c:lblOffset val="100"/>
        <c:noMultiLvlLbl val="0"/>
      </c:catAx>
      <c:valAx>
        <c:axId val="1400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</a:t>
            </a:r>
            <a:r>
              <a:rPr lang="en-IN" baseline="0"/>
              <a:t> of Week - Demand vs Supply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Metrics!$O$63</c:f>
              <c:strCache>
                <c:ptCount val="1"/>
              </c:strCache>
            </c:strRef>
          </c:tx>
          <c:invertIfNegative val="0"/>
          <c:cat>
            <c:numRef>
              <c:f>Metrics!$N$64:$N$70</c:f>
              <c:numCache>
                <c:formatCode>General</c:formatCode>
                <c:ptCount val="7"/>
              </c:numCache>
            </c:numRef>
          </c:cat>
          <c:val>
            <c:numRef>
              <c:f>Metrics!$O$64:$O$70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C268-4C51-84E1-9ED836300DCF}"/>
            </c:ext>
          </c:extLst>
        </c:ser>
        <c:ser>
          <c:idx val="3"/>
          <c:order val="1"/>
          <c:tx>
            <c:strRef>
              <c:f>Metrics!$P$63</c:f>
              <c:strCache>
                <c:ptCount val="1"/>
              </c:strCache>
            </c:strRef>
          </c:tx>
          <c:invertIfNegative val="0"/>
          <c:cat>
            <c:numRef>
              <c:f>Metrics!$N$64:$N$70</c:f>
              <c:numCache>
                <c:formatCode>General</c:formatCode>
                <c:ptCount val="7"/>
              </c:numCache>
            </c:numRef>
          </c:cat>
          <c:val>
            <c:numRef>
              <c:f>Metrics!$P$64:$P$70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7-C268-4C51-84E1-9ED836300DCF}"/>
            </c:ext>
          </c:extLst>
        </c:ser>
        <c:ser>
          <c:idx val="0"/>
          <c:order val="2"/>
          <c:tx>
            <c:strRef>
              <c:f>Metrics!$L$5</c:f>
              <c:strCache>
                <c:ptCount val="1"/>
                <c:pt idx="0">
                  <c:v>Average of Finished_Rides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Metrics!$K$6:$K$12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Metrics!$L$6:$L$12</c:f>
              <c:numCache>
                <c:formatCode>0.0</c:formatCode>
                <c:ptCount val="7"/>
                <c:pt idx="0">
                  <c:v>10.608333333333333</c:v>
                </c:pt>
                <c:pt idx="1">
                  <c:v>12.966666666666667</c:v>
                </c:pt>
                <c:pt idx="2">
                  <c:v>13.907563025210084</c:v>
                </c:pt>
                <c:pt idx="3">
                  <c:v>15.675000000000001</c:v>
                </c:pt>
                <c:pt idx="4">
                  <c:v>16.7</c:v>
                </c:pt>
                <c:pt idx="5">
                  <c:v>14.725</c:v>
                </c:pt>
                <c:pt idx="6">
                  <c:v>13.35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68-4C51-84E1-9ED836300DCF}"/>
            </c:ext>
          </c:extLst>
        </c:ser>
        <c:ser>
          <c:idx val="1"/>
          <c:order val="3"/>
          <c:tx>
            <c:strRef>
              <c:f>Metrics!$M$5</c:f>
              <c:strCache>
                <c:ptCount val="1"/>
                <c:pt idx="0">
                  <c:v>Average of Total_Demand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Metrics!$K$6:$K$12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Metrics!$M$6:$M$12</c:f>
              <c:numCache>
                <c:formatCode>0.0</c:formatCode>
                <c:ptCount val="7"/>
                <c:pt idx="0">
                  <c:v>37.133333333333333</c:v>
                </c:pt>
                <c:pt idx="1">
                  <c:v>44.19166666666667</c:v>
                </c:pt>
                <c:pt idx="2">
                  <c:v>48.184873949579831</c:v>
                </c:pt>
                <c:pt idx="3">
                  <c:v>53.93333333333333</c:v>
                </c:pt>
                <c:pt idx="4">
                  <c:v>62.791666666666664</c:v>
                </c:pt>
                <c:pt idx="5">
                  <c:v>49.116666666666667</c:v>
                </c:pt>
                <c:pt idx="6">
                  <c:v>42.625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8-4C51-84E1-9ED836300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982239"/>
        <c:axId val="1841982719"/>
      </c:barChart>
      <c:catAx>
        <c:axId val="184198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82719"/>
        <c:crosses val="autoZero"/>
        <c:auto val="1"/>
        <c:lblAlgn val="ctr"/>
        <c:lblOffset val="100"/>
        <c:noMultiLvlLbl val="0"/>
      </c:catAx>
      <c:valAx>
        <c:axId val="18419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822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MINE.xlsx]9 hour Analysis!PivotTable17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'9 hour Analysis'!$S$4</c:f>
              <c:strCache>
                <c:ptCount val="1"/>
                <c:pt idx="0">
                  <c:v>Sum of People saw +1 cars (unique)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hour Analysis'!$R$5:$R$12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'9 hour Analysis'!$S$5:$S$12</c:f>
              <c:numCache>
                <c:formatCode>General</c:formatCode>
                <c:ptCount val="7"/>
                <c:pt idx="0">
                  <c:v>252</c:v>
                </c:pt>
                <c:pt idx="1">
                  <c:v>281</c:v>
                </c:pt>
                <c:pt idx="2">
                  <c:v>282</c:v>
                </c:pt>
                <c:pt idx="3">
                  <c:v>271</c:v>
                </c:pt>
                <c:pt idx="4">
                  <c:v>283</c:v>
                </c:pt>
                <c:pt idx="5">
                  <c:v>92</c:v>
                </c:pt>
                <c:pt idx="6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1-46AA-A181-CB9FFB615ACF}"/>
            </c:ext>
          </c:extLst>
        </c:ser>
        <c:ser>
          <c:idx val="1"/>
          <c:order val="1"/>
          <c:tx>
            <c:strRef>
              <c:f>'9 hour Analysis'!$T$4</c:f>
              <c:strCache>
                <c:ptCount val="1"/>
                <c:pt idx="0">
                  <c:v>Total_Active_Drivers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 hour Analysis'!$R$5:$R$12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'9 hour Analysis'!$T$5:$T$12</c:f>
              <c:numCache>
                <c:formatCode>General</c:formatCode>
                <c:ptCount val="7"/>
                <c:pt idx="0">
                  <c:v>316</c:v>
                </c:pt>
                <c:pt idx="1">
                  <c:v>346</c:v>
                </c:pt>
                <c:pt idx="2">
                  <c:v>359</c:v>
                </c:pt>
                <c:pt idx="3">
                  <c:v>325</c:v>
                </c:pt>
                <c:pt idx="4">
                  <c:v>305</c:v>
                </c:pt>
                <c:pt idx="5">
                  <c:v>193</c:v>
                </c:pt>
                <c:pt idx="6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1-46AA-A181-CB9FFB615ACF}"/>
            </c:ext>
          </c:extLst>
        </c:ser>
        <c:ser>
          <c:idx val="2"/>
          <c:order val="2"/>
          <c:tx>
            <c:strRef>
              <c:f>'9 hour Analysis'!$U$4</c:f>
              <c:strCache>
                <c:ptCount val="1"/>
                <c:pt idx="0">
                  <c:v>Total__Demand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'9 hour Analysis'!$R$5:$R$12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'9 hour Analysis'!$U$5:$U$12</c:f>
              <c:numCache>
                <c:formatCode>General</c:formatCode>
                <c:ptCount val="7"/>
                <c:pt idx="0">
                  <c:v>420</c:v>
                </c:pt>
                <c:pt idx="1">
                  <c:v>464</c:v>
                </c:pt>
                <c:pt idx="2">
                  <c:v>444</c:v>
                </c:pt>
                <c:pt idx="3">
                  <c:v>403</c:v>
                </c:pt>
                <c:pt idx="4">
                  <c:v>511</c:v>
                </c:pt>
                <c:pt idx="5">
                  <c:v>161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1-46AA-A181-CB9FFB615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621439"/>
        <c:axId val="1400618559"/>
      </c:lineChart>
      <c:catAx>
        <c:axId val="140062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8559"/>
        <c:crosses val="autoZero"/>
        <c:auto val="1"/>
        <c:lblAlgn val="ctr"/>
        <c:lblOffset val="100"/>
        <c:noMultiLvlLbl val="0"/>
      </c:catAx>
      <c:valAx>
        <c:axId val="14006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MINE.xlsx]Metrics!PivotTable23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35725649016626E-2"/>
          <c:y val="0.12705683201065079"/>
          <c:w val="0.82866924617214432"/>
          <c:h val="0.57152789334636955"/>
        </c:manualLayout>
      </c:layout>
      <c:lineChart>
        <c:grouping val="standard"/>
        <c:varyColors val="0"/>
        <c:ser>
          <c:idx val="0"/>
          <c:order val="0"/>
          <c:tx>
            <c:strRef>
              <c:f>Metrics!$I$43</c:f>
              <c:strCache>
                <c:ptCount val="1"/>
                <c:pt idx="0">
                  <c:v>Total_Finished_Rides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Metrics!$H$44:$H$78</c:f>
              <c:strCache>
                <c:ptCount val="35"/>
                <c:pt idx="0">
                  <c:v>2016-11-14 </c:v>
                </c:pt>
                <c:pt idx="1">
                  <c:v>2016-11-15 </c:v>
                </c:pt>
                <c:pt idx="2">
                  <c:v>2016-11-16 </c:v>
                </c:pt>
                <c:pt idx="3">
                  <c:v>2016-11-17 </c:v>
                </c:pt>
                <c:pt idx="4">
                  <c:v>2016-11-18 </c:v>
                </c:pt>
                <c:pt idx="5">
                  <c:v>2016-11-19 </c:v>
                </c:pt>
                <c:pt idx="6">
                  <c:v>2016-11-20 </c:v>
                </c:pt>
                <c:pt idx="7">
                  <c:v>2016-11-21 </c:v>
                </c:pt>
                <c:pt idx="8">
                  <c:v>2016-11-22 </c:v>
                </c:pt>
                <c:pt idx="9">
                  <c:v>2016-11-23 </c:v>
                </c:pt>
                <c:pt idx="10">
                  <c:v>2016-11-24 </c:v>
                </c:pt>
                <c:pt idx="11">
                  <c:v>2016-11-25 </c:v>
                </c:pt>
                <c:pt idx="12">
                  <c:v>2016-11-26 </c:v>
                </c:pt>
                <c:pt idx="13">
                  <c:v>2016-11-27 </c:v>
                </c:pt>
                <c:pt idx="14">
                  <c:v>2016-11-28 </c:v>
                </c:pt>
                <c:pt idx="15">
                  <c:v>2016-11-29 </c:v>
                </c:pt>
                <c:pt idx="16">
                  <c:v>2016-11-30 </c:v>
                </c:pt>
                <c:pt idx="17">
                  <c:v>2016-12-01 </c:v>
                </c:pt>
                <c:pt idx="18">
                  <c:v>2016-12-02 </c:v>
                </c:pt>
                <c:pt idx="19">
                  <c:v>2016-12-03 </c:v>
                </c:pt>
                <c:pt idx="20">
                  <c:v>2016-12-04 </c:v>
                </c:pt>
                <c:pt idx="21">
                  <c:v>2016-12-05 </c:v>
                </c:pt>
                <c:pt idx="22">
                  <c:v>2016-12-06 </c:v>
                </c:pt>
                <c:pt idx="23">
                  <c:v>2016-12-07 </c:v>
                </c:pt>
                <c:pt idx="24">
                  <c:v>2016-12-08 </c:v>
                </c:pt>
                <c:pt idx="25">
                  <c:v>2016-12-09 </c:v>
                </c:pt>
                <c:pt idx="26">
                  <c:v>2016-12-10 </c:v>
                </c:pt>
                <c:pt idx="27">
                  <c:v>2016-12-11 </c:v>
                </c:pt>
                <c:pt idx="28">
                  <c:v>2016-12-12 </c:v>
                </c:pt>
                <c:pt idx="29">
                  <c:v>2016-12-13 </c:v>
                </c:pt>
                <c:pt idx="30">
                  <c:v>2016-12-14 </c:v>
                </c:pt>
                <c:pt idx="31">
                  <c:v>2016-12-15 </c:v>
                </c:pt>
                <c:pt idx="32">
                  <c:v>2016-12-16 </c:v>
                </c:pt>
                <c:pt idx="33">
                  <c:v>2016-12-17 </c:v>
                </c:pt>
                <c:pt idx="34">
                  <c:v>2016-12-18 </c:v>
                </c:pt>
              </c:strCache>
            </c:strRef>
          </c:cat>
          <c:val>
            <c:numRef>
              <c:f>Metrics!$I$44:$I$78</c:f>
              <c:numCache>
                <c:formatCode>General</c:formatCode>
                <c:ptCount val="35"/>
                <c:pt idx="0">
                  <c:v>231</c:v>
                </c:pt>
                <c:pt idx="1">
                  <c:v>259</c:v>
                </c:pt>
                <c:pt idx="2">
                  <c:v>327</c:v>
                </c:pt>
                <c:pt idx="3">
                  <c:v>345</c:v>
                </c:pt>
                <c:pt idx="4">
                  <c:v>375</c:v>
                </c:pt>
                <c:pt idx="5">
                  <c:v>289</c:v>
                </c:pt>
                <c:pt idx="6">
                  <c:v>245</c:v>
                </c:pt>
                <c:pt idx="7">
                  <c:v>222</c:v>
                </c:pt>
                <c:pt idx="8">
                  <c:v>224</c:v>
                </c:pt>
                <c:pt idx="9">
                  <c:v>329</c:v>
                </c:pt>
                <c:pt idx="10">
                  <c:v>340</c:v>
                </c:pt>
                <c:pt idx="11">
                  <c:v>370</c:v>
                </c:pt>
                <c:pt idx="12">
                  <c:v>313</c:v>
                </c:pt>
                <c:pt idx="13">
                  <c:v>318</c:v>
                </c:pt>
                <c:pt idx="14">
                  <c:v>267</c:v>
                </c:pt>
                <c:pt idx="15">
                  <c:v>413</c:v>
                </c:pt>
                <c:pt idx="16">
                  <c:v>280</c:v>
                </c:pt>
                <c:pt idx="17">
                  <c:v>235</c:v>
                </c:pt>
                <c:pt idx="18">
                  <c:v>202</c:v>
                </c:pt>
                <c:pt idx="19">
                  <c:v>161</c:v>
                </c:pt>
                <c:pt idx="20">
                  <c:v>242</c:v>
                </c:pt>
                <c:pt idx="21">
                  <c:v>287</c:v>
                </c:pt>
                <c:pt idx="22">
                  <c:v>307</c:v>
                </c:pt>
                <c:pt idx="23">
                  <c:v>321</c:v>
                </c:pt>
                <c:pt idx="24">
                  <c:v>447</c:v>
                </c:pt>
                <c:pt idx="25">
                  <c:v>512</c:v>
                </c:pt>
                <c:pt idx="26">
                  <c:v>442</c:v>
                </c:pt>
                <c:pt idx="27">
                  <c:v>377</c:v>
                </c:pt>
                <c:pt idx="28">
                  <c:v>266</c:v>
                </c:pt>
                <c:pt idx="29">
                  <c:v>353</c:v>
                </c:pt>
                <c:pt idx="30">
                  <c:v>398</c:v>
                </c:pt>
                <c:pt idx="31">
                  <c:v>514</c:v>
                </c:pt>
                <c:pt idx="32">
                  <c:v>545</c:v>
                </c:pt>
                <c:pt idx="33">
                  <c:v>562</c:v>
                </c:pt>
                <c:pt idx="34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9-4D38-ADB8-B8AD8D6AAB8A}"/>
            </c:ext>
          </c:extLst>
        </c:ser>
        <c:ser>
          <c:idx val="1"/>
          <c:order val="1"/>
          <c:tx>
            <c:strRef>
              <c:f>Metrics!$J$43</c:f>
              <c:strCache>
                <c:ptCount val="1"/>
                <c:pt idx="0">
                  <c:v>Total__Demand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Metrics!$H$44:$H$78</c:f>
              <c:strCache>
                <c:ptCount val="35"/>
                <c:pt idx="0">
                  <c:v>2016-11-14 </c:v>
                </c:pt>
                <c:pt idx="1">
                  <c:v>2016-11-15 </c:v>
                </c:pt>
                <c:pt idx="2">
                  <c:v>2016-11-16 </c:v>
                </c:pt>
                <c:pt idx="3">
                  <c:v>2016-11-17 </c:v>
                </c:pt>
                <c:pt idx="4">
                  <c:v>2016-11-18 </c:v>
                </c:pt>
                <c:pt idx="5">
                  <c:v>2016-11-19 </c:v>
                </c:pt>
                <c:pt idx="6">
                  <c:v>2016-11-20 </c:v>
                </c:pt>
                <c:pt idx="7">
                  <c:v>2016-11-21 </c:v>
                </c:pt>
                <c:pt idx="8">
                  <c:v>2016-11-22 </c:v>
                </c:pt>
                <c:pt idx="9">
                  <c:v>2016-11-23 </c:v>
                </c:pt>
                <c:pt idx="10">
                  <c:v>2016-11-24 </c:v>
                </c:pt>
                <c:pt idx="11">
                  <c:v>2016-11-25 </c:v>
                </c:pt>
                <c:pt idx="12">
                  <c:v>2016-11-26 </c:v>
                </c:pt>
                <c:pt idx="13">
                  <c:v>2016-11-27 </c:v>
                </c:pt>
                <c:pt idx="14">
                  <c:v>2016-11-28 </c:v>
                </c:pt>
                <c:pt idx="15">
                  <c:v>2016-11-29 </c:v>
                </c:pt>
                <c:pt idx="16">
                  <c:v>2016-11-30 </c:v>
                </c:pt>
                <c:pt idx="17">
                  <c:v>2016-12-01 </c:v>
                </c:pt>
                <c:pt idx="18">
                  <c:v>2016-12-02 </c:v>
                </c:pt>
                <c:pt idx="19">
                  <c:v>2016-12-03 </c:v>
                </c:pt>
                <c:pt idx="20">
                  <c:v>2016-12-04 </c:v>
                </c:pt>
                <c:pt idx="21">
                  <c:v>2016-12-05 </c:v>
                </c:pt>
                <c:pt idx="22">
                  <c:v>2016-12-06 </c:v>
                </c:pt>
                <c:pt idx="23">
                  <c:v>2016-12-07 </c:v>
                </c:pt>
                <c:pt idx="24">
                  <c:v>2016-12-08 </c:v>
                </c:pt>
                <c:pt idx="25">
                  <c:v>2016-12-09 </c:v>
                </c:pt>
                <c:pt idx="26">
                  <c:v>2016-12-10 </c:v>
                </c:pt>
                <c:pt idx="27">
                  <c:v>2016-12-11 </c:v>
                </c:pt>
                <c:pt idx="28">
                  <c:v>2016-12-12 </c:v>
                </c:pt>
                <c:pt idx="29">
                  <c:v>2016-12-13 </c:v>
                </c:pt>
                <c:pt idx="30">
                  <c:v>2016-12-14 </c:v>
                </c:pt>
                <c:pt idx="31">
                  <c:v>2016-12-15 </c:v>
                </c:pt>
                <c:pt idx="32">
                  <c:v>2016-12-16 </c:v>
                </c:pt>
                <c:pt idx="33">
                  <c:v>2016-12-17 </c:v>
                </c:pt>
                <c:pt idx="34">
                  <c:v>2016-12-18 </c:v>
                </c:pt>
              </c:strCache>
            </c:strRef>
          </c:cat>
          <c:val>
            <c:numRef>
              <c:f>Metrics!$J$44:$J$78</c:f>
              <c:numCache>
                <c:formatCode>General</c:formatCode>
                <c:ptCount val="35"/>
                <c:pt idx="0">
                  <c:v>832</c:v>
                </c:pt>
                <c:pt idx="1">
                  <c:v>954</c:v>
                </c:pt>
                <c:pt idx="2">
                  <c:v>1063</c:v>
                </c:pt>
                <c:pt idx="3">
                  <c:v>1300</c:v>
                </c:pt>
                <c:pt idx="4">
                  <c:v>1200</c:v>
                </c:pt>
                <c:pt idx="5">
                  <c:v>924</c:v>
                </c:pt>
                <c:pt idx="6">
                  <c:v>760</c:v>
                </c:pt>
                <c:pt idx="7">
                  <c:v>775</c:v>
                </c:pt>
                <c:pt idx="8">
                  <c:v>727</c:v>
                </c:pt>
                <c:pt idx="9">
                  <c:v>1111</c:v>
                </c:pt>
                <c:pt idx="10">
                  <c:v>1136</c:v>
                </c:pt>
                <c:pt idx="11">
                  <c:v>1239</c:v>
                </c:pt>
                <c:pt idx="12">
                  <c:v>903</c:v>
                </c:pt>
                <c:pt idx="13">
                  <c:v>905</c:v>
                </c:pt>
                <c:pt idx="14">
                  <c:v>876</c:v>
                </c:pt>
                <c:pt idx="15">
                  <c:v>1332</c:v>
                </c:pt>
                <c:pt idx="16">
                  <c:v>959</c:v>
                </c:pt>
                <c:pt idx="17">
                  <c:v>839</c:v>
                </c:pt>
                <c:pt idx="18">
                  <c:v>656</c:v>
                </c:pt>
                <c:pt idx="19">
                  <c:v>547</c:v>
                </c:pt>
                <c:pt idx="20">
                  <c:v>854</c:v>
                </c:pt>
                <c:pt idx="21">
                  <c:v>1047</c:v>
                </c:pt>
                <c:pt idx="22">
                  <c:v>1034</c:v>
                </c:pt>
                <c:pt idx="23">
                  <c:v>1127</c:v>
                </c:pt>
                <c:pt idx="24">
                  <c:v>1350</c:v>
                </c:pt>
                <c:pt idx="25">
                  <c:v>1709</c:v>
                </c:pt>
                <c:pt idx="26">
                  <c:v>1395</c:v>
                </c:pt>
                <c:pt idx="27">
                  <c:v>1258</c:v>
                </c:pt>
                <c:pt idx="28">
                  <c:v>926</c:v>
                </c:pt>
                <c:pt idx="29">
                  <c:v>1256</c:v>
                </c:pt>
                <c:pt idx="30">
                  <c:v>1474</c:v>
                </c:pt>
                <c:pt idx="31">
                  <c:v>1847</c:v>
                </c:pt>
                <c:pt idx="32">
                  <c:v>2731</c:v>
                </c:pt>
                <c:pt idx="33">
                  <c:v>2125</c:v>
                </c:pt>
                <c:pt idx="34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9-4D38-ADB8-B8AD8D6AA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615199"/>
        <c:axId val="1400613759"/>
      </c:lineChart>
      <c:catAx>
        <c:axId val="14006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3759"/>
        <c:crosses val="autoZero"/>
        <c:auto val="1"/>
        <c:lblAlgn val="ctr"/>
        <c:lblOffset val="100"/>
        <c:noMultiLvlLbl val="0"/>
      </c:catAx>
      <c:valAx>
        <c:axId val="1400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923427831559294"/>
          <c:y val="3.2962293146666918E-2"/>
          <c:w val="0.52801874909039825"/>
          <c:h val="0.14563365247599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MINE.xlsx]Metrics!PivotTable14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5360892388451445"/>
          <c:w val="0.82045067537289551"/>
          <c:h val="0.53887273706171335"/>
        </c:manualLayout>
      </c:layout>
      <c:areaChart>
        <c:grouping val="stacked"/>
        <c:varyColors val="0"/>
        <c:ser>
          <c:idx val="0"/>
          <c:order val="0"/>
          <c:tx>
            <c:strRef>
              <c:f>Metrics!$Q$16</c:f>
              <c:strCache>
                <c:ptCount val="1"/>
                <c:pt idx="0">
                  <c:v>Total_ People saw +1 cars (unique)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Metrics!$P$17:$P$40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Metrics!$Q$17:$Q$40</c:f>
              <c:numCache>
                <c:formatCode>General</c:formatCode>
                <c:ptCount val="24"/>
                <c:pt idx="0">
                  <c:v>1587</c:v>
                </c:pt>
                <c:pt idx="1">
                  <c:v>1058</c:v>
                </c:pt>
                <c:pt idx="2">
                  <c:v>773</c:v>
                </c:pt>
                <c:pt idx="3">
                  <c:v>644</c:v>
                </c:pt>
                <c:pt idx="4">
                  <c:v>448</c:v>
                </c:pt>
                <c:pt idx="5">
                  <c:v>259</c:v>
                </c:pt>
                <c:pt idx="6">
                  <c:v>209</c:v>
                </c:pt>
                <c:pt idx="7">
                  <c:v>535</c:v>
                </c:pt>
                <c:pt idx="8">
                  <c:v>1116</c:v>
                </c:pt>
                <c:pt idx="9">
                  <c:v>1529</c:v>
                </c:pt>
                <c:pt idx="10">
                  <c:v>1276</c:v>
                </c:pt>
                <c:pt idx="11">
                  <c:v>1016</c:v>
                </c:pt>
                <c:pt idx="12">
                  <c:v>1031</c:v>
                </c:pt>
                <c:pt idx="13">
                  <c:v>1013</c:v>
                </c:pt>
                <c:pt idx="14">
                  <c:v>1027</c:v>
                </c:pt>
                <c:pt idx="15">
                  <c:v>1073</c:v>
                </c:pt>
                <c:pt idx="16">
                  <c:v>1244</c:v>
                </c:pt>
                <c:pt idx="17">
                  <c:v>1871</c:v>
                </c:pt>
                <c:pt idx="18">
                  <c:v>2300</c:v>
                </c:pt>
                <c:pt idx="19">
                  <c:v>2418</c:v>
                </c:pt>
                <c:pt idx="20">
                  <c:v>2154</c:v>
                </c:pt>
                <c:pt idx="21">
                  <c:v>1918</c:v>
                </c:pt>
                <c:pt idx="22">
                  <c:v>1899</c:v>
                </c:pt>
                <c:pt idx="23">
                  <c:v>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C-4830-9451-31907C49051A}"/>
            </c:ext>
          </c:extLst>
        </c:ser>
        <c:ser>
          <c:idx val="1"/>
          <c:order val="1"/>
          <c:tx>
            <c:strRef>
              <c:f>Metrics!$R$16</c:f>
              <c:strCache>
                <c:ptCount val="1"/>
                <c:pt idx="0">
                  <c:v>Total__Demand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Metrics!$P$17:$P$40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Metrics!$R$17:$R$40</c:f>
              <c:numCache>
                <c:formatCode>General</c:formatCode>
                <c:ptCount val="24"/>
                <c:pt idx="0">
                  <c:v>1892</c:v>
                </c:pt>
                <c:pt idx="1">
                  <c:v>1322</c:v>
                </c:pt>
                <c:pt idx="2">
                  <c:v>1062</c:v>
                </c:pt>
                <c:pt idx="3">
                  <c:v>1072</c:v>
                </c:pt>
                <c:pt idx="4">
                  <c:v>904</c:v>
                </c:pt>
                <c:pt idx="5">
                  <c:v>394</c:v>
                </c:pt>
                <c:pt idx="6">
                  <c:v>356</c:v>
                </c:pt>
                <c:pt idx="7">
                  <c:v>989</c:v>
                </c:pt>
                <c:pt idx="8">
                  <c:v>2009</c:v>
                </c:pt>
                <c:pt idx="9">
                  <c:v>2503</c:v>
                </c:pt>
                <c:pt idx="10">
                  <c:v>1728</c:v>
                </c:pt>
                <c:pt idx="11">
                  <c:v>1307</c:v>
                </c:pt>
                <c:pt idx="12">
                  <c:v>1334</c:v>
                </c:pt>
                <c:pt idx="13">
                  <c:v>1353</c:v>
                </c:pt>
                <c:pt idx="14">
                  <c:v>1358</c:v>
                </c:pt>
                <c:pt idx="15">
                  <c:v>1412</c:v>
                </c:pt>
                <c:pt idx="16">
                  <c:v>1614</c:v>
                </c:pt>
                <c:pt idx="17">
                  <c:v>2312</c:v>
                </c:pt>
                <c:pt idx="18">
                  <c:v>3228</c:v>
                </c:pt>
                <c:pt idx="19">
                  <c:v>3205</c:v>
                </c:pt>
                <c:pt idx="20">
                  <c:v>2610</c:v>
                </c:pt>
                <c:pt idx="21">
                  <c:v>2239</c:v>
                </c:pt>
                <c:pt idx="22">
                  <c:v>2181</c:v>
                </c:pt>
                <c:pt idx="23">
                  <c:v>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C-4830-9451-31907C490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86239"/>
        <c:axId val="1400684319"/>
      </c:areaChart>
      <c:catAx>
        <c:axId val="140068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84319"/>
        <c:crosses val="autoZero"/>
        <c:auto val="1"/>
        <c:lblAlgn val="ctr"/>
        <c:lblOffset val="100"/>
        <c:noMultiLvlLbl val="0"/>
      </c:catAx>
      <c:valAx>
        <c:axId val="140068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8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53812175917043"/>
          <c:y val="1.1326468806783762E-2"/>
          <c:w val="0.31760279965004373"/>
          <c:h val="0.2131018518518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5360892388451445"/>
          <c:w val="0.82045067537289551"/>
          <c:h val="0.53887273706171335"/>
        </c:manualLayout>
      </c:layout>
      <c:areaChart>
        <c:grouping val="stacked"/>
        <c:varyColors val="0"/>
        <c:ser>
          <c:idx val="0"/>
          <c:order val="0"/>
          <c:tx>
            <c:strRef>
              <c:f>Metrics!$Q$16</c:f>
              <c:strCache>
                <c:ptCount val="1"/>
                <c:pt idx="0">
                  <c:v>Total_ People saw +1 cars (unique)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Metrics!$P$17:$P$40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Metrics!$Q$17:$Q$40</c:f>
              <c:numCache>
                <c:formatCode>General</c:formatCode>
                <c:ptCount val="24"/>
                <c:pt idx="0">
                  <c:v>1587</c:v>
                </c:pt>
                <c:pt idx="1">
                  <c:v>1058</c:v>
                </c:pt>
                <c:pt idx="2">
                  <c:v>773</c:v>
                </c:pt>
                <c:pt idx="3">
                  <c:v>644</c:v>
                </c:pt>
                <c:pt idx="4">
                  <c:v>448</c:v>
                </c:pt>
                <c:pt idx="5">
                  <c:v>259</c:v>
                </c:pt>
                <c:pt idx="6">
                  <c:v>209</c:v>
                </c:pt>
                <c:pt idx="7">
                  <c:v>535</c:v>
                </c:pt>
                <c:pt idx="8">
                  <c:v>1116</c:v>
                </c:pt>
                <c:pt idx="9">
                  <c:v>1529</c:v>
                </c:pt>
                <c:pt idx="10">
                  <c:v>1276</c:v>
                </c:pt>
                <c:pt idx="11">
                  <c:v>1016</c:v>
                </c:pt>
                <c:pt idx="12">
                  <c:v>1031</c:v>
                </c:pt>
                <c:pt idx="13">
                  <c:v>1013</c:v>
                </c:pt>
                <c:pt idx="14">
                  <c:v>1027</c:v>
                </c:pt>
                <c:pt idx="15">
                  <c:v>1073</c:v>
                </c:pt>
                <c:pt idx="16">
                  <c:v>1244</c:v>
                </c:pt>
                <c:pt idx="17">
                  <c:v>1871</c:v>
                </c:pt>
                <c:pt idx="18">
                  <c:v>2300</c:v>
                </c:pt>
                <c:pt idx="19">
                  <c:v>2418</c:v>
                </c:pt>
                <c:pt idx="20">
                  <c:v>2154</c:v>
                </c:pt>
                <c:pt idx="21">
                  <c:v>1918</c:v>
                </c:pt>
                <c:pt idx="22">
                  <c:v>1899</c:v>
                </c:pt>
                <c:pt idx="23">
                  <c:v>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1-42E7-B6E9-1C6327FA44F4}"/>
            </c:ext>
          </c:extLst>
        </c:ser>
        <c:ser>
          <c:idx val="1"/>
          <c:order val="1"/>
          <c:tx>
            <c:strRef>
              <c:f>Metrics!$R$16</c:f>
              <c:strCache>
                <c:ptCount val="1"/>
                <c:pt idx="0">
                  <c:v>Total__Demand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Metrics!$P$17:$P$40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Metrics!$R$17:$R$40</c:f>
              <c:numCache>
                <c:formatCode>General</c:formatCode>
                <c:ptCount val="24"/>
                <c:pt idx="0">
                  <c:v>1892</c:v>
                </c:pt>
                <c:pt idx="1">
                  <c:v>1322</c:v>
                </c:pt>
                <c:pt idx="2">
                  <c:v>1062</c:v>
                </c:pt>
                <c:pt idx="3">
                  <c:v>1072</c:v>
                </c:pt>
                <c:pt idx="4">
                  <c:v>904</c:v>
                </c:pt>
                <c:pt idx="5">
                  <c:v>394</c:v>
                </c:pt>
                <c:pt idx="6">
                  <c:v>356</c:v>
                </c:pt>
                <c:pt idx="7">
                  <c:v>989</c:v>
                </c:pt>
                <c:pt idx="8">
                  <c:v>2009</c:v>
                </c:pt>
                <c:pt idx="9">
                  <c:v>2503</c:v>
                </c:pt>
                <c:pt idx="10">
                  <c:v>1728</c:v>
                </c:pt>
                <c:pt idx="11">
                  <c:v>1307</c:v>
                </c:pt>
                <c:pt idx="12">
                  <c:v>1334</c:v>
                </c:pt>
                <c:pt idx="13">
                  <c:v>1353</c:v>
                </c:pt>
                <c:pt idx="14">
                  <c:v>1358</c:v>
                </c:pt>
                <c:pt idx="15">
                  <c:v>1412</c:v>
                </c:pt>
                <c:pt idx="16">
                  <c:v>1614</c:v>
                </c:pt>
                <c:pt idx="17">
                  <c:v>2312</c:v>
                </c:pt>
                <c:pt idx="18">
                  <c:v>3228</c:v>
                </c:pt>
                <c:pt idx="19">
                  <c:v>3205</c:v>
                </c:pt>
                <c:pt idx="20">
                  <c:v>2610</c:v>
                </c:pt>
                <c:pt idx="21">
                  <c:v>2239</c:v>
                </c:pt>
                <c:pt idx="22">
                  <c:v>2181</c:v>
                </c:pt>
                <c:pt idx="23">
                  <c:v>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1-42E7-B6E9-1C6327FA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86239"/>
        <c:axId val="1400684319"/>
      </c:areaChart>
      <c:catAx>
        <c:axId val="140068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84319"/>
        <c:crosses val="autoZero"/>
        <c:auto val="1"/>
        <c:lblAlgn val="ctr"/>
        <c:lblOffset val="100"/>
        <c:noMultiLvlLbl val="0"/>
      </c:catAx>
      <c:valAx>
        <c:axId val="140068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8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53812175917043"/>
          <c:y val="1.1326468806783762E-2"/>
          <c:w val="0.31760279965004373"/>
          <c:h val="0.2131018518518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MINE.xlsx]Metrics!PivotTable23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Metrics!$I$43</c:f>
              <c:strCache>
                <c:ptCount val="1"/>
                <c:pt idx="0">
                  <c:v>Total_Finished_Rides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Metrics!$H$44:$H$78</c:f>
              <c:strCache>
                <c:ptCount val="35"/>
                <c:pt idx="0">
                  <c:v>2016-11-14 </c:v>
                </c:pt>
                <c:pt idx="1">
                  <c:v>2016-11-15 </c:v>
                </c:pt>
                <c:pt idx="2">
                  <c:v>2016-11-16 </c:v>
                </c:pt>
                <c:pt idx="3">
                  <c:v>2016-11-17 </c:v>
                </c:pt>
                <c:pt idx="4">
                  <c:v>2016-11-18 </c:v>
                </c:pt>
                <c:pt idx="5">
                  <c:v>2016-11-19 </c:v>
                </c:pt>
                <c:pt idx="6">
                  <c:v>2016-11-20 </c:v>
                </c:pt>
                <c:pt idx="7">
                  <c:v>2016-11-21 </c:v>
                </c:pt>
                <c:pt idx="8">
                  <c:v>2016-11-22 </c:v>
                </c:pt>
                <c:pt idx="9">
                  <c:v>2016-11-23 </c:v>
                </c:pt>
                <c:pt idx="10">
                  <c:v>2016-11-24 </c:v>
                </c:pt>
                <c:pt idx="11">
                  <c:v>2016-11-25 </c:v>
                </c:pt>
                <c:pt idx="12">
                  <c:v>2016-11-26 </c:v>
                </c:pt>
                <c:pt idx="13">
                  <c:v>2016-11-27 </c:v>
                </c:pt>
                <c:pt idx="14">
                  <c:v>2016-11-28 </c:v>
                </c:pt>
                <c:pt idx="15">
                  <c:v>2016-11-29 </c:v>
                </c:pt>
                <c:pt idx="16">
                  <c:v>2016-11-30 </c:v>
                </c:pt>
                <c:pt idx="17">
                  <c:v>2016-12-01 </c:v>
                </c:pt>
                <c:pt idx="18">
                  <c:v>2016-12-02 </c:v>
                </c:pt>
                <c:pt idx="19">
                  <c:v>2016-12-03 </c:v>
                </c:pt>
                <c:pt idx="20">
                  <c:v>2016-12-04 </c:v>
                </c:pt>
                <c:pt idx="21">
                  <c:v>2016-12-05 </c:v>
                </c:pt>
                <c:pt idx="22">
                  <c:v>2016-12-06 </c:v>
                </c:pt>
                <c:pt idx="23">
                  <c:v>2016-12-07 </c:v>
                </c:pt>
                <c:pt idx="24">
                  <c:v>2016-12-08 </c:v>
                </c:pt>
                <c:pt idx="25">
                  <c:v>2016-12-09 </c:v>
                </c:pt>
                <c:pt idx="26">
                  <c:v>2016-12-10 </c:v>
                </c:pt>
                <c:pt idx="27">
                  <c:v>2016-12-11 </c:v>
                </c:pt>
                <c:pt idx="28">
                  <c:v>2016-12-12 </c:v>
                </c:pt>
                <c:pt idx="29">
                  <c:v>2016-12-13 </c:v>
                </c:pt>
                <c:pt idx="30">
                  <c:v>2016-12-14 </c:v>
                </c:pt>
                <c:pt idx="31">
                  <c:v>2016-12-15 </c:v>
                </c:pt>
                <c:pt idx="32">
                  <c:v>2016-12-16 </c:v>
                </c:pt>
                <c:pt idx="33">
                  <c:v>2016-12-17 </c:v>
                </c:pt>
                <c:pt idx="34">
                  <c:v>2016-12-18 </c:v>
                </c:pt>
              </c:strCache>
            </c:strRef>
          </c:cat>
          <c:val>
            <c:numRef>
              <c:f>Metrics!$I$44:$I$78</c:f>
              <c:numCache>
                <c:formatCode>General</c:formatCode>
                <c:ptCount val="35"/>
                <c:pt idx="0">
                  <c:v>231</c:v>
                </c:pt>
                <c:pt idx="1">
                  <c:v>259</c:v>
                </c:pt>
                <c:pt idx="2">
                  <c:v>327</c:v>
                </c:pt>
                <c:pt idx="3">
                  <c:v>345</c:v>
                </c:pt>
                <c:pt idx="4">
                  <c:v>375</c:v>
                </c:pt>
                <c:pt idx="5">
                  <c:v>289</c:v>
                </c:pt>
                <c:pt idx="6">
                  <c:v>245</c:v>
                </c:pt>
                <c:pt idx="7">
                  <c:v>222</c:v>
                </c:pt>
                <c:pt idx="8">
                  <c:v>224</c:v>
                </c:pt>
                <c:pt idx="9">
                  <c:v>329</c:v>
                </c:pt>
                <c:pt idx="10">
                  <c:v>340</c:v>
                </c:pt>
                <c:pt idx="11">
                  <c:v>370</c:v>
                </c:pt>
                <c:pt idx="12">
                  <c:v>313</c:v>
                </c:pt>
                <c:pt idx="13">
                  <c:v>318</c:v>
                </c:pt>
                <c:pt idx="14">
                  <c:v>267</c:v>
                </c:pt>
                <c:pt idx="15">
                  <c:v>413</c:v>
                </c:pt>
                <c:pt idx="16">
                  <c:v>280</c:v>
                </c:pt>
                <c:pt idx="17">
                  <c:v>235</c:v>
                </c:pt>
                <c:pt idx="18">
                  <c:v>202</c:v>
                </c:pt>
                <c:pt idx="19">
                  <c:v>161</c:v>
                </c:pt>
                <c:pt idx="20">
                  <c:v>242</c:v>
                </c:pt>
                <c:pt idx="21">
                  <c:v>287</c:v>
                </c:pt>
                <c:pt idx="22">
                  <c:v>307</c:v>
                </c:pt>
                <c:pt idx="23">
                  <c:v>321</c:v>
                </c:pt>
                <c:pt idx="24">
                  <c:v>447</c:v>
                </c:pt>
                <c:pt idx="25">
                  <c:v>512</c:v>
                </c:pt>
                <c:pt idx="26">
                  <c:v>442</c:v>
                </c:pt>
                <c:pt idx="27">
                  <c:v>377</c:v>
                </c:pt>
                <c:pt idx="28">
                  <c:v>266</c:v>
                </c:pt>
                <c:pt idx="29">
                  <c:v>353</c:v>
                </c:pt>
                <c:pt idx="30">
                  <c:v>398</c:v>
                </c:pt>
                <c:pt idx="31">
                  <c:v>514</c:v>
                </c:pt>
                <c:pt idx="32">
                  <c:v>545</c:v>
                </c:pt>
                <c:pt idx="33">
                  <c:v>562</c:v>
                </c:pt>
                <c:pt idx="34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6-4357-95D5-24C8F37D521F}"/>
            </c:ext>
          </c:extLst>
        </c:ser>
        <c:ser>
          <c:idx val="1"/>
          <c:order val="1"/>
          <c:tx>
            <c:strRef>
              <c:f>Metrics!$J$43</c:f>
              <c:strCache>
                <c:ptCount val="1"/>
                <c:pt idx="0">
                  <c:v>Total__Demand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Metrics!$H$44:$H$78</c:f>
              <c:strCache>
                <c:ptCount val="35"/>
                <c:pt idx="0">
                  <c:v>2016-11-14 </c:v>
                </c:pt>
                <c:pt idx="1">
                  <c:v>2016-11-15 </c:v>
                </c:pt>
                <c:pt idx="2">
                  <c:v>2016-11-16 </c:v>
                </c:pt>
                <c:pt idx="3">
                  <c:v>2016-11-17 </c:v>
                </c:pt>
                <c:pt idx="4">
                  <c:v>2016-11-18 </c:v>
                </c:pt>
                <c:pt idx="5">
                  <c:v>2016-11-19 </c:v>
                </c:pt>
                <c:pt idx="6">
                  <c:v>2016-11-20 </c:v>
                </c:pt>
                <c:pt idx="7">
                  <c:v>2016-11-21 </c:v>
                </c:pt>
                <c:pt idx="8">
                  <c:v>2016-11-22 </c:v>
                </c:pt>
                <c:pt idx="9">
                  <c:v>2016-11-23 </c:v>
                </c:pt>
                <c:pt idx="10">
                  <c:v>2016-11-24 </c:v>
                </c:pt>
                <c:pt idx="11">
                  <c:v>2016-11-25 </c:v>
                </c:pt>
                <c:pt idx="12">
                  <c:v>2016-11-26 </c:v>
                </c:pt>
                <c:pt idx="13">
                  <c:v>2016-11-27 </c:v>
                </c:pt>
                <c:pt idx="14">
                  <c:v>2016-11-28 </c:v>
                </c:pt>
                <c:pt idx="15">
                  <c:v>2016-11-29 </c:v>
                </c:pt>
                <c:pt idx="16">
                  <c:v>2016-11-30 </c:v>
                </c:pt>
                <c:pt idx="17">
                  <c:v>2016-12-01 </c:v>
                </c:pt>
                <c:pt idx="18">
                  <c:v>2016-12-02 </c:v>
                </c:pt>
                <c:pt idx="19">
                  <c:v>2016-12-03 </c:v>
                </c:pt>
                <c:pt idx="20">
                  <c:v>2016-12-04 </c:v>
                </c:pt>
                <c:pt idx="21">
                  <c:v>2016-12-05 </c:v>
                </c:pt>
                <c:pt idx="22">
                  <c:v>2016-12-06 </c:v>
                </c:pt>
                <c:pt idx="23">
                  <c:v>2016-12-07 </c:v>
                </c:pt>
                <c:pt idx="24">
                  <c:v>2016-12-08 </c:v>
                </c:pt>
                <c:pt idx="25">
                  <c:v>2016-12-09 </c:v>
                </c:pt>
                <c:pt idx="26">
                  <c:v>2016-12-10 </c:v>
                </c:pt>
                <c:pt idx="27">
                  <c:v>2016-12-11 </c:v>
                </c:pt>
                <c:pt idx="28">
                  <c:v>2016-12-12 </c:v>
                </c:pt>
                <c:pt idx="29">
                  <c:v>2016-12-13 </c:v>
                </c:pt>
                <c:pt idx="30">
                  <c:v>2016-12-14 </c:v>
                </c:pt>
                <c:pt idx="31">
                  <c:v>2016-12-15 </c:v>
                </c:pt>
                <c:pt idx="32">
                  <c:v>2016-12-16 </c:v>
                </c:pt>
                <c:pt idx="33">
                  <c:v>2016-12-17 </c:v>
                </c:pt>
                <c:pt idx="34">
                  <c:v>2016-12-18 </c:v>
                </c:pt>
              </c:strCache>
            </c:strRef>
          </c:cat>
          <c:val>
            <c:numRef>
              <c:f>Metrics!$J$44:$J$78</c:f>
              <c:numCache>
                <c:formatCode>General</c:formatCode>
                <c:ptCount val="35"/>
                <c:pt idx="0">
                  <c:v>832</c:v>
                </c:pt>
                <c:pt idx="1">
                  <c:v>954</c:v>
                </c:pt>
                <c:pt idx="2">
                  <c:v>1063</c:v>
                </c:pt>
                <c:pt idx="3">
                  <c:v>1300</c:v>
                </c:pt>
                <c:pt idx="4">
                  <c:v>1200</c:v>
                </c:pt>
                <c:pt idx="5">
                  <c:v>924</c:v>
                </c:pt>
                <c:pt idx="6">
                  <c:v>760</c:v>
                </c:pt>
                <c:pt idx="7">
                  <c:v>775</c:v>
                </c:pt>
                <c:pt idx="8">
                  <c:v>727</c:v>
                </c:pt>
                <c:pt idx="9">
                  <c:v>1111</c:v>
                </c:pt>
                <c:pt idx="10">
                  <c:v>1136</c:v>
                </c:pt>
                <c:pt idx="11">
                  <c:v>1239</c:v>
                </c:pt>
                <c:pt idx="12">
                  <c:v>903</c:v>
                </c:pt>
                <c:pt idx="13">
                  <c:v>905</c:v>
                </c:pt>
                <c:pt idx="14">
                  <c:v>876</c:v>
                </c:pt>
                <c:pt idx="15">
                  <c:v>1332</c:v>
                </c:pt>
                <c:pt idx="16">
                  <c:v>959</c:v>
                </c:pt>
                <c:pt idx="17">
                  <c:v>839</c:v>
                </c:pt>
                <c:pt idx="18">
                  <c:v>656</c:v>
                </c:pt>
                <c:pt idx="19">
                  <c:v>547</c:v>
                </c:pt>
                <c:pt idx="20">
                  <c:v>854</c:v>
                </c:pt>
                <c:pt idx="21">
                  <c:v>1047</c:v>
                </c:pt>
                <c:pt idx="22">
                  <c:v>1034</c:v>
                </c:pt>
                <c:pt idx="23">
                  <c:v>1127</c:v>
                </c:pt>
                <c:pt idx="24">
                  <c:v>1350</c:v>
                </c:pt>
                <c:pt idx="25">
                  <c:v>1709</c:v>
                </c:pt>
                <c:pt idx="26">
                  <c:v>1395</c:v>
                </c:pt>
                <c:pt idx="27">
                  <c:v>1258</c:v>
                </c:pt>
                <c:pt idx="28">
                  <c:v>926</c:v>
                </c:pt>
                <c:pt idx="29">
                  <c:v>1256</c:v>
                </c:pt>
                <c:pt idx="30">
                  <c:v>1474</c:v>
                </c:pt>
                <c:pt idx="31">
                  <c:v>1847</c:v>
                </c:pt>
                <c:pt idx="32">
                  <c:v>2731</c:v>
                </c:pt>
                <c:pt idx="33">
                  <c:v>2125</c:v>
                </c:pt>
                <c:pt idx="34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6-4357-95D5-24C8F37D5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615199"/>
        <c:axId val="1400613759"/>
      </c:lineChart>
      <c:catAx>
        <c:axId val="14006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3759"/>
        <c:crosses val="autoZero"/>
        <c:auto val="1"/>
        <c:lblAlgn val="ctr"/>
        <c:lblOffset val="100"/>
        <c:noMultiLvlLbl val="0"/>
      </c:catAx>
      <c:valAx>
        <c:axId val="1400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MINE.xlsx]Metrics!PivotTable37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Metrics!$B$63</c:f>
              <c:strCache>
                <c:ptCount val="1"/>
                <c:pt idx="0">
                  <c:v>Average of Finished_Rides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Metrics!$A$64:$A$88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Metrics!$B$64:$B$88</c:f>
              <c:numCache>
                <c:formatCode>0.0</c:formatCode>
                <c:ptCount val="24"/>
                <c:pt idx="0">
                  <c:v>19.685714285714287</c:v>
                </c:pt>
                <c:pt idx="1">
                  <c:v>12.885714285714286</c:v>
                </c:pt>
                <c:pt idx="2">
                  <c:v>9.257142857142858</c:v>
                </c:pt>
                <c:pt idx="3">
                  <c:v>8.0285714285714285</c:v>
                </c:pt>
                <c:pt idx="4">
                  <c:v>6.2857142857142856</c:v>
                </c:pt>
                <c:pt idx="5">
                  <c:v>2.9705882352941178</c:v>
                </c:pt>
                <c:pt idx="6">
                  <c:v>1.8857142857142857</c:v>
                </c:pt>
                <c:pt idx="7">
                  <c:v>6.8</c:v>
                </c:pt>
                <c:pt idx="8">
                  <c:v>14.685714285714285</c:v>
                </c:pt>
                <c:pt idx="9">
                  <c:v>20.171428571428571</c:v>
                </c:pt>
                <c:pt idx="10">
                  <c:v>12.571428571428571</c:v>
                </c:pt>
                <c:pt idx="11">
                  <c:v>8.6</c:v>
                </c:pt>
                <c:pt idx="12">
                  <c:v>8.5428571428571427</c:v>
                </c:pt>
                <c:pt idx="13">
                  <c:v>8.5714285714285712</c:v>
                </c:pt>
                <c:pt idx="14">
                  <c:v>8.5142857142857142</c:v>
                </c:pt>
                <c:pt idx="15">
                  <c:v>9.0857142857142854</c:v>
                </c:pt>
                <c:pt idx="16">
                  <c:v>11.971428571428572</c:v>
                </c:pt>
                <c:pt idx="17">
                  <c:v>18.828571428571429</c:v>
                </c:pt>
                <c:pt idx="18">
                  <c:v>26.6</c:v>
                </c:pt>
                <c:pt idx="19">
                  <c:v>27.6</c:v>
                </c:pt>
                <c:pt idx="20">
                  <c:v>23.657142857142858</c:v>
                </c:pt>
                <c:pt idx="21">
                  <c:v>23.342857142857142</c:v>
                </c:pt>
                <c:pt idx="22">
                  <c:v>22</c:v>
                </c:pt>
                <c:pt idx="23">
                  <c:v>22.914285714285715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2-4321-859C-F3E51E67F133}"/>
            </c:ext>
          </c:extLst>
        </c:ser>
        <c:ser>
          <c:idx val="1"/>
          <c:order val="1"/>
          <c:tx>
            <c:strRef>
              <c:f>Metrics!$C$63</c:f>
              <c:strCache>
                <c:ptCount val="1"/>
                <c:pt idx="0">
                  <c:v>Average of Total_Demand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Metrics!$A$64:$A$88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Metrics!$C$64:$C$88</c:f>
              <c:numCache>
                <c:formatCode>0.0</c:formatCode>
                <c:ptCount val="24"/>
                <c:pt idx="0">
                  <c:v>54.057142857142857</c:v>
                </c:pt>
                <c:pt idx="1">
                  <c:v>37.771428571428572</c:v>
                </c:pt>
                <c:pt idx="2">
                  <c:v>30.342857142857142</c:v>
                </c:pt>
                <c:pt idx="3">
                  <c:v>30.62857142857143</c:v>
                </c:pt>
                <c:pt idx="4">
                  <c:v>25.828571428571429</c:v>
                </c:pt>
                <c:pt idx="5">
                  <c:v>11.588235294117647</c:v>
                </c:pt>
                <c:pt idx="6">
                  <c:v>10.171428571428571</c:v>
                </c:pt>
                <c:pt idx="7">
                  <c:v>28.257142857142856</c:v>
                </c:pt>
                <c:pt idx="8">
                  <c:v>57.4</c:v>
                </c:pt>
                <c:pt idx="9">
                  <c:v>71.51428571428572</c:v>
                </c:pt>
                <c:pt idx="10">
                  <c:v>49.371428571428574</c:v>
                </c:pt>
                <c:pt idx="11">
                  <c:v>37.342857142857142</c:v>
                </c:pt>
                <c:pt idx="12">
                  <c:v>38.114285714285714</c:v>
                </c:pt>
                <c:pt idx="13">
                  <c:v>38.657142857142858</c:v>
                </c:pt>
                <c:pt idx="14">
                  <c:v>38.799999999999997</c:v>
                </c:pt>
                <c:pt idx="15">
                  <c:v>40.342857142857142</c:v>
                </c:pt>
                <c:pt idx="16">
                  <c:v>46.114285714285714</c:v>
                </c:pt>
                <c:pt idx="17">
                  <c:v>66.057142857142864</c:v>
                </c:pt>
                <c:pt idx="18">
                  <c:v>92.228571428571428</c:v>
                </c:pt>
                <c:pt idx="19">
                  <c:v>91.571428571428569</c:v>
                </c:pt>
                <c:pt idx="20">
                  <c:v>74.571428571428569</c:v>
                </c:pt>
                <c:pt idx="21">
                  <c:v>63.971428571428568</c:v>
                </c:pt>
                <c:pt idx="22">
                  <c:v>62.314285714285717</c:v>
                </c:pt>
                <c:pt idx="23">
                  <c:v>60.714285714285715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2-4321-859C-F3E51E67F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084479"/>
        <c:axId val="1842081599"/>
      </c:lineChart>
      <c:catAx>
        <c:axId val="18420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81599"/>
        <c:crosses val="autoZero"/>
        <c:auto val="1"/>
        <c:lblAlgn val="ctr"/>
        <c:lblOffset val="100"/>
        <c:noMultiLvlLbl val="0"/>
      </c:catAx>
      <c:valAx>
        <c:axId val="18420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8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MINE.xlsx]Metrics!PivotTable41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Metrics!$A$92:$A$116</c:f>
              <c:strCache>
                <c:ptCount val="24"/>
                <c:pt idx="0">
                  <c:v> 00</c:v>
                </c:pt>
                <c:pt idx="1">
                  <c:v> 01</c:v>
                </c:pt>
                <c:pt idx="2">
                  <c:v> 02</c:v>
                </c:pt>
                <c:pt idx="3">
                  <c:v> 03</c:v>
                </c:pt>
                <c:pt idx="4">
                  <c:v> 04</c:v>
                </c:pt>
                <c:pt idx="5">
                  <c:v> 05</c:v>
                </c:pt>
                <c:pt idx="6">
                  <c:v> 06</c:v>
                </c:pt>
                <c:pt idx="7">
                  <c:v> 07</c:v>
                </c:pt>
                <c:pt idx="8">
                  <c:v> 08</c:v>
                </c:pt>
                <c:pt idx="9">
                  <c:v> 09</c:v>
                </c:pt>
                <c:pt idx="10">
                  <c:v> 10</c:v>
                </c:pt>
                <c:pt idx="11">
                  <c:v> 11</c:v>
                </c:pt>
                <c:pt idx="12">
                  <c:v> 12</c:v>
                </c:pt>
                <c:pt idx="13">
                  <c:v> 13</c:v>
                </c:pt>
                <c:pt idx="14">
                  <c:v> 14</c:v>
                </c:pt>
                <c:pt idx="15">
                  <c:v> 15</c:v>
                </c:pt>
                <c:pt idx="16">
                  <c:v> 16</c:v>
                </c:pt>
                <c:pt idx="17">
                  <c:v> 17</c:v>
                </c:pt>
                <c:pt idx="18">
                  <c:v> 18</c:v>
                </c:pt>
                <c:pt idx="19">
                  <c:v> 19</c:v>
                </c:pt>
                <c:pt idx="20">
                  <c:v> 20</c:v>
                </c:pt>
                <c:pt idx="21">
                  <c:v> 21</c:v>
                </c:pt>
                <c:pt idx="22">
                  <c:v> 22</c:v>
                </c:pt>
                <c:pt idx="23">
                  <c:v> 23</c:v>
                </c:pt>
              </c:strCache>
            </c:strRef>
          </c:cat>
          <c:val>
            <c:numRef>
              <c:f>Metrics!$B$92:$B$116</c:f>
              <c:numCache>
                <c:formatCode>0.0</c:formatCode>
                <c:ptCount val="24"/>
                <c:pt idx="0">
                  <c:v>84.942857142857136</c:v>
                </c:pt>
                <c:pt idx="1">
                  <c:v>80.400000000000006</c:v>
                </c:pt>
                <c:pt idx="2">
                  <c:v>76.171428571428578</c:v>
                </c:pt>
                <c:pt idx="3">
                  <c:v>63.628571428571426</c:v>
                </c:pt>
                <c:pt idx="4">
                  <c:v>53.428571428571431</c:v>
                </c:pt>
                <c:pt idx="5">
                  <c:v>66.32352941176471</c:v>
                </c:pt>
                <c:pt idx="6">
                  <c:v>58.914285714285711</c:v>
                </c:pt>
                <c:pt idx="7">
                  <c:v>58</c:v>
                </c:pt>
                <c:pt idx="8">
                  <c:v>59.885714285714286</c:v>
                </c:pt>
                <c:pt idx="9">
                  <c:v>64.971428571428575</c:v>
                </c:pt>
                <c:pt idx="10">
                  <c:v>75.257142857142853</c:v>
                </c:pt>
                <c:pt idx="11">
                  <c:v>80.057142857142864</c:v>
                </c:pt>
                <c:pt idx="12">
                  <c:v>80</c:v>
                </c:pt>
                <c:pt idx="13">
                  <c:v>78.400000000000006</c:v>
                </c:pt>
                <c:pt idx="14">
                  <c:v>79.971428571428575</c:v>
                </c:pt>
                <c:pt idx="15">
                  <c:v>80.828571428571422</c:v>
                </c:pt>
                <c:pt idx="16">
                  <c:v>81.599999999999994</c:v>
                </c:pt>
                <c:pt idx="17">
                  <c:v>84.114285714285714</c:v>
                </c:pt>
                <c:pt idx="18">
                  <c:v>77.599999999999994</c:v>
                </c:pt>
                <c:pt idx="19">
                  <c:v>80.657142857142858</c:v>
                </c:pt>
                <c:pt idx="20">
                  <c:v>86.8</c:v>
                </c:pt>
                <c:pt idx="21">
                  <c:v>88.542857142857144</c:v>
                </c:pt>
                <c:pt idx="22">
                  <c:v>88.2</c:v>
                </c:pt>
                <c:pt idx="23">
                  <c:v>86.914285714285711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C-4D0C-B9DA-A07C1B31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113759"/>
        <c:axId val="1842114239"/>
      </c:barChart>
      <c:catAx>
        <c:axId val="184211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14239"/>
        <c:crosses val="autoZero"/>
        <c:auto val="1"/>
        <c:lblAlgn val="ctr"/>
        <c:lblOffset val="100"/>
        <c:noMultiLvlLbl val="0"/>
      </c:catAx>
      <c:valAx>
        <c:axId val="184211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 of Week-</a:t>
            </a:r>
            <a:r>
              <a:rPr lang="en-IN" baseline="0"/>
              <a:t> Demand and Supply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Metrics!$O$63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Metrics!$N$64:$N$70</c:f>
              <c:numCache>
                <c:formatCode>General</c:formatCode>
                <c:ptCount val="7"/>
              </c:numCache>
            </c:numRef>
          </c:cat>
          <c:val>
            <c:numRef>
              <c:f>Metrics!$O$64:$O$70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BA2A-4166-8841-D19A073B770F}"/>
            </c:ext>
          </c:extLst>
        </c:ser>
        <c:ser>
          <c:idx val="1"/>
          <c:order val="1"/>
          <c:tx>
            <c:strRef>
              <c:f>Metrics!$P$63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Metrics!$N$64:$N$70</c:f>
              <c:numCache>
                <c:formatCode>General</c:formatCode>
                <c:ptCount val="7"/>
              </c:numCache>
            </c:numRef>
          </c:cat>
          <c:val>
            <c:numRef>
              <c:f>Metrics!$P$64:$P$70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BA2A-4166-8841-D19A073B7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974559"/>
        <c:axId val="1841975999"/>
      </c:barChart>
      <c:catAx>
        <c:axId val="184197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75999"/>
        <c:crosses val="autoZero"/>
        <c:auto val="1"/>
        <c:lblAlgn val="ctr"/>
        <c:lblOffset val="100"/>
        <c:noMultiLvlLbl val="0"/>
      </c:catAx>
      <c:valAx>
        <c:axId val="18419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7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</a:t>
            </a:r>
            <a:r>
              <a:rPr lang="en-IN" baseline="0"/>
              <a:t> of Week - Demand vs Supply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Metrics!$L$5</c:f>
              <c:strCache>
                <c:ptCount val="1"/>
                <c:pt idx="0">
                  <c:v>Average of Finished_Rides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Metrics!$K$6:$K$12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Metrics!$L$6:$L$12</c:f>
              <c:numCache>
                <c:formatCode>0.0</c:formatCode>
                <c:ptCount val="7"/>
                <c:pt idx="0">
                  <c:v>10.608333333333333</c:v>
                </c:pt>
                <c:pt idx="1">
                  <c:v>12.966666666666667</c:v>
                </c:pt>
                <c:pt idx="2">
                  <c:v>13.907563025210084</c:v>
                </c:pt>
                <c:pt idx="3">
                  <c:v>15.675000000000001</c:v>
                </c:pt>
                <c:pt idx="4">
                  <c:v>16.7</c:v>
                </c:pt>
                <c:pt idx="5">
                  <c:v>14.725</c:v>
                </c:pt>
                <c:pt idx="6">
                  <c:v>13.35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0-468B-A2CE-69FD78E7A2FA}"/>
            </c:ext>
          </c:extLst>
        </c:ser>
        <c:ser>
          <c:idx val="1"/>
          <c:order val="1"/>
          <c:tx>
            <c:strRef>
              <c:f>Metrics!$M$5</c:f>
              <c:strCache>
                <c:ptCount val="1"/>
                <c:pt idx="0">
                  <c:v>Average of Total_Demand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Metrics!$K$6:$K$12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Metrics!$M$6:$M$12</c:f>
              <c:numCache>
                <c:formatCode>0.0</c:formatCode>
                <c:ptCount val="7"/>
                <c:pt idx="0">
                  <c:v>37.133333333333333</c:v>
                </c:pt>
                <c:pt idx="1">
                  <c:v>44.19166666666667</c:v>
                </c:pt>
                <c:pt idx="2">
                  <c:v>48.184873949579831</c:v>
                </c:pt>
                <c:pt idx="3">
                  <c:v>53.93333333333333</c:v>
                </c:pt>
                <c:pt idx="4">
                  <c:v>62.791666666666664</c:v>
                </c:pt>
                <c:pt idx="5">
                  <c:v>49.116666666666667</c:v>
                </c:pt>
                <c:pt idx="6">
                  <c:v>42.625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0-468B-A2CE-69FD78E7A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982239"/>
        <c:axId val="1841982719"/>
      </c:barChart>
      <c:catAx>
        <c:axId val="184198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82719"/>
        <c:crosses val="autoZero"/>
        <c:auto val="1"/>
        <c:lblAlgn val="ctr"/>
        <c:lblOffset val="100"/>
        <c:noMultiLvlLbl val="0"/>
      </c:catAx>
      <c:valAx>
        <c:axId val="18419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8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CASE STUDY MINE.xlsx]9 hour Analysis!PivotTable17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'9 hour Analysis'!$S$4</c:f>
              <c:strCache>
                <c:ptCount val="1"/>
                <c:pt idx="0">
                  <c:v>Sum of People saw +1 cars (unique)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hour Analysis'!$R$5:$R$12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'9 hour Analysis'!$S$5:$S$12</c:f>
              <c:numCache>
                <c:formatCode>General</c:formatCode>
                <c:ptCount val="7"/>
                <c:pt idx="0">
                  <c:v>252</c:v>
                </c:pt>
                <c:pt idx="1">
                  <c:v>281</c:v>
                </c:pt>
                <c:pt idx="2">
                  <c:v>282</c:v>
                </c:pt>
                <c:pt idx="3">
                  <c:v>271</c:v>
                </c:pt>
                <c:pt idx="4">
                  <c:v>283</c:v>
                </c:pt>
                <c:pt idx="5">
                  <c:v>92</c:v>
                </c:pt>
                <c:pt idx="6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1-4FCB-BADB-867B9755AD7E}"/>
            </c:ext>
          </c:extLst>
        </c:ser>
        <c:ser>
          <c:idx val="1"/>
          <c:order val="1"/>
          <c:tx>
            <c:strRef>
              <c:f>'9 hour Analysis'!$T$4</c:f>
              <c:strCache>
                <c:ptCount val="1"/>
                <c:pt idx="0">
                  <c:v>Total_Active_Drivers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 hour Analysis'!$R$5:$R$12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'9 hour Analysis'!$T$5:$T$12</c:f>
              <c:numCache>
                <c:formatCode>General</c:formatCode>
                <c:ptCount val="7"/>
                <c:pt idx="0">
                  <c:v>316</c:v>
                </c:pt>
                <c:pt idx="1">
                  <c:v>346</c:v>
                </c:pt>
                <c:pt idx="2">
                  <c:v>359</c:v>
                </c:pt>
                <c:pt idx="3">
                  <c:v>325</c:v>
                </c:pt>
                <c:pt idx="4">
                  <c:v>305</c:v>
                </c:pt>
                <c:pt idx="5">
                  <c:v>193</c:v>
                </c:pt>
                <c:pt idx="6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1-4FCB-BADB-867B9755AD7E}"/>
            </c:ext>
          </c:extLst>
        </c:ser>
        <c:ser>
          <c:idx val="2"/>
          <c:order val="2"/>
          <c:tx>
            <c:strRef>
              <c:f>'9 hour Analysis'!$U$4</c:f>
              <c:strCache>
                <c:ptCount val="1"/>
                <c:pt idx="0">
                  <c:v>Total__Demand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'9 hour Analysis'!$R$5:$R$12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'9 hour Analysis'!$U$5:$U$12</c:f>
              <c:numCache>
                <c:formatCode>General</c:formatCode>
                <c:ptCount val="7"/>
                <c:pt idx="0">
                  <c:v>420</c:v>
                </c:pt>
                <c:pt idx="1">
                  <c:v>464</c:v>
                </c:pt>
                <c:pt idx="2">
                  <c:v>444</c:v>
                </c:pt>
                <c:pt idx="3">
                  <c:v>403</c:v>
                </c:pt>
                <c:pt idx="4">
                  <c:v>511</c:v>
                </c:pt>
                <c:pt idx="5">
                  <c:v>161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11-4FCB-BADB-867B9755A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621439"/>
        <c:axId val="1400618559"/>
      </c:lineChart>
      <c:catAx>
        <c:axId val="140062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18559"/>
        <c:crosses val="autoZero"/>
        <c:auto val="1"/>
        <c:lblAlgn val="ctr"/>
        <c:lblOffset val="100"/>
        <c:noMultiLvlLbl val="0"/>
      </c:catAx>
      <c:valAx>
        <c:axId val="14006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</xdr:row>
      <xdr:rowOff>7620</xdr:rowOff>
    </xdr:from>
    <xdr:to>
      <xdr:col>4</xdr:col>
      <xdr:colOff>601980</xdr:colOff>
      <xdr:row>7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137F25E-C103-E27F-3C32-B397D3430971}"/>
            </a:ext>
          </a:extLst>
        </xdr:cNvPr>
        <xdr:cNvSpPr/>
      </xdr:nvSpPr>
      <xdr:spPr>
        <a:xfrm>
          <a:off x="632460" y="556260"/>
          <a:ext cx="2407920" cy="73152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293914</xdr:colOff>
      <xdr:row>3</xdr:row>
      <xdr:rowOff>32658</xdr:rowOff>
    </xdr:from>
    <xdr:to>
      <xdr:col>10</xdr:col>
      <xdr:colOff>263434</xdr:colOff>
      <xdr:row>7</xdr:row>
      <xdr:rowOff>32658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DC19AA2-5033-4B02-B40B-11A4E219FE30}"/>
            </a:ext>
          </a:extLst>
        </xdr:cNvPr>
        <xdr:cNvSpPr/>
      </xdr:nvSpPr>
      <xdr:spPr>
        <a:xfrm>
          <a:off x="3951514" y="587829"/>
          <a:ext cx="2407920" cy="740229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195943</xdr:colOff>
      <xdr:row>3</xdr:row>
      <xdr:rowOff>10886</xdr:rowOff>
    </xdr:from>
    <xdr:to>
      <xdr:col>16</xdr:col>
      <xdr:colOff>165463</xdr:colOff>
      <xdr:row>7</xdr:row>
      <xdr:rowOff>10886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56321BE-ED8B-449C-ACE2-FF899C5DCF79}"/>
            </a:ext>
          </a:extLst>
        </xdr:cNvPr>
        <xdr:cNvSpPr/>
      </xdr:nvSpPr>
      <xdr:spPr>
        <a:xfrm>
          <a:off x="7511143" y="566057"/>
          <a:ext cx="2407920" cy="740229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10886</xdr:colOff>
      <xdr:row>3</xdr:row>
      <xdr:rowOff>10886</xdr:rowOff>
    </xdr:from>
    <xdr:to>
      <xdr:col>21</xdr:col>
      <xdr:colOff>590006</xdr:colOff>
      <xdr:row>7</xdr:row>
      <xdr:rowOff>10886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BBD12D6-04CF-4025-BE77-9EBBE3D827E5}"/>
            </a:ext>
          </a:extLst>
        </xdr:cNvPr>
        <xdr:cNvSpPr/>
      </xdr:nvSpPr>
      <xdr:spPr>
        <a:xfrm>
          <a:off x="10983686" y="566057"/>
          <a:ext cx="2407920" cy="740229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279875</xdr:colOff>
      <xdr:row>3</xdr:row>
      <xdr:rowOff>125545</xdr:rowOff>
    </xdr:from>
    <xdr:ext cx="1861345" cy="530658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61F2D67-A50E-7556-3D32-A900E43FE4A1}"/>
            </a:ext>
          </a:extLst>
        </xdr:cNvPr>
        <xdr:cNvSpPr/>
      </xdr:nvSpPr>
      <xdr:spPr>
        <a:xfrm>
          <a:off x="889475" y="674185"/>
          <a:ext cx="1861345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11,738</a:t>
          </a:r>
          <a:b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Total finished Rides</a:t>
          </a:r>
        </a:p>
      </xdr:txBody>
    </xdr:sp>
    <xdr:clientData/>
  </xdr:oneCellAnchor>
  <xdr:oneCellAnchor>
    <xdr:from>
      <xdr:col>6</xdr:col>
      <xdr:colOff>538843</xdr:colOff>
      <xdr:row>3</xdr:row>
      <xdr:rowOff>113212</xdr:rowOff>
    </xdr:from>
    <xdr:ext cx="1861345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D9F8F31-AEBD-46BA-B99E-AD052EE3AB76}"/>
            </a:ext>
          </a:extLst>
        </xdr:cNvPr>
        <xdr:cNvSpPr/>
      </xdr:nvSpPr>
      <xdr:spPr>
        <a:xfrm>
          <a:off x="4196443" y="668383"/>
          <a:ext cx="1861345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40,509</a:t>
          </a:r>
          <a:b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Total Demand</a:t>
          </a:r>
        </a:p>
      </xdr:txBody>
    </xdr:sp>
    <xdr:clientData/>
  </xdr:oneCellAnchor>
  <xdr:oneCellAnchor>
    <xdr:from>
      <xdr:col>12</xdr:col>
      <xdr:colOff>510540</xdr:colOff>
      <xdr:row>3</xdr:row>
      <xdr:rowOff>109945</xdr:rowOff>
    </xdr:from>
    <xdr:ext cx="1861345" cy="53065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4883037-1732-4D4B-9EE1-8B9BFF12E3BC}"/>
            </a:ext>
          </a:extLst>
        </xdr:cNvPr>
        <xdr:cNvSpPr/>
      </xdr:nvSpPr>
      <xdr:spPr>
        <a:xfrm>
          <a:off x="7825740" y="665116"/>
          <a:ext cx="1861345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75.7%</a:t>
          </a:r>
          <a:b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Avg.</a:t>
          </a:r>
          <a:r>
            <a:rPr lang="en-US" sz="1400" b="1" cap="none" spc="0" baseline="0">
              <a:ln>
                <a:noFill/>
              </a:ln>
              <a:solidFill>
                <a:schemeClr val="tx1"/>
              </a:solidFill>
              <a:effectLst/>
            </a:rPr>
            <a:t> Coverage (%)</a:t>
          </a:r>
          <a:endParaRPr lang="en-US" sz="14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oneCellAnchor>
  <xdr:oneCellAnchor>
    <xdr:from>
      <xdr:col>18</xdr:col>
      <xdr:colOff>287383</xdr:colOff>
      <xdr:row>3</xdr:row>
      <xdr:rowOff>120831</xdr:rowOff>
    </xdr:from>
    <xdr:ext cx="1861345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67EB973-E613-4B95-B667-DAA99AF4D74E}"/>
            </a:ext>
          </a:extLst>
        </xdr:cNvPr>
        <xdr:cNvSpPr/>
      </xdr:nvSpPr>
      <xdr:spPr>
        <a:xfrm>
          <a:off x="11260183" y="676002"/>
          <a:ext cx="1861345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0.57</a:t>
          </a:r>
          <a:b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sz="1400" b="1" cap="none" spc="0">
              <a:ln>
                <a:noFill/>
              </a:ln>
              <a:solidFill>
                <a:schemeClr val="tx1"/>
              </a:solidFill>
              <a:effectLst/>
            </a:rPr>
            <a:t>Avg.</a:t>
          </a:r>
          <a:r>
            <a:rPr lang="en-US" sz="1400" b="1" cap="none" spc="0" baseline="0">
              <a:ln>
                <a:noFill/>
              </a:ln>
              <a:solidFill>
                <a:schemeClr val="tx1"/>
              </a:solidFill>
              <a:effectLst/>
            </a:rPr>
            <a:t> Ride per Hour</a:t>
          </a:r>
          <a:endParaRPr lang="en-US" sz="14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oneCellAnchor>
  <xdr:twoCellAnchor>
    <xdr:from>
      <xdr:col>1</xdr:col>
      <xdr:colOff>38100</xdr:colOff>
      <xdr:row>8</xdr:row>
      <xdr:rowOff>7621</xdr:rowOff>
    </xdr:from>
    <xdr:to>
      <xdr:col>11</xdr:col>
      <xdr:colOff>0</xdr:colOff>
      <xdr:row>21</xdr:row>
      <xdr:rowOff>54430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960507-F3B1-4384-AE2E-C243AB6FB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605246</xdr:colOff>
      <xdr:row>7</xdr:row>
      <xdr:rowOff>170906</xdr:rowOff>
    </xdr:from>
    <xdr:to>
      <xdr:col>20</xdr:col>
      <xdr:colOff>605246</xdr:colOff>
      <xdr:row>21</xdr:row>
      <xdr:rowOff>62049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AB47F49-7CD8-4F97-96E4-920653E2A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19594</xdr:colOff>
      <xdr:row>25</xdr:row>
      <xdr:rowOff>139337</xdr:rowOff>
    </xdr:from>
    <xdr:to>
      <xdr:col>11</xdr:col>
      <xdr:colOff>0</xdr:colOff>
      <xdr:row>41</xdr:row>
      <xdr:rowOff>54428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4D1437-D016-4DFC-AAC5-08F81AB81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4355</xdr:colOff>
      <xdr:row>25</xdr:row>
      <xdr:rowOff>128451</xdr:rowOff>
    </xdr:from>
    <xdr:to>
      <xdr:col>20</xdr:col>
      <xdr:colOff>598714</xdr:colOff>
      <xdr:row>41</xdr:row>
      <xdr:rowOff>65314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B4F8DD6-2885-438C-8764-8B0F1CD83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3</xdr:row>
      <xdr:rowOff>7620</xdr:rowOff>
    </xdr:from>
    <xdr:to>
      <xdr:col>13</xdr:col>
      <xdr:colOff>411480</xdr:colOff>
      <xdr:row>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E893D8D-13A6-52FB-9691-D2EB697D7861}"/>
            </a:ext>
          </a:extLst>
        </xdr:cNvPr>
        <xdr:cNvSpPr/>
      </xdr:nvSpPr>
      <xdr:spPr>
        <a:xfrm>
          <a:off x="3474720" y="556260"/>
          <a:ext cx="4861560" cy="57912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426720</xdr:colOff>
      <xdr:row>3</xdr:row>
      <xdr:rowOff>34105</xdr:rowOff>
    </xdr:from>
    <xdr:ext cx="3688080" cy="49936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F19067-3273-FFBA-C52C-111D7EBF0E3F}"/>
            </a:ext>
          </a:extLst>
        </xdr:cNvPr>
        <xdr:cNvSpPr/>
      </xdr:nvSpPr>
      <xdr:spPr>
        <a:xfrm>
          <a:off x="4084320" y="582745"/>
          <a:ext cx="3688080" cy="49936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Service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quality</a:t>
          </a:r>
          <a:br>
            <a:rPr lang="en-US" sz="5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2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Coverage ratio 75.7% Avg.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twoCellAnchor>
    <xdr:from>
      <xdr:col>3</xdr:col>
      <xdr:colOff>495300</xdr:colOff>
      <xdr:row>8</xdr:row>
      <xdr:rowOff>45720</xdr:rowOff>
    </xdr:from>
    <xdr:to>
      <xdr:col>7</xdr:col>
      <xdr:colOff>495300</xdr:colOff>
      <xdr:row>11</xdr:row>
      <xdr:rowOff>7620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137C778-B799-EB72-FF73-59A84CCF25D8}"/>
            </a:ext>
          </a:extLst>
        </xdr:cNvPr>
        <xdr:cNvSpPr/>
      </xdr:nvSpPr>
      <xdr:spPr>
        <a:xfrm>
          <a:off x="2324100" y="1325880"/>
          <a:ext cx="2438400" cy="55626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373380</xdr:colOff>
      <xdr:row>8</xdr:row>
      <xdr:rowOff>15240</xdr:rowOff>
    </xdr:from>
    <xdr:to>
      <xdr:col>15</xdr:col>
      <xdr:colOff>373380</xdr:colOff>
      <xdr:row>10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8B5DE2E-57B0-4E10-9AB8-AD4782662FE0}"/>
            </a:ext>
          </a:extLst>
        </xdr:cNvPr>
        <xdr:cNvSpPr/>
      </xdr:nvSpPr>
      <xdr:spPr>
        <a:xfrm>
          <a:off x="7078980" y="1295400"/>
          <a:ext cx="2438400" cy="55626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424260</xdr:colOff>
      <xdr:row>8</xdr:row>
      <xdr:rowOff>53340</xdr:rowOff>
    </xdr:from>
    <xdr:ext cx="1236622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0DDF0A9-1E7A-4E0C-B354-0188DD4A3952}"/>
            </a:ext>
          </a:extLst>
        </xdr:cNvPr>
        <xdr:cNvSpPr/>
      </xdr:nvSpPr>
      <xdr:spPr>
        <a:xfrm>
          <a:off x="2862660" y="1333500"/>
          <a:ext cx="123662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Total Demand</a:t>
          </a:r>
          <a:b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40,509 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11</xdr:col>
      <xdr:colOff>561670</xdr:colOff>
      <xdr:row>8</xdr:row>
      <xdr:rowOff>15240</xdr:rowOff>
    </xdr:from>
    <xdr:ext cx="2150525" cy="53065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1F89C82-F704-4F17-A7EE-2DFC923A102F}"/>
            </a:ext>
          </a:extLst>
        </xdr:cNvPr>
        <xdr:cNvSpPr/>
      </xdr:nvSpPr>
      <xdr:spPr>
        <a:xfrm>
          <a:off x="7267270" y="1295400"/>
          <a:ext cx="2150525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Supply</a:t>
          </a:r>
          <a:b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11,738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Total finished rides</a:t>
          </a:r>
          <a:endParaRPr lang="en-US" sz="14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twoCellAnchor>
    <xdr:from>
      <xdr:col>2</xdr:col>
      <xdr:colOff>0</xdr:colOff>
      <xdr:row>13</xdr:row>
      <xdr:rowOff>0</xdr:rowOff>
    </xdr:from>
    <xdr:to>
      <xdr:col>5</xdr:col>
      <xdr:colOff>274320</xdr:colOff>
      <xdr:row>15</xdr:row>
      <xdr:rowOff>167640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7D6A7A6-E6F0-46CB-A2DB-2C13E5929C1C}"/>
            </a:ext>
          </a:extLst>
        </xdr:cNvPr>
        <xdr:cNvSpPr/>
      </xdr:nvSpPr>
      <xdr:spPr>
        <a:xfrm>
          <a:off x="1219200" y="2057400"/>
          <a:ext cx="2103120" cy="5334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9</xdr:col>
      <xdr:colOff>243840</xdr:colOff>
      <xdr:row>16</xdr:row>
      <xdr:rowOff>30480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4062AE3-6793-40D5-8976-BD730CA01935}"/>
            </a:ext>
          </a:extLst>
        </xdr:cNvPr>
        <xdr:cNvSpPr/>
      </xdr:nvSpPr>
      <xdr:spPr>
        <a:xfrm>
          <a:off x="3657600" y="2057400"/>
          <a:ext cx="2072640" cy="57912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13</xdr:col>
      <xdr:colOff>259080</xdr:colOff>
      <xdr:row>16</xdr:row>
      <xdr:rowOff>15240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BC90FE0-A94D-46F7-AF27-1A7CD4710BED}"/>
            </a:ext>
          </a:extLst>
        </xdr:cNvPr>
        <xdr:cNvSpPr/>
      </xdr:nvSpPr>
      <xdr:spPr>
        <a:xfrm>
          <a:off x="6096000" y="2057400"/>
          <a:ext cx="2087880" cy="56388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17</xdr:col>
      <xdr:colOff>297180</xdr:colOff>
      <xdr:row>16</xdr:row>
      <xdr:rowOff>22860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24E2B57-F4BE-4222-8E33-DE7038B32DE8}"/>
            </a:ext>
          </a:extLst>
        </xdr:cNvPr>
        <xdr:cNvSpPr/>
      </xdr:nvSpPr>
      <xdr:spPr>
        <a:xfrm>
          <a:off x="8534400" y="2057400"/>
          <a:ext cx="2125980" cy="5715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350764</xdr:colOff>
      <xdr:row>12</xdr:row>
      <xdr:rowOff>175260</xdr:rowOff>
    </xdr:from>
    <xdr:ext cx="1403782" cy="530658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1B976A9-37AD-4432-98BD-A1FCEF5B2BA9}"/>
            </a:ext>
          </a:extLst>
        </xdr:cNvPr>
        <xdr:cNvSpPr/>
      </xdr:nvSpPr>
      <xdr:spPr>
        <a:xfrm>
          <a:off x="1569964" y="2415540"/>
          <a:ext cx="140378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Saw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0 cars </a:t>
          </a:r>
          <a:b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Unserved Riders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6</xdr:col>
      <xdr:colOff>551431</xdr:colOff>
      <xdr:row>13</xdr:row>
      <xdr:rowOff>7620</xdr:rowOff>
    </xdr:from>
    <xdr:ext cx="1139607" cy="530658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DB71118-A1F1-4D21-BF16-946541BBB479}"/>
            </a:ext>
          </a:extLst>
        </xdr:cNvPr>
        <xdr:cNvSpPr/>
      </xdr:nvSpPr>
      <xdr:spPr>
        <a:xfrm>
          <a:off x="4209031" y="2065020"/>
          <a:ext cx="1139607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Saw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1+ cars</a:t>
          </a:r>
          <a:b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Served Rides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10</xdr:col>
      <xdr:colOff>307527</xdr:colOff>
      <xdr:row>13</xdr:row>
      <xdr:rowOff>15240</xdr:rowOff>
    </xdr:from>
    <xdr:ext cx="1520737" cy="530658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5FCC89-B799-458D-8DEA-3BD0A2281C06}"/>
            </a:ext>
          </a:extLst>
        </xdr:cNvPr>
        <xdr:cNvSpPr/>
      </xdr:nvSpPr>
      <xdr:spPr>
        <a:xfrm>
          <a:off x="6403527" y="2072640"/>
          <a:ext cx="1520737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Online Hours</a:t>
          </a:r>
        </a:p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Driver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Availability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14</xdr:col>
      <xdr:colOff>281940</xdr:colOff>
      <xdr:row>13</xdr:row>
      <xdr:rowOff>38100</xdr:rowOff>
    </xdr:from>
    <xdr:ext cx="1499071" cy="530658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E2F9B4C-BFF6-46F8-9898-8BE98A067B91}"/>
            </a:ext>
          </a:extLst>
        </xdr:cNvPr>
        <xdr:cNvSpPr/>
      </xdr:nvSpPr>
      <xdr:spPr>
        <a:xfrm>
          <a:off x="8816340" y="2095500"/>
          <a:ext cx="1499071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Rides Per Hour</a:t>
          </a:r>
        </a:p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Avg. 0.57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twoCellAnchor>
    <xdr:from>
      <xdr:col>8</xdr:col>
      <xdr:colOff>0</xdr:colOff>
      <xdr:row>18</xdr:row>
      <xdr:rowOff>0</xdr:rowOff>
    </xdr:from>
    <xdr:to>
      <xdr:col>11</xdr:col>
      <xdr:colOff>259080</xdr:colOff>
      <xdr:row>21</xdr:row>
      <xdr:rowOff>15240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E9B3786-992E-4A4D-A590-0BC84F02C412}"/>
            </a:ext>
          </a:extLst>
        </xdr:cNvPr>
        <xdr:cNvSpPr/>
      </xdr:nvSpPr>
      <xdr:spPr>
        <a:xfrm>
          <a:off x="4876800" y="3337560"/>
          <a:ext cx="2087880" cy="56388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15</xdr:col>
      <xdr:colOff>259080</xdr:colOff>
      <xdr:row>21</xdr:row>
      <xdr:rowOff>15240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392DF58B-FB11-4A50-8A52-9129807F233D}"/>
            </a:ext>
          </a:extLst>
        </xdr:cNvPr>
        <xdr:cNvSpPr/>
      </xdr:nvSpPr>
      <xdr:spPr>
        <a:xfrm>
          <a:off x="7315200" y="3337560"/>
          <a:ext cx="2087880" cy="56388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</xdr:row>
      <xdr:rowOff>0</xdr:rowOff>
    </xdr:from>
    <xdr:to>
      <xdr:col>18</xdr:col>
      <xdr:colOff>259080</xdr:colOff>
      <xdr:row>25</xdr:row>
      <xdr:rowOff>15240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07C1407E-CD7F-4540-8D96-B9AFF698E6FF}"/>
            </a:ext>
          </a:extLst>
        </xdr:cNvPr>
        <xdr:cNvSpPr/>
      </xdr:nvSpPr>
      <xdr:spPr>
        <a:xfrm>
          <a:off x="9144000" y="4069080"/>
          <a:ext cx="2087880" cy="56388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11</xdr:col>
      <xdr:colOff>570593</xdr:colOff>
      <xdr:row>18</xdr:row>
      <xdr:rowOff>53340</xdr:rowOff>
    </xdr:from>
    <xdr:ext cx="2162644" cy="499367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3BE66B3-387F-4CD0-9D30-1D47FAED77AF}"/>
            </a:ext>
          </a:extLst>
        </xdr:cNvPr>
        <xdr:cNvSpPr/>
      </xdr:nvSpPr>
      <xdr:spPr>
        <a:xfrm>
          <a:off x="7276193" y="3390900"/>
          <a:ext cx="2162644" cy="49936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Waiting For Booking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hours</a:t>
          </a:r>
        </a:p>
        <a:p>
          <a:pPr algn="ctr"/>
          <a:r>
            <a:rPr lang="en-US" sz="12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85% midday hours</a:t>
          </a:r>
        </a:p>
      </xdr:txBody>
    </xdr:sp>
    <xdr:clientData/>
  </xdr:oneCellAnchor>
  <xdr:oneCellAnchor>
    <xdr:from>
      <xdr:col>15</xdr:col>
      <xdr:colOff>392793</xdr:colOff>
      <xdr:row>22</xdr:row>
      <xdr:rowOff>30480</xdr:rowOff>
    </xdr:from>
    <xdr:ext cx="1222834" cy="530658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A1F39CD-5B4B-4A9D-800A-F25CBECC8446}"/>
            </a:ext>
          </a:extLst>
        </xdr:cNvPr>
        <xdr:cNvSpPr/>
      </xdr:nvSpPr>
      <xdr:spPr>
        <a:xfrm>
          <a:off x="9536793" y="4099560"/>
          <a:ext cx="1222834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Active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Drivers</a:t>
          </a:r>
          <a:b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Avg. 61.7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8</xdr:col>
      <xdr:colOff>219477</xdr:colOff>
      <xdr:row>18</xdr:row>
      <xdr:rowOff>7620</xdr:rowOff>
    </xdr:from>
    <xdr:ext cx="1569468" cy="530658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AC81012-83BA-4286-8675-A97E7F633787}"/>
            </a:ext>
          </a:extLst>
        </xdr:cNvPr>
        <xdr:cNvSpPr/>
      </xdr:nvSpPr>
      <xdr:spPr>
        <a:xfrm>
          <a:off x="5096277" y="3345180"/>
          <a:ext cx="1569468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1" cap="none" spc="0">
              <a:ln>
                <a:noFill/>
              </a:ln>
              <a:solidFill>
                <a:sysClr val="windowText" lastClr="000000"/>
              </a:solidFill>
              <a:effectLst/>
            </a:rPr>
            <a:t>Has</a:t>
          </a: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Booking hours</a:t>
          </a:r>
          <a:b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</a:br>
          <a:r>
            <a:rPr lang="en-US" sz="1400" b="1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Driver Engaged</a:t>
          </a:r>
          <a:endParaRPr lang="en-US" sz="12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114300</xdr:rowOff>
    </xdr:from>
    <xdr:to>
      <xdr:col>17</xdr:col>
      <xdr:colOff>457200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1ECB89-DA9C-43F2-BFEE-3EE4E9A01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14</xdr:row>
      <xdr:rowOff>114299</xdr:rowOff>
    </xdr:from>
    <xdr:to>
      <xdr:col>12</xdr:col>
      <xdr:colOff>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585089-EF78-4D39-A51B-1EEB18429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1280160</xdr:colOff>
      <xdr:row>7</xdr:row>
      <xdr:rowOff>160020</xdr:rowOff>
    </xdr:from>
    <xdr:to>
      <xdr:col>14</xdr:col>
      <xdr:colOff>571500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86E3F-E14C-4CB3-96CE-A38F64998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16</xdr:row>
      <xdr:rowOff>0</xdr:rowOff>
    </xdr:from>
    <xdr:to>
      <xdr:col>29</xdr:col>
      <xdr:colOff>190500</xdr:colOff>
      <xdr:row>32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BF8DC-C848-4EAF-AF05-D6184AC85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43</xdr:row>
      <xdr:rowOff>0</xdr:rowOff>
    </xdr:from>
    <xdr:to>
      <xdr:col>17</xdr:col>
      <xdr:colOff>160020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60E5E4-3E06-42CA-A186-C2D67E7F9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312420</xdr:colOff>
      <xdr:row>63</xdr:row>
      <xdr:rowOff>76200</xdr:rowOff>
    </xdr:from>
    <xdr:to>
      <xdr:col>7</xdr:col>
      <xdr:colOff>800100</xdr:colOff>
      <xdr:row>75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709DB3-2BFB-322D-3703-2F9D98DA2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426720</xdr:colOff>
      <xdr:row>84</xdr:row>
      <xdr:rowOff>175260</xdr:rowOff>
    </xdr:from>
    <xdr:to>
      <xdr:col>6</xdr:col>
      <xdr:colOff>899160</xdr:colOff>
      <xdr:row>99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4B6A37-E625-35B3-E555-F732EA51D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266700</xdr:colOff>
      <xdr:row>70</xdr:row>
      <xdr:rowOff>129540</xdr:rowOff>
    </xdr:from>
    <xdr:to>
      <xdr:col>16</xdr:col>
      <xdr:colOff>891540</xdr:colOff>
      <xdr:row>85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80A4D4-9F7A-2D66-F422-9AD2CB646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670560</xdr:colOff>
      <xdr:row>0</xdr:row>
      <xdr:rowOff>106680</xdr:rowOff>
    </xdr:from>
    <xdr:to>
      <xdr:col>16</xdr:col>
      <xdr:colOff>1905000</xdr:colOff>
      <xdr:row>12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8AD909-6610-B4F1-5DCF-08552B5A7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</xdr:colOff>
      <xdr:row>13</xdr:row>
      <xdr:rowOff>7620</xdr:rowOff>
    </xdr:from>
    <xdr:to>
      <xdr:col>21</xdr:col>
      <xdr:colOff>15240</xdr:colOff>
      <xdr:row>25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14EB9-81B2-8DED-9511-9806DF6A6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36.531689004631" createdVersion="8" refreshedVersion="8" minRefreshableVersion="3" recordCount="839" xr:uid="{8B5123B2-7174-474E-A250-6CD50A7A1C1F}">
  <cacheSource type="worksheet">
    <worksheetSource name="Demand_Data___Hourly_OverviewSearch_1_csv"/>
  </cacheSource>
  <cacheFields count="16">
    <cacheField name="Date" numFmtId="0">
      <sharedItems/>
    </cacheField>
    <cacheField name="Hour" numFmtId="0">
      <sharedItems count="24">
        <s v=" 23"/>
        <s v=" 22"/>
        <s v=" 21"/>
        <s v=" 20"/>
        <s v=" 19"/>
        <s v=" 18"/>
        <s v=" 17"/>
        <s v=" 16"/>
        <s v=" 15"/>
        <s v=" 14"/>
        <s v=" 13"/>
        <s v=" 12"/>
        <s v=" 11"/>
        <s v=" 10"/>
        <s v=" 09"/>
        <s v=" 08"/>
        <s v=" 07"/>
        <s v=" 06"/>
        <s v=" 05"/>
        <s v=" 04"/>
        <s v=" 03"/>
        <s v=" 02"/>
        <s v=" 01"/>
        <s v=" 00"/>
      </sharedItems>
    </cacheField>
    <cacheField name="Day" numFmtId="0">
      <sharedItems containsSemiMixedTypes="0" containsString="0" containsNumber="1" containsInteger="1" minValue="1" maxValue="7" count="7">
        <n v="7"/>
        <n v="6"/>
        <n v="5"/>
        <n v="4"/>
        <n v="3"/>
        <n v="2"/>
        <n v="1"/>
      </sharedItems>
    </cacheField>
    <cacheField name="Date_Only" numFmtId="0">
      <sharedItems/>
    </cacheField>
    <cacheField name="WeekDay" numFmtId="0">
      <sharedItems count="7">
        <s v="Saturday"/>
        <s v="Friday"/>
        <s v="Thursday"/>
        <s v="Wednesday"/>
        <s v="Tuesday"/>
        <s v="Monday"/>
        <s v="Sunday"/>
      </sharedItems>
    </cacheField>
    <cacheField name="People saw 0 cars (unique)" numFmtId="0">
      <sharedItems containsSemiMixedTypes="0" containsString="0" containsNumber="1" containsInteger="1" minValue="0" maxValue="129"/>
    </cacheField>
    <cacheField name="People saw +1 cars (unique)" numFmtId="0">
      <sharedItems containsSemiMixedTypes="0" containsString="0" containsNumber="1" containsInteger="1" minValue="0" maxValue="172"/>
    </cacheField>
    <cacheField name="Coverage Ratio (%)" numFmtId="0">
      <sharedItems containsSemiMixedTypes="0" containsString="0" containsNumber="1" containsInteger="1" minValue="0" maxValue="100"/>
    </cacheField>
    <cacheField name="Active_Drivers" numFmtId="0">
      <sharedItems containsSemiMixedTypes="0" containsString="0" containsNumber="1" containsInteger="1" minValue="9" maxValue="129"/>
    </cacheField>
    <cacheField name="Online(H)" numFmtId="0">
      <sharedItems containsSemiMixedTypes="0" containsString="0" containsNumber="1" containsInteger="1" minValue="2" maxValue="56"/>
    </cacheField>
    <cacheField name="Has Booking(H)" numFmtId="0">
      <sharedItems containsSemiMixedTypes="0" containsString="0" containsNumber="1" containsInteger="1" minValue="0" maxValue="29"/>
    </cacheField>
    <cacheField name="Waiting for booking (h)" numFmtId="0">
      <sharedItems containsSemiMixedTypes="0" containsString="0" containsNumber="1" containsInteger="1" minValue="2" maxValue="48"/>
    </cacheField>
    <cacheField name="Hours per active driver" numFmtId="0">
      <sharedItems containsSemiMixedTypes="0" containsString="0" containsNumber="1" minValue="0.1" maxValue="0.6"/>
    </cacheField>
    <cacheField name="Rides per online hour" numFmtId="0">
      <sharedItems containsSemiMixedTypes="0" containsString="0" containsNumber="1" minValue="0" maxValue="2.0299999999999998"/>
    </cacheField>
    <cacheField name="Finished_Rides" numFmtId="0">
      <sharedItems containsSemiMixedTypes="0" containsString="0" containsNumber="1" containsInteger="1" minValue="0" maxValue="62"/>
    </cacheField>
    <cacheField name="Total_Demand" numFmtId="0">
      <sharedItems containsSemiMixedTypes="0" containsString="0" containsNumber="1" containsInteger="1" minValue="1" maxValue="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36.560235416669" createdVersion="8" refreshedVersion="8" minRefreshableVersion="3" recordCount="35" xr:uid="{940AE648-3898-4662-81B4-1E65C9FDD576}">
  <cacheSource type="worksheet">
    <worksheetSource ref="A1:P36" sheet="9 hour Analysis"/>
  </cacheSource>
  <cacheFields count="16">
    <cacheField name="Date" numFmtId="0">
      <sharedItems/>
    </cacheField>
    <cacheField name="Hour" numFmtId="0">
      <sharedItems/>
    </cacheField>
    <cacheField name="Day" numFmtId="0">
      <sharedItems containsSemiMixedTypes="0" containsString="0" containsNumber="1" containsInteger="1" minValue="1" maxValue="7" count="7">
        <n v="7"/>
        <n v="6"/>
        <n v="5"/>
        <n v="4"/>
        <n v="3"/>
        <n v="2"/>
        <n v="1"/>
      </sharedItems>
    </cacheField>
    <cacheField name="Date_Only" numFmtId="0">
      <sharedItems/>
    </cacheField>
    <cacheField name="WeekDay" numFmtId="0">
      <sharedItems/>
    </cacheField>
    <cacheField name="People saw 0 cars (unique)" numFmtId="0">
      <sharedItems containsSemiMixedTypes="0" containsString="0" containsNumber="1" containsInteger="1" minValue="1" maxValue="90"/>
    </cacheField>
    <cacheField name="People saw +1 cars (unique)" numFmtId="0">
      <sharedItems containsSemiMixedTypes="0" containsString="0" containsNumber="1" containsInteger="1" minValue="5" maxValue="73"/>
    </cacheField>
    <cacheField name="Coverage Ratio (%)" numFmtId="0">
      <sharedItems containsSemiMixedTypes="0" containsString="0" containsNumber="1" containsInteger="1" minValue="40" maxValue="95"/>
    </cacheField>
    <cacheField name="Active_Drivers" numFmtId="0">
      <sharedItems containsSemiMixedTypes="0" containsString="0" containsNumber="1" containsInteger="1" minValue="22" maxValue="84"/>
    </cacheField>
    <cacheField name="Online(H)" numFmtId="0">
      <sharedItems containsSemiMixedTypes="0" containsString="0" containsNumber="1" containsInteger="1" minValue="7" maxValue="35"/>
    </cacheField>
    <cacheField name="Has Booking(H)" numFmtId="0">
      <sharedItems containsSemiMixedTypes="0" containsString="0" containsNumber="1" containsInteger="1" minValue="0" maxValue="20"/>
    </cacheField>
    <cacheField name="Waiting for booking (h)" numFmtId="0">
      <sharedItems containsSemiMixedTypes="0" containsString="0" containsNumber="1" containsInteger="1" minValue="2" maxValue="29"/>
    </cacheField>
    <cacheField name="Hours per active driver" numFmtId="0">
      <sharedItems containsSemiMixedTypes="0" containsString="0" containsNumber="1" minValue="0.3" maxValue="0.5"/>
    </cacheField>
    <cacheField name="Rides per online hour" numFmtId="0">
      <sharedItems containsSemiMixedTypes="0" containsString="0" containsNumber="1" minValue="0" maxValue="1.68"/>
    </cacheField>
    <cacheField name="Finished_Rides" numFmtId="0">
      <sharedItems containsSemiMixedTypes="0" containsString="0" containsNumber="1" containsInteger="1" minValue="0" maxValue="37"/>
    </cacheField>
    <cacheField name="Total_Demand" numFmtId="0">
      <sharedItems containsSemiMixedTypes="0" containsString="0" containsNumber="1" containsInteger="1" minValue="10" maxValue="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36.604684027778" createdVersion="8" refreshedVersion="8" minRefreshableVersion="3" recordCount="839" xr:uid="{6BB7BA22-2E18-4AF8-891A-0A5032BD1BD7}">
  <cacheSource type="worksheet">
    <worksheetSource name="Demand_Data___Hourly_OverviewSearch_1_csv[[Date_Only]:[Total_Demand]]"/>
  </cacheSource>
  <cacheFields count="13">
    <cacheField name="Date_Only" numFmtId="0">
      <sharedItems count="35">
        <s v="2016-12-18 "/>
        <s v="2016-12-17 "/>
        <s v="2016-12-16 "/>
        <s v="2016-12-15 "/>
        <s v="2016-12-14 "/>
        <s v="2016-12-13 "/>
        <s v="2016-12-12 "/>
        <s v="2016-12-11 "/>
        <s v="2016-12-10 "/>
        <s v="2016-12-09 "/>
        <s v="2016-12-08 "/>
        <s v="2016-12-07 "/>
        <s v="2016-12-06 "/>
        <s v="2016-12-05 "/>
        <s v="2016-12-04 "/>
        <s v="2016-12-03 "/>
        <s v="2016-12-02 "/>
        <s v="2016-12-01 "/>
        <s v="2016-11-30 "/>
        <s v="2016-11-29 "/>
        <s v="2016-11-28 "/>
        <s v="2016-11-27 "/>
        <s v="2016-11-26 "/>
        <s v="2016-11-25 "/>
        <s v="2016-11-24 "/>
        <s v="2016-11-23 "/>
        <s v="2016-11-22 "/>
        <s v="2016-11-21 "/>
        <s v="2016-11-20 "/>
        <s v="2016-11-19 "/>
        <s v="2016-11-18 "/>
        <s v="2016-11-17 "/>
        <s v="2016-11-16 "/>
        <s v="2016-11-15 "/>
        <s v="2016-11-14 "/>
      </sharedItems>
    </cacheField>
    <cacheField name="WeekDay" numFmtId="0">
      <sharedItems count="7">
        <s v="Saturday"/>
        <s v="Friday"/>
        <s v="Thursday"/>
        <s v="Wednesday"/>
        <s v="Tuesday"/>
        <s v="Monday"/>
        <s v="Sunday"/>
      </sharedItems>
    </cacheField>
    <cacheField name="People saw 0 cars (unique)" numFmtId="0">
      <sharedItems containsSemiMixedTypes="0" containsString="0" containsNumber="1" containsInteger="1" minValue="0" maxValue="129"/>
    </cacheField>
    <cacheField name="People saw +1 cars (unique)" numFmtId="0">
      <sharedItems containsSemiMixedTypes="0" containsString="0" containsNumber="1" containsInteger="1" minValue="0" maxValue="172"/>
    </cacheField>
    <cacheField name="Coverage Ratio (%)" numFmtId="0">
      <sharedItems containsSemiMixedTypes="0" containsString="0" containsNumber="1" containsInteger="1" minValue="0" maxValue="100"/>
    </cacheField>
    <cacheField name="Active_Drivers" numFmtId="0">
      <sharedItems containsSemiMixedTypes="0" containsString="0" containsNumber="1" containsInteger="1" minValue="9" maxValue="129"/>
    </cacheField>
    <cacheField name="Online(H)" numFmtId="0">
      <sharedItems containsSemiMixedTypes="0" containsString="0" containsNumber="1" containsInteger="1" minValue="2" maxValue="56"/>
    </cacheField>
    <cacheField name="Has Booking(H)" numFmtId="0">
      <sharedItems containsSemiMixedTypes="0" containsString="0" containsNumber="1" containsInteger="1" minValue="0" maxValue="29"/>
    </cacheField>
    <cacheField name="Waiting for booking (h)" numFmtId="0">
      <sharedItems containsSemiMixedTypes="0" containsString="0" containsNumber="1" containsInteger="1" minValue="2" maxValue="48"/>
    </cacheField>
    <cacheField name="Hours per active driver" numFmtId="0">
      <sharedItems containsSemiMixedTypes="0" containsString="0" containsNumber="1" minValue="0.1" maxValue="0.6"/>
    </cacheField>
    <cacheField name="Rides per online hour" numFmtId="0">
      <sharedItems containsSemiMixedTypes="0" containsString="0" containsNumber="1" minValue="0" maxValue="2.0299999999999998"/>
    </cacheField>
    <cacheField name="Finished_Rides" numFmtId="0">
      <sharedItems containsSemiMixedTypes="0" containsString="0" containsNumber="1" containsInteger="1" minValue="0" maxValue="62"/>
    </cacheField>
    <cacheField name="Total_Demand" numFmtId="0">
      <sharedItems containsSemiMixedTypes="0" containsString="0" containsNumber="1" containsInteger="1" minValue="1" maxValue="270" count="143">
        <n v="41"/>
        <n v="93"/>
        <n v="44"/>
        <n v="61"/>
        <n v="89"/>
        <n v="75"/>
        <n v="70"/>
        <n v="80"/>
        <n v="59"/>
        <n v="65"/>
        <n v="29"/>
        <n v="22"/>
        <n v="12"/>
        <n v="10"/>
        <n v="5"/>
        <n v="18"/>
        <n v="45"/>
        <n v="102"/>
        <n v="87"/>
        <n v="90"/>
        <n v="88"/>
        <n v="121"/>
        <n v="132"/>
        <n v="123"/>
        <n v="71"/>
        <n v="51"/>
        <n v="53"/>
        <n v="74"/>
        <n v="48"/>
        <n v="58"/>
        <n v="55"/>
        <n v="54"/>
        <n v="62"/>
        <n v="32"/>
        <n v="19"/>
        <n v="37"/>
        <n v="160"/>
        <n v="192"/>
        <n v="169"/>
        <n v="165"/>
        <n v="166"/>
        <n v="112"/>
        <n v="128"/>
        <n v="259"/>
        <n v="270"/>
        <n v="231"/>
        <n v="156"/>
        <n v="139"/>
        <n v="116"/>
        <n v="101"/>
        <n v="91"/>
        <n v="81"/>
        <n v="85"/>
        <n v="104"/>
        <n v="163"/>
        <n v="35"/>
        <n v="6"/>
        <n v="31"/>
        <n v="77"/>
        <n v="86"/>
        <n v="113"/>
        <n v="171"/>
        <n v="186"/>
        <n v="196"/>
        <n v="117"/>
        <n v="66"/>
        <n v="43"/>
        <n v="60"/>
        <n v="63"/>
        <n v="50"/>
        <n v="100"/>
        <n v="94"/>
        <n v="4"/>
        <n v="3"/>
        <n v="8"/>
        <n v="36"/>
        <n v="84"/>
        <n v="105"/>
        <n v="154"/>
        <n v="162"/>
        <n v="109"/>
        <n v="38"/>
        <n v="125"/>
        <n v="95"/>
        <n v="39"/>
        <n v="15"/>
        <n v="21"/>
        <n v="76"/>
        <n v="92"/>
        <n v="134"/>
        <n v="82"/>
        <n v="30"/>
        <n v="46"/>
        <n v="42"/>
        <n v="47"/>
        <n v="111"/>
        <n v="1"/>
        <n v="17"/>
        <n v="64"/>
        <n v="28"/>
        <n v="34"/>
        <n v="2"/>
        <n v="7"/>
        <n v="72"/>
        <n v="67"/>
        <n v="52"/>
        <n v="24"/>
        <n v="23"/>
        <n v="9"/>
        <n v="83"/>
        <n v="69"/>
        <n v="98"/>
        <n v="49"/>
        <n v="26"/>
        <n v="25"/>
        <n v="106"/>
        <n v="97"/>
        <n v="78"/>
        <n v="140"/>
        <n v="133"/>
        <n v="126"/>
        <n v="135"/>
        <n v="20"/>
        <n v="33"/>
        <n v="56"/>
        <n v="153"/>
        <n v="174"/>
        <n v="110"/>
        <n v="13"/>
        <n v="16"/>
        <n v="122"/>
        <n v="115"/>
        <n v="40"/>
        <n v="27"/>
        <n v="11"/>
        <n v="14"/>
        <n v="68"/>
        <n v="57"/>
        <n v="99"/>
        <n v="73"/>
        <n v="108"/>
        <n v="96"/>
        <n v="1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">
  <r>
    <s v="2016-12-18 23"/>
    <x v="0"/>
    <x v="0"/>
    <s v="2016-12-18 "/>
    <x v="0"/>
    <n v="9"/>
    <n v="32"/>
    <n v="78"/>
    <n v="52"/>
    <n v="18"/>
    <n v="6"/>
    <n v="11"/>
    <n v="0.3"/>
    <n v="0.67"/>
    <n v="12"/>
    <n v="41"/>
  </r>
  <r>
    <s v="2016-12-18 22"/>
    <x v="1"/>
    <x v="0"/>
    <s v="2016-12-18 "/>
    <x v="0"/>
    <n v="29"/>
    <n v="64"/>
    <n v="69"/>
    <n v="59"/>
    <n v="20"/>
    <n v="11"/>
    <n v="9"/>
    <n v="0.3"/>
    <n v="1.4"/>
    <n v="28"/>
    <n v="93"/>
  </r>
  <r>
    <s v="2016-12-18 21"/>
    <x v="2"/>
    <x v="0"/>
    <s v="2016-12-18 "/>
    <x v="0"/>
    <n v="5"/>
    <n v="39"/>
    <n v="89"/>
    <n v="72"/>
    <n v="25"/>
    <n v="7"/>
    <n v="18"/>
    <n v="0.3"/>
    <n v="0.64"/>
    <n v="16"/>
    <n v="44"/>
  </r>
  <r>
    <s v="2016-12-18 20"/>
    <x v="3"/>
    <x v="0"/>
    <s v="2016-12-18 "/>
    <x v="0"/>
    <n v="13"/>
    <n v="48"/>
    <n v="79"/>
    <n v="86"/>
    <n v="29"/>
    <n v="7"/>
    <n v="23"/>
    <n v="0.3"/>
    <n v="0.52"/>
    <n v="15"/>
    <n v="61"/>
  </r>
  <r>
    <s v="2016-12-18 19"/>
    <x v="4"/>
    <x v="0"/>
    <s v="2016-12-18 "/>
    <x v="0"/>
    <n v="12"/>
    <n v="77"/>
    <n v="87"/>
    <n v="82"/>
    <n v="31"/>
    <n v="14"/>
    <n v="17"/>
    <n v="0.4"/>
    <n v="1.1599999999999999"/>
    <n v="36"/>
    <n v="89"/>
  </r>
  <r>
    <s v="2016-12-18 18"/>
    <x v="5"/>
    <x v="0"/>
    <s v="2016-12-18 "/>
    <x v="0"/>
    <n v="13"/>
    <n v="62"/>
    <n v="83"/>
    <n v="81"/>
    <n v="32"/>
    <n v="14"/>
    <n v="18"/>
    <n v="0.4"/>
    <n v="1"/>
    <n v="32"/>
    <n v="75"/>
  </r>
  <r>
    <s v="2016-12-18 17"/>
    <x v="6"/>
    <x v="0"/>
    <s v="2016-12-18 "/>
    <x v="0"/>
    <n v="9"/>
    <n v="61"/>
    <n v="87"/>
    <n v="72"/>
    <n v="30"/>
    <n v="13"/>
    <n v="17"/>
    <n v="0.4"/>
    <n v="0.87"/>
    <n v="26"/>
    <n v="70"/>
  </r>
  <r>
    <s v="2016-12-18 16"/>
    <x v="7"/>
    <x v="0"/>
    <s v="2016-12-18 "/>
    <x v="0"/>
    <n v="20"/>
    <n v="60"/>
    <n v="75"/>
    <n v="68"/>
    <n v="23"/>
    <n v="9"/>
    <n v="13"/>
    <n v="0.3"/>
    <n v="1.04"/>
    <n v="24"/>
    <n v="80"/>
  </r>
  <r>
    <s v="2016-12-18 15"/>
    <x v="8"/>
    <x v="0"/>
    <s v="2016-12-18 "/>
    <x v="0"/>
    <n v="7"/>
    <n v="37"/>
    <n v="84"/>
    <n v="65"/>
    <n v="24"/>
    <n v="5"/>
    <n v="19"/>
    <n v="0.4"/>
    <n v="0.5"/>
    <n v="12"/>
    <n v="44"/>
  </r>
  <r>
    <s v="2016-12-18 14"/>
    <x v="9"/>
    <x v="0"/>
    <s v="2016-12-18 "/>
    <x v="0"/>
    <n v="16"/>
    <n v="43"/>
    <n v="73"/>
    <n v="50"/>
    <n v="17"/>
    <n v="7"/>
    <n v="10"/>
    <n v="0.3"/>
    <n v="0.82"/>
    <n v="14"/>
    <n v="59"/>
  </r>
  <r>
    <s v="2016-12-18 13"/>
    <x v="10"/>
    <x v="0"/>
    <s v="2016-12-18 "/>
    <x v="0"/>
    <n v="19"/>
    <n v="46"/>
    <n v="71"/>
    <n v="44"/>
    <n v="15"/>
    <n v="7"/>
    <n v="7"/>
    <n v="0.3"/>
    <n v="1.47"/>
    <n v="22"/>
    <n v="65"/>
  </r>
  <r>
    <s v="2016-12-18 12"/>
    <x v="11"/>
    <x v="0"/>
    <s v="2016-12-18 "/>
    <x v="0"/>
    <n v="9"/>
    <n v="35"/>
    <n v="80"/>
    <n v="40"/>
    <n v="15"/>
    <n v="3"/>
    <n v="11"/>
    <n v="0.4"/>
    <n v="0.67"/>
    <n v="10"/>
    <n v="44"/>
  </r>
  <r>
    <s v="2016-12-18 11"/>
    <x v="12"/>
    <x v="0"/>
    <s v="2016-12-18 "/>
    <x v="0"/>
    <n v="9"/>
    <n v="20"/>
    <n v="69"/>
    <n v="38"/>
    <n v="10"/>
    <n v="2"/>
    <n v="8"/>
    <n v="0.3"/>
    <n v="0.5"/>
    <n v="5"/>
    <n v="29"/>
  </r>
  <r>
    <s v="2016-12-18 10"/>
    <x v="13"/>
    <x v="0"/>
    <s v="2016-12-18 "/>
    <x v="0"/>
    <n v="7"/>
    <n v="15"/>
    <n v="68"/>
    <n v="29"/>
    <n v="9"/>
    <n v="1"/>
    <n v="8"/>
    <n v="0.3"/>
    <n v="0.22"/>
    <n v="2"/>
    <n v="22"/>
  </r>
  <r>
    <s v="2016-12-18 09"/>
    <x v="14"/>
    <x v="0"/>
    <s v="2016-12-18 "/>
    <x v="0"/>
    <n v="7"/>
    <n v="5"/>
    <n v="42"/>
    <n v="22"/>
    <n v="7"/>
    <n v="1"/>
    <n v="6"/>
    <n v="0.3"/>
    <n v="0.14000000000000001"/>
    <n v="1"/>
    <n v="12"/>
  </r>
  <r>
    <s v="2016-12-18 08"/>
    <x v="15"/>
    <x v="0"/>
    <s v="2016-12-18 "/>
    <x v="0"/>
    <n v="0"/>
    <n v="10"/>
    <n v="100"/>
    <n v="24"/>
    <n v="7"/>
    <n v="1"/>
    <n v="6"/>
    <n v="0.3"/>
    <n v="0.28999999999999998"/>
    <n v="2"/>
    <n v="10"/>
  </r>
  <r>
    <s v="2016-12-18 07"/>
    <x v="16"/>
    <x v="0"/>
    <s v="2016-12-18 "/>
    <x v="0"/>
    <n v="1"/>
    <n v="4"/>
    <n v="80"/>
    <n v="28"/>
    <n v="9"/>
    <n v="1"/>
    <n v="8"/>
    <n v="0.3"/>
    <n v="0"/>
    <n v="0"/>
    <n v="5"/>
  </r>
  <r>
    <s v="2016-12-18 06"/>
    <x v="17"/>
    <x v="0"/>
    <s v="2016-12-18 "/>
    <x v="0"/>
    <n v="3"/>
    <n v="15"/>
    <n v="83"/>
    <n v="38"/>
    <n v="12"/>
    <n v="3"/>
    <n v="9"/>
    <n v="0.3"/>
    <n v="0.42"/>
    <n v="5"/>
    <n v="18"/>
  </r>
  <r>
    <s v="2016-12-18 05"/>
    <x v="18"/>
    <x v="0"/>
    <s v="2016-12-18 "/>
    <x v="0"/>
    <n v="12"/>
    <n v="33"/>
    <n v="73"/>
    <n v="46"/>
    <n v="16"/>
    <n v="7"/>
    <n v="9"/>
    <n v="0.3"/>
    <n v="0.69"/>
    <n v="11"/>
    <n v="45"/>
  </r>
  <r>
    <s v="2016-12-18 04"/>
    <x v="19"/>
    <x v="0"/>
    <s v="2016-12-18 "/>
    <x v="0"/>
    <n v="47"/>
    <n v="55"/>
    <n v="54"/>
    <n v="46"/>
    <n v="16"/>
    <n v="12"/>
    <n v="4"/>
    <n v="0.3"/>
    <n v="1.88"/>
    <n v="30"/>
    <n v="102"/>
  </r>
  <r>
    <s v="2016-12-18 03"/>
    <x v="20"/>
    <x v="0"/>
    <s v="2016-12-18 "/>
    <x v="0"/>
    <n v="15"/>
    <n v="72"/>
    <n v="83"/>
    <n v="54"/>
    <n v="23"/>
    <n v="10"/>
    <n v="12"/>
    <n v="0.4"/>
    <n v="1.17"/>
    <n v="27"/>
    <n v="87"/>
  </r>
  <r>
    <s v="2016-12-18 02"/>
    <x v="21"/>
    <x v="0"/>
    <s v="2016-12-18 "/>
    <x v="0"/>
    <n v="1"/>
    <n v="64"/>
    <n v="98"/>
    <n v="68"/>
    <n v="25"/>
    <n v="7"/>
    <n v="18"/>
    <n v="0.4"/>
    <n v="1"/>
    <n v="25"/>
    <n v="65"/>
  </r>
  <r>
    <s v="2016-12-18 01"/>
    <x v="22"/>
    <x v="0"/>
    <s v="2016-12-18 "/>
    <x v="0"/>
    <n v="21"/>
    <n v="69"/>
    <n v="77"/>
    <n v="79"/>
    <n v="25"/>
    <n v="13"/>
    <n v="12"/>
    <n v="0.3"/>
    <n v="1.1599999999999999"/>
    <n v="29"/>
    <n v="90"/>
  </r>
  <r>
    <s v="2016-12-18 00"/>
    <x v="23"/>
    <x v="0"/>
    <s v="2016-12-18 "/>
    <x v="0"/>
    <n v="7"/>
    <n v="81"/>
    <n v="92"/>
    <n v="89"/>
    <n v="35"/>
    <n v="11"/>
    <n v="24"/>
    <n v="0.4"/>
    <n v="1.03"/>
    <n v="36"/>
    <n v="88"/>
  </r>
  <r>
    <s v="2016-12-17 23"/>
    <x v="0"/>
    <x v="1"/>
    <s v="2016-12-17 "/>
    <x v="1"/>
    <n v="10"/>
    <n v="79"/>
    <n v="89"/>
    <n v="100"/>
    <n v="38"/>
    <n v="12"/>
    <n v="27"/>
    <n v="0.4"/>
    <n v="0.82"/>
    <n v="31"/>
    <n v="89"/>
  </r>
  <r>
    <s v="2016-12-17 22"/>
    <x v="1"/>
    <x v="1"/>
    <s v="2016-12-17 "/>
    <x v="1"/>
    <n v="5"/>
    <n v="83"/>
    <n v="94"/>
    <n v="114"/>
    <n v="44"/>
    <n v="14"/>
    <n v="31"/>
    <n v="0.4"/>
    <n v="0.73"/>
    <n v="32"/>
    <n v="88"/>
  </r>
  <r>
    <s v="2016-12-17 21"/>
    <x v="2"/>
    <x v="1"/>
    <s v="2016-12-17 "/>
    <x v="1"/>
    <n v="25"/>
    <n v="96"/>
    <n v="79"/>
    <n v="103"/>
    <n v="39"/>
    <n v="18"/>
    <n v="21"/>
    <n v="0.4"/>
    <n v="1.21"/>
    <n v="47"/>
    <n v="121"/>
  </r>
  <r>
    <s v="2016-12-17 20"/>
    <x v="3"/>
    <x v="1"/>
    <s v="2016-12-17 "/>
    <x v="1"/>
    <n v="48"/>
    <n v="84"/>
    <n v="64"/>
    <n v="88"/>
    <n v="32"/>
    <n v="19"/>
    <n v="13"/>
    <n v="0.4"/>
    <n v="1.5"/>
    <n v="48"/>
    <n v="132"/>
  </r>
  <r>
    <s v="2016-12-17 19"/>
    <x v="4"/>
    <x v="1"/>
    <s v="2016-12-17 "/>
    <x v="1"/>
    <n v="34"/>
    <n v="89"/>
    <n v="72"/>
    <n v="84"/>
    <n v="28"/>
    <n v="16"/>
    <n v="13"/>
    <n v="0.3"/>
    <n v="1.36"/>
    <n v="38"/>
    <n v="123"/>
  </r>
  <r>
    <s v="2016-12-17 18"/>
    <x v="5"/>
    <x v="1"/>
    <s v="2016-12-17 "/>
    <x v="1"/>
    <n v="17"/>
    <n v="54"/>
    <n v="76"/>
    <n v="82"/>
    <n v="30"/>
    <n v="7"/>
    <n v="23"/>
    <n v="0.4"/>
    <n v="0.67"/>
    <n v="20"/>
    <n v="71"/>
  </r>
  <r>
    <s v="2016-12-17 17"/>
    <x v="6"/>
    <x v="1"/>
    <s v="2016-12-17 "/>
    <x v="1"/>
    <n v="24"/>
    <n v="63"/>
    <n v="72"/>
    <n v="69"/>
    <n v="23"/>
    <n v="10"/>
    <n v="14"/>
    <n v="0.3"/>
    <n v="0.91"/>
    <n v="21"/>
    <n v="87"/>
  </r>
  <r>
    <s v="2016-12-17 16"/>
    <x v="7"/>
    <x v="1"/>
    <s v="2016-12-17 "/>
    <x v="1"/>
    <n v="7"/>
    <n v="44"/>
    <n v="86"/>
    <n v="70"/>
    <n v="22"/>
    <n v="7"/>
    <n v="14"/>
    <n v="0.3"/>
    <n v="0.91"/>
    <n v="20"/>
    <n v="51"/>
  </r>
  <r>
    <s v="2016-12-17 15"/>
    <x v="8"/>
    <x v="1"/>
    <s v="2016-12-17 "/>
    <x v="1"/>
    <n v="14"/>
    <n v="39"/>
    <n v="74"/>
    <n v="62"/>
    <n v="21"/>
    <n v="6"/>
    <n v="15"/>
    <n v="0.3"/>
    <n v="0.67"/>
    <n v="14"/>
    <n v="53"/>
  </r>
  <r>
    <s v="2016-12-17 14"/>
    <x v="9"/>
    <x v="1"/>
    <s v="2016-12-17 "/>
    <x v="1"/>
    <n v="23"/>
    <n v="51"/>
    <n v="69"/>
    <n v="49"/>
    <n v="14"/>
    <n v="7"/>
    <n v="7"/>
    <n v="0.3"/>
    <n v="1.21"/>
    <n v="17"/>
    <n v="74"/>
  </r>
  <r>
    <s v="2016-12-17 13"/>
    <x v="10"/>
    <x v="1"/>
    <s v="2016-12-17 "/>
    <x v="1"/>
    <n v="16"/>
    <n v="32"/>
    <n v="67"/>
    <n v="40"/>
    <n v="13"/>
    <n v="4"/>
    <n v="9"/>
    <n v="0.3"/>
    <n v="0.69"/>
    <n v="9"/>
    <n v="48"/>
  </r>
  <r>
    <s v="2016-12-17 12"/>
    <x v="11"/>
    <x v="1"/>
    <s v="2016-12-17 "/>
    <x v="1"/>
    <n v="16"/>
    <n v="42"/>
    <n v="72"/>
    <n v="41"/>
    <n v="15"/>
    <n v="3"/>
    <n v="12"/>
    <n v="0.4"/>
    <n v="0.4"/>
    <n v="6"/>
    <n v="58"/>
  </r>
  <r>
    <s v="2016-12-17 11"/>
    <x v="12"/>
    <x v="1"/>
    <s v="2016-12-17 "/>
    <x v="1"/>
    <n v="30"/>
    <n v="25"/>
    <n v="45"/>
    <n v="34"/>
    <n v="12"/>
    <n v="5"/>
    <n v="7"/>
    <n v="0.4"/>
    <n v="1.08"/>
    <n v="13"/>
    <n v="55"/>
  </r>
  <r>
    <s v="2016-12-17 10"/>
    <x v="13"/>
    <x v="1"/>
    <s v="2016-12-17 "/>
    <x v="1"/>
    <n v="36"/>
    <n v="18"/>
    <n v="33"/>
    <n v="28"/>
    <n v="6"/>
    <n v="2"/>
    <n v="3"/>
    <n v="0.2"/>
    <n v="1"/>
    <n v="6"/>
    <n v="54"/>
  </r>
  <r>
    <s v="2016-12-17 09"/>
    <x v="14"/>
    <x v="1"/>
    <s v="2016-12-17 "/>
    <x v="1"/>
    <n v="37"/>
    <n v="25"/>
    <n v="40"/>
    <n v="23"/>
    <n v="7"/>
    <n v="4"/>
    <n v="2"/>
    <n v="0.3"/>
    <n v="1.1399999999999999"/>
    <n v="8"/>
    <n v="62"/>
  </r>
  <r>
    <s v="2016-12-17 08"/>
    <x v="15"/>
    <x v="1"/>
    <s v="2016-12-17 "/>
    <x v="1"/>
    <n v="17"/>
    <n v="15"/>
    <n v="47"/>
    <n v="23"/>
    <n v="6"/>
    <n v="1"/>
    <n v="4"/>
    <n v="0.3"/>
    <n v="0.67"/>
    <n v="4"/>
    <n v="32"/>
  </r>
  <r>
    <s v="2016-12-17 07"/>
    <x v="16"/>
    <x v="1"/>
    <s v="2016-12-17 "/>
    <x v="1"/>
    <n v="8"/>
    <n v="11"/>
    <n v="58"/>
    <n v="20"/>
    <n v="7"/>
    <n v="2"/>
    <n v="6"/>
    <n v="0.3"/>
    <n v="0.71"/>
    <n v="5"/>
    <n v="19"/>
  </r>
  <r>
    <s v="2016-12-17 06"/>
    <x v="17"/>
    <x v="1"/>
    <s v="2016-12-17 "/>
    <x v="1"/>
    <n v="10"/>
    <n v="9"/>
    <n v="47"/>
    <n v="36"/>
    <n v="7"/>
    <n v="3"/>
    <n v="4"/>
    <n v="0.2"/>
    <n v="0.43"/>
    <n v="3"/>
    <n v="19"/>
  </r>
  <r>
    <s v="2016-12-17 05"/>
    <x v="18"/>
    <x v="1"/>
    <s v="2016-12-17 "/>
    <x v="1"/>
    <n v="12"/>
    <n v="25"/>
    <n v="68"/>
    <n v="51"/>
    <n v="11"/>
    <n v="6"/>
    <n v="5"/>
    <n v="0.2"/>
    <n v="0.91"/>
    <n v="10"/>
    <n v="37"/>
  </r>
  <r>
    <s v="2016-12-17 04"/>
    <x v="19"/>
    <x v="1"/>
    <s v="2016-12-17 "/>
    <x v="1"/>
    <n v="106"/>
    <n v="54"/>
    <n v="34"/>
    <n v="46"/>
    <n v="14"/>
    <n v="11"/>
    <n v="3"/>
    <n v="0.3"/>
    <n v="1.86"/>
    <n v="26"/>
    <n v="160"/>
  </r>
  <r>
    <s v="2016-12-17 03"/>
    <x v="20"/>
    <x v="1"/>
    <s v="2016-12-17 "/>
    <x v="1"/>
    <n v="105"/>
    <n v="87"/>
    <n v="45"/>
    <n v="64"/>
    <n v="21"/>
    <n v="16"/>
    <n v="5"/>
    <n v="0.3"/>
    <n v="1.76"/>
    <n v="37"/>
    <n v="192"/>
  </r>
  <r>
    <s v="2016-12-17 02"/>
    <x v="21"/>
    <x v="1"/>
    <s v="2016-12-17 "/>
    <x v="1"/>
    <n v="67"/>
    <n v="102"/>
    <n v="60"/>
    <n v="74"/>
    <n v="27"/>
    <n v="19"/>
    <n v="8"/>
    <n v="0.4"/>
    <n v="1.52"/>
    <n v="41"/>
    <n v="169"/>
  </r>
  <r>
    <s v="2016-12-17 01"/>
    <x v="22"/>
    <x v="1"/>
    <s v="2016-12-17 "/>
    <x v="1"/>
    <n v="69"/>
    <n v="96"/>
    <n v="58"/>
    <n v="83"/>
    <n v="29"/>
    <n v="20"/>
    <n v="9"/>
    <n v="0.3"/>
    <n v="2.0299999999999998"/>
    <n v="59"/>
    <n v="165"/>
  </r>
  <r>
    <s v="2016-12-17 00"/>
    <x v="23"/>
    <x v="1"/>
    <s v="2016-12-17 "/>
    <x v="1"/>
    <n v="51"/>
    <n v="115"/>
    <n v="69"/>
    <n v="95"/>
    <n v="34"/>
    <n v="22"/>
    <n v="12"/>
    <n v="0.4"/>
    <n v="1.38"/>
    <n v="47"/>
    <n v="166"/>
  </r>
  <r>
    <s v="2016-12-16 23"/>
    <x v="0"/>
    <x v="2"/>
    <s v="2016-12-16 "/>
    <x v="2"/>
    <n v="5"/>
    <n v="107"/>
    <n v="96"/>
    <n v="119"/>
    <n v="43"/>
    <n v="17"/>
    <n v="26"/>
    <n v="0.4"/>
    <n v="1.1399999999999999"/>
    <n v="49"/>
    <n v="112"/>
  </r>
  <r>
    <s v="2016-12-16 22"/>
    <x v="1"/>
    <x v="2"/>
    <s v="2016-12-16 "/>
    <x v="2"/>
    <n v="21"/>
    <n v="107"/>
    <n v="84"/>
    <n v="129"/>
    <n v="47"/>
    <n v="17"/>
    <n v="30"/>
    <n v="0.4"/>
    <n v="0.98"/>
    <n v="46"/>
    <n v="128"/>
  </r>
  <r>
    <s v="2016-12-16 21"/>
    <x v="2"/>
    <x v="2"/>
    <s v="2016-12-16 "/>
    <x v="2"/>
    <n v="39"/>
    <n v="153"/>
    <n v="80"/>
    <n v="126"/>
    <n v="50"/>
    <n v="22"/>
    <n v="28"/>
    <n v="0.4"/>
    <n v="0.8"/>
    <n v="40"/>
    <n v="192"/>
  </r>
  <r>
    <s v="2016-12-16 20"/>
    <x v="3"/>
    <x v="2"/>
    <s v="2016-12-16 "/>
    <x v="2"/>
    <n v="87"/>
    <n v="172"/>
    <n v="66"/>
    <n v="108"/>
    <n v="38"/>
    <n v="25"/>
    <n v="13"/>
    <n v="0.4"/>
    <n v="1.63"/>
    <n v="62"/>
    <n v="259"/>
  </r>
  <r>
    <s v="2016-12-16 19"/>
    <x v="4"/>
    <x v="2"/>
    <s v="2016-12-16 "/>
    <x v="2"/>
    <n v="129"/>
    <n v="141"/>
    <n v="52"/>
    <n v="93"/>
    <n v="33"/>
    <n v="24"/>
    <n v="8"/>
    <n v="0.4"/>
    <n v="1.0900000000000001"/>
    <n v="36"/>
    <n v="270"/>
  </r>
  <r>
    <s v="2016-12-16 18"/>
    <x v="5"/>
    <x v="2"/>
    <s v="2016-12-16 "/>
    <x v="2"/>
    <n v="62"/>
    <n v="169"/>
    <n v="73"/>
    <n v="92"/>
    <n v="41"/>
    <n v="29"/>
    <n v="11"/>
    <n v="0.4"/>
    <n v="1.1499999999999999"/>
    <n v="47"/>
    <n v="231"/>
  </r>
  <r>
    <s v="2016-12-16 17"/>
    <x v="6"/>
    <x v="2"/>
    <s v="2016-12-16 "/>
    <x v="2"/>
    <n v="29"/>
    <n v="127"/>
    <n v="81"/>
    <n v="91"/>
    <n v="36"/>
    <n v="17"/>
    <n v="18"/>
    <n v="0.4"/>
    <n v="0.89"/>
    <n v="32"/>
    <n v="156"/>
  </r>
  <r>
    <s v="2016-12-16 16"/>
    <x v="7"/>
    <x v="2"/>
    <s v="2016-12-16 "/>
    <x v="2"/>
    <n v="85"/>
    <n v="54"/>
    <n v="39"/>
    <n v="61"/>
    <n v="18"/>
    <n v="12"/>
    <n v="7"/>
    <n v="0.3"/>
    <n v="1"/>
    <n v="18"/>
    <n v="139"/>
  </r>
  <r>
    <s v="2016-12-16 15"/>
    <x v="8"/>
    <x v="2"/>
    <s v="2016-12-16 "/>
    <x v="2"/>
    <n v="80"/>
    <n v="36"/>
    <n v="31"/>
    <n v="53"/>
    <n v="14"/>
    <n v="9"/>
    <n v="5"/>
    <n v="0.3"/>
    <n v="0.93"/>
    <n v="13"/>
    <n v="116"/>
  </r>
  <r>
    <s v="2016-12-16 14"/>
    <x v="9"/>
    <x v="2"/>
    <s v="2016-12-16 "/>
    <x v="2"/>
    <n v="54"/>
    <n v="47"/>
    <n v="47"/>
    <n v="56"/>
    <n v="12"/>
    <n v="6"/>
    <n v="7"/>
    <n v="0.2"/>
    <n v="1"/>
    <n v="12"/>
    <n v="101"/>
  </r>
  <r>
    <s v="2016-12-16 13"/>
    <x v="10"/>
    <x v="2"/>
    <s v="2016-12-16 "/>
    <x v="2"/>
    <n v="66"/>
    <n v="25"/>
    <n v="27"/>
    <n v="43"/>
    <n v="14"/>
    <n v="8"/>
    <n v="5"/>
    <n v="0.3"/>
    <n v="0.71"/>
    <n v="10"/>
    <n v="91"/>
  </r>
  <r>
    <s v="2016-12-16 12"/>
    <x v="11"/>
    <x v="2"/>
    <s v="2016-12-16 "/>
    <x v="2"/>
    <n v="37"/>
    <n v="44"/>
    <n v="54"/>
    <n v="44"/>
    <n v="16"/>
    <n v="8"/>
    <n v="8"/>
    <n v="0.4"/>
    <n v="0.94"/>
    <n v="15"/>
    <n v="81"/>
  </r>
  <r>
    <s v="2016-12-16 11"/>
    <x v="12"/>
    <x v="2"/>
    <s v="2016-12-16 "/>
    <x v="2"/>
    <n v="32"/>
    <n v="53"/>
    <n v="62"/>
    <n v="56"/>
    <n v="20"/>
    <n v="8"/>
    <n v="12"/>
    <n v="0.4"/>
    <n v="0.5"/>
    <n v="10"/>
    <n v="85"/>
  </r>
  <r>
    <s v="2016-12-16 10"/>
    <x v="13"/>
    <x v="2"/>
    <s v="2016-12-16 "/>
    <x v="2"/>
    <n v="44"/>
    <n v="60"/>
    <n v="58"/>
    <n v="53"/>
    <n v="22"/>
    <n v="11"/>
    <n v="11"/>
    <n v="0.4"/>
    <n v="0.91"/>
    <n v="20"/>
    <n v="104"/>
  </r>
  <r>
    <s v="2016-12-16 09"/>
    <x v="14"/>
    <x v="2"/>
    <s v="2016-12-16 "/>
    <x v="2"/>
    <n v="90"/>
    <n v="73"/>
    <n v="45"/>
    <n v="47"/>
    <n v="22"/>
    <n v="17"/>
    <n v="5"/>
    <n v="0.5"/>
    <n v="1.59"/>
    <n v="35"/>
    <n v="163"/>
  </r>
  <r>
    <s v="2016-12-16 08"/>
    <x v="15"/>
    <x v="2"/>
    <s v="2016-12-16 "/>
    <x v="2"/>
    <n v="54"/>
    <n v="50"/>
    <n v="48"/>
    <n v="40"/>
    <n v="12"/>
    <n v="8"/>
    <n v="5"/>
    <n v="0.3"/>
    <n v="1.58"/>
    <n v="19"/>
    <n v="104"/>
  </r>
  <r>
    <s v="2016-12-16 07"/>
    <x v="16"/>
    <x v="2"/>
    <s v="2016-12-16 "/>
    <x v="2"/>
    <n v="22"/>
    <n v="13"/>
    <n v="37"/>
    <n v="28"/>
    <n v="7"/>
    <n v="2"/>
    <n v="5"/>
    <n v="0.3"/>
    <n v="0.86"/>
    <n v="6"/>
    <n v="35"/>
  </r>
  <r>
    <s v="2016-12-16 06"/>
    <x v="17"/>
    <x v="2"/>
    <s v="2016-12-16 "/>
    <x v="2"/>
    <n v="2"/>
    <n v="3"/>
    <n v="60"/>
    <n v="17"/>
    <n v="4"/>
    <n v="0"/>
    <n v="3"/>
    <n v="0.2"/>
    <n v="0"/>
    <n v="0"/>
    <n v="5"/>
  </r>
  <r>
    <s v="2016-12-16 05"/>
    <x v="18"/>
    <x v="2"/>
    <s v="2016-12-16 "/>
    <x v="2"/>
    <n v="2"/>
    <n v="4"/>
    <n v="67"/>
    <n v="20"/>
    <n v="5"/>
    <n v="1"/>
    <n v="4"/>
    <n v="0.3"/>
    <n v="0.2"/>
    <n v="1"/>
    <n v="6"/>
  </r>
  <r>
    <s v="2016-12-16 04"/>
    <x v="19"/>
    <x v="2"/>
    <s v="2016-12-16 "/>
    <x v="2"/>
    <n v="18"/>
    <n v="13"/>
    <n v="42"/>
    <n v="24"/>
    <n v="4"/>
    <n v="2"/>
    <n v="3"/>
    <n v="0.2"/>
    <n v="1.25"/>
    <n v="5"/>
    <n v="31"/>
  </r>
  <r>
    <s v="2016-12-16 03"/>
    <x v="20"/>
    <x v="2"/>
    <s v="2016-12-16 "/>
    <x v="2"/>
    <n v="59"/>
    <n v="18"/>
    <n v="23"/>
    <n v="23"/>
    <n v="6"/>
    <n v="3"/>
    <n v="2"/>
    <n v="0.3"/>
    <n v="1"/>
    <n v="6"/>
    <n v="77"/>
  </r>
  <r>
    <s v="2016-12-16 02"/>
    <x v="21"/>
    <x v="2"/>
    <s v="2016-12-16 "/>
    <x v="2"/>
    <n v="59"/>
    <n v="26"/>
    <n v="31"/>
    <n v="34"/>
    <n v="12"/>
    <n v="8"/>
    <n v="4"/>
    <n v="0.4"/>
    <n v="1.25"/>
    <n v="15"/>
    <n v="85"/>
  </r>
  <r>
    <s v="2016-12-16 01"/>
    <x v="22"/>
    <x v="2"/>
    <s v="2016-12-16 "/>
    <x v="2"/>
    <n v="34"/>
    <n v="40"/>
    <n v="54"/>
    <n v="43"/>
    <n v="13"/>
    <n v="8"/>
    <n v="5"/>
    <n v="0.3"/>
    <n v="1.69"/>
    <n v="22"/>
    <n v="74"/>
  </r>
  <r>
    <s v="2016-12-16 00"/>
    <x v="23"/>
    <x v="2"/>
    <s v="2016-12-16 "/>
    <x v="2"/>
    <n v="26"/>
    <n v="60"/>
    <n v="70"/>
    <n v="57"/>
    <n v="22"/>
    <n v="11"/>
    <n v="11"/>
    <n v="0.4"/>
    <n v="1.18"/>
    <n v="26"/>
    <n v="86"/>
  </r>
  <r>
    <s v="2016-12-15 23"/>
    <x v="0"/>
    <x v="3"/>
    <s v="2016-12-15 "/>
    <x v="3"/>
    <n v="34"/>
    <n v="89"/>
    <n v="72"/>
    <n v="67"/>
    <n v="33"/>
    <n v="21"/>
    <n v="12"/>
    <n v="0.5"/>
    <n v="1.55"/>
    <n v="51"/>
    <n v="123"/>
  </r>
  <r>
    <s v="2016-12-15 22"/>
    <x v="1"/>
    <x v="3"/>
    <s v="2016-12-15 "/>
    <x v="3"/>
    <n v="2"/>
    <n v="91"/>
    <n v="98"/>
    <n v="90"/>
    <n v="36"/>
    <n v="16"/>
    <n v="20"/>
    <n v="0.4"/>
    <n v="1.19"/>
    <n v="43"/>
    <n v="93"/>
  </r>
  <r>
    <s v="2016-12-15 21"/>
    <x v="2"/>
    <x v="3"/>
    <s v="2016-12-15 "/>
    <x v="3"/>
    <n v="16"/>
    <n v="97"/>
    <n v="86"/>
    <n v="95"/>
    <n v="35"/>
    <n v="17"/>
    <n v="18"/>
    <n v="0.4"/>
    <n v="1.29"/>
    <n v="45"/>
    <n v="113"/>
  </r>
  <r>
    <s v="2016-12-15 20"/>
    <x v="3"/>
    <x v="3"/>
    <s v="2016-12-15 "/>
    <x v="3"/>
    <n v="66"/>
    <n v="105"/>
    <n v="61"/>
    <n v="78"/>
    <n v="33"/>
    <n v="24"/>
    <n v="9"/>
    <n v="0.4"/>
    <n v="1.52"/>
    <n v="50"/>
    <n v="171"/>
  </r>
  <r>
    <s v="2016-12-15 19"/>
    <x v="4"/>
    <x v="3"/>
    <s v="2016-12-15 "/>
    <x v="3"/>
    <n v="105"/>
    <n v="81"/>
    <n v="44"/>
    <n v="70"/>
    <n v="30"/>
    <n v="26"/>
    <n v="4"/>
    <n v="0.4"/>
    <n v="1.47"/>
    <n v="44"/>
    <n v="186"/>
  </r>
  <r>
    <s v="2016-12-15 18"/>
    <x v="5"/>
    <x v="3"/>
    <s v="2016-12-15 "/>
    <x v="3"/>
    <n v="124"/>
    <n v="72"/>
    <n v="37"/>
    <n v="59"/>
    <n v="25"/>
    <n v="21"/>
    <n v="4"/>
    <n v="0.4"/>
    <n v="1.72"/>
    <n v="43"/>
    <n v="196"/>
  </r>
  <r>
    <s v="2016-12-15 17"/>
    <x v="6"/>
    <x v="3"/>
    <s v="2016-12-15 "/>
    <x v="3"/>
    <n v="51"/>
    <n v="66"/>
    <n v="56"/>
    <n v="63"/>
    <n v="18"/>
    <n v="12"/>
    <n v="7"/>
    <n v="0.3"/>
    <n v="1.33"/>
    <n v="24"/>
    <n v="117"/>
  </r>
  <r>
    <s v="2016-12-15 16"/>
    <x v="7"/>
    <x v="3"/>
    <s v="2016-12-15 "/>
    <x v="3"/>
    <n v="20"/>
    <n v="46"/>
    <n v="70"/>
    <n v="64"/>
    <n v="18"/>
    <n v="7"/>
    <n v="11"/>
    <n v="0.3"/>
    <n v="0.89"/>
    <n v="16"/>
    <n v="66"/>
  </r>
  <r>
    <s v="2016-12-15 15"/>
    <x v="8"/>
    <x v="3"/>
    <s v="2016-12-15 "/>
    <x v="3"/>
    <n v="18"/>
    <n v="25"/>
    <n v="58"/>
    <n v="61"/>
    <n v="12"/>
    <n v="3"/>
    <n v="9"/>
    <n v="0.2"/>
    <n v="0.5"/>
    <n v="6"/>
    <n v="43"/>
  </r>
  <r>
    <s v="2016-12-15 14"/>
    <x v="9"/>
    <x v="3"/>
    <s v="2016-12-15 "/>
    <x v="3"/>
    <n v="28"/>
    <n v="32"/>
    <n v="53"/>
    <n v="58"/>
    <n v="14"/>
    <n v="5"/>
    <n v="9"/>
    <n v="0.2"/>
    <n v="0.64"/>
    <n v="9"/>
    <n v="60"/>
  </r>
  <r>
    <s v="2016-12-15 13"/>
    <x v="10"/>
    <x v="3"/>
    <s v="2016-12-15 "/>
    <x v="3"/>
    <n v="31"/>
    <n v="32"/>
    <n v="51"/>
    <n v="50"/>
    <n v="9"/>
    <n v="3"/>
    <n v="5"/>
    <n v="0.2"/>
    <n v="0.67"/>
    <n v="6"/>
    <n v="63"/>
  </r>
  <r>
    <s v="2016-12-15 12"/>
    <x v="11"/>
    <x v="3"/>
    <s v="2016-12-15 "/>
    <x v="3"/>
    <n v="18"/>
    <n v="32"/>
    <n v="64"/>
    <n v="56"/>
    <n v="18"/>
    <n v="8"/>
    <n v="10"/>
    <n v="0.3"/>
    <n v="0.44"/>
    <n v="8"/>
    <n v="50"/>
  </r>
  <r>
    <s v="2016-12-15 11"/>
    <x v="12"/>
    <x v="3"/>
    <s v="2016-12-15 "/>
    <x v="3"/>
    <n v="20"/>
    <n v="46"/>
    <n v="70"/>
    <n v="63"/>
    <n v="22"/>
    <n v="8"/>
    <n v="14"/>
    <n v="0.3"/>
    <n v="0.91"/>
    <n v="20"/>
    <n v="66"/>
  </r>
  <r>
    <s v="2016-12-15 10"/>
    <x v="13"/>
    <x v="3"/>
    <s v="2016-12-15 "/>
    <x v="3"/>
    <n v="27"/>
    <n v="47"/>
    <n v="64"/>
    <n v="69"/>
    <n v="26"/>
    <n v="13"/>
    <n v="13"/>
    <n v="0.4"/>
    <n v="0.85"/>
    <n v="22"/>
    <n v="74"/>
  </r>
  <r>
    <s v="2016-12-15 09"/>
    <x v="14"/>
    <x v="3"/>
    <s v="2016-12-15 "/>
    <x v="3"/>
    <n v="43"/>
    <n v="57"/>
    <n v="57"/>
    <n v="54"/>
    <n v="25"/>
    <n v="18"/>
    <n v="7"/>
    <n v="0.5"/>
    <n v="1.48"/>
    <n v="37"/>
    <n v="100"/>
  </r>
  <r>
    <s v="2016-12-15 08"/>
    <x v="15"/>
    <x v="3"/>
    <s v="2016-12-15 "/>
    <x v="3"/>
    <n v="57"/>
    <n v="37"/>
    <n v="39"/>
    <n v="45"/>
    <n v="15"/>
    <n v="8"/>
    <n v="7"/>
    <n v="0.3"/>
    <n v="1.47"/>
    <n v="22"/>
    <n v="94"/>
  </r>
  <r>
    <s v="2016-12-15 07"/>
    <x v="16"/>
    <x v="3"/>
    <s v="2016-12-15 "/>
    <x v="3"/>
    <n v="17"/>
    <n v="14"/>
    <n v="45"/>
    <n v="35"/>
    <n v="9"/>
    <n v="3"/>
    <n v="7"/>
    <n v="0.3"/>
    <n v="0.78"/>
    <n v="7"/>
    <n v="31"/>
  </r>
  <r>
    <s v="2016-12-15 06"/>
    <x v="17"/>
    <x v="3"/>
    <s v="2016-12-15 "/>
    <x v="3"/>
    <n v="2"/>
    <n v="2"/>
    <n v="50"/>
    <n v="23"/>
    <n v="9"/>
    <n v="0"/>
    <n v="9"/>
    <n v="0.4"/>
    <n v="0.11"/>
    <n v="1"/>
    <n v="4"/>
  </r>
  <r>
    <s v="2016-12-15 05"/>
    <x v="18"/>
    <x v="3"/>
    <s v="2016-12-15 "/>
    <x v="3"/>
    <n v="0"/>
    <n v="3"/>
    <n v="100"/>
    <n v="14"/>
    <n v="7"/>
    <n v="1"/>
    <n v="7"/>
    <n v="0.5"/>
    <n v="0.43"/>
    <n v="3"/>
    <n v="3"/>
  </r>
  <r>
    <s v="2016-12-15 04"/>
    <x v="19"/>
    <x v="3"/>
    <s v="2016-12-15 "/>
    <x v="3"/>
    <n v="5"/>
    <n v="3"/>
    <n v="38"/>
    <n v="21"/>
    <n v="6"/>
    <n v="1"/>
    <n v="5"/>
    <n v="0.3"/>
    <n v="0"/>
    <n v="0"/>
    <n v="8"/>
  </r>
  <r>
    <s v="2016-12-15 03"/>
    <x v="20"/>
    <x v="3"/>
    <s v="2016-12-15 "/>
    <x v="3"/>
    <n v="13"/>
    <n v="9"/>
    <n v="41"/>
    <n v="22"/>
    <n v="7"/>
    <n v="2"/>
    <n v="5"/>
    <n v="0.3"/>
    <n v="0.71"/>
    <n v="5"/>
    <n v="22"/>
  </r>
  <r>
    <s v="2016-12-15 02"/>
    <x v="21"/>
    <x v="3"/>
    <s v="2016-12-15 "/>
    <x v="3"/>
    <n v="16"/>
    <n v="20"/>
    <n v="56"/>
    <n v="27"/>
    <n v="9"/>
    <n v="4"/>
    <n v="5"/>
    <n v="0.3"/>
    <n v="0.89"/>
    <n v="8"/>
    <n v="36"/>
  </r>
  <r>
    <s v="2016-12-15 01"/>
    <x v="22"/>
    <x v="3"/>
    <s v="2016-12-15 "/>
    <x v="3"/>
    <n v="7"/>
    <n v="30"/>
    <n v="81"/>
    <n v="43"/>
    <n v="16"/>
    <n v="7"/>
    <n v="9"/>
    <n v="0.4"/>
    <n v="0.81"/>
    <n v="13"/>
    <n v="37"/>
  </r>
  <r>
    <s v="2016-12-15 00"/>
    <x v="23"/>
    <x v="3"/>
    <s v="2016-12-15 "/>
    <x v="3"/>
    <n v="29"/>
    <n v="62"/>
    <n v="68"/>
    <n v="52"/>
    <n v="21"/>
    <n v="12"/>
    <n v="9"/>
    <n v="0.4"/>
    <n v="1.48"/>
    <n v="31"/>
    <n v="91"/>
  </r>
  <r>
    <s v="2016-12-14 23"/>
    <x v="0"/>
    <x v="4"/>
    <s v="2016-12-14 "/>
    <x v="4"/>
    <n v="13"/>
    <n v="71"/>
    <n v="85"/>
    <n v="71"/>
    <n v="28"/>
    <n v="12"/>
    <n v="15"/>
    <n v="0.4"/>
    <n v="1.25"/>
    <n v="35"/>
    <n v="84"/>
  </r>
  <r>
    <s v="2016-12-14 22"/>
    <x v="1"/>
    <x v="4"/>
    <s v="2016-12-14 "/>
    <x v="4"/>
    <n v="14"/>
    <n v="71"/>
    <n v="84"/>
    <n v="80"/>
    <n v="28"/>
    <n v="12"/>
    <n v="16"/>
    <n v="0.3"/>
    <n v="1.1100000000000001"/>
    <n v="31"/>
    <n v="85"/>
  </r>
  <r>
    <s v="2016-12-14 21"/>
    <x v="2"/>
    <x v="4"/>
    <s v="2016-12-14 "/>
    <x v="4"/>
    <n v="12"/>
    <n v="68"/>
    <n v="85"/>
    <n v="85"/>
    <n v="29"/>
    <n v="12"/>
    <n v="18"/>
    <n v="0.3"/>
    <n v="1.28"/>
    <n v="37"/>
    <n v="80"/>
  </r>
  <r>
    <s v="2016-12-14 20"/>
    <x v="3"/>
    <x v="4"/>
    <s v="2016-12-14 "/>
    <x v="4"/>
    <n v="22"/>
    <n v="83"/>
    <n v="79"/>
    <n v="89"/>
    <n v="37"/>
    <n v="21"/>
    <n v="16"/>
    <n v="0.4"/>
    <n v="0.92"/>
    <n v="34"/>
    <n v="105"/>
  </r>
  <r>
    <s v="2016-12-14 19"/>
    <x v="4"/>
    <x v="4"/>
    <s v="2016-12-14 "/>
    <x v="4"/>
    <n v="75"/>
    <n v="79"/>
    <n v="51"/>
    <n v="80"/>
    <n v="30"/>
    <n v="22"/>
    <n v="9"/>
    <n v="0.4"/>
    <n v="1.43"/>
    <n v="43"/>
    <n v="154"/>
  </r>
  <r>
    <s v="2016-12-14 18"/>
    <x v="5"/>
    <x v="4"/>
    <s v="2016-12-14 "/>
    <x v="4"/>
    <n v="96"/>
    <n v="66"/>
    <n v="41"/>
    <n v="69"/>
    <n v="27"/>
    <n v="21"/>
    <n v="6"/>
    <n v="0.4"/>
    <n v="1.1100000000000001"/>
    <n v="30"/>
    <n v="162"/>
  </r>
  <r>
    <s v="2016-12-14 17"/>
    <x v="6"/>
    <x v="4"/>
    <s v="2016-12-14 "/>
    <x v="4"/>
    <n v="43"/>
    <n v="66"/>
    <n v="61"/>
    <n v="76"/>
    <n v="22"/>
    <n v="12"/>
    <n v="10"/>
    <n v="0.3"/>
    <n v="1.0900000000000001"/>
    <n v="24"/>
    <n v="109"/>
  </r>
  <r>
    <s v="2016-12-14 16"/>
    <x v="7"/>
    <x v="4"/>
    <s v="2016-12-14 "/>
    <x v="4"/>
    <n v="14"/>
    <n v="48"/>
    <n v="77"/>
    <n v="67"/>
    <n v="20"/>
    <n v="7"/>
    <n v="13"/>
    <n v="0.3"/>
    <n v="0.75"/>
    <n v="15"/>
    <n v="62"/>
  </r>
  <r>
    <s v="2016-12-14 15"/>
    <x v="8"/>
    <x v="4"/>
    <s v="2016-12-14 "/>
    <x v="4"/>
    <n v="11"/>
    <n v="42"/>
    <n v="79"/>
    <n v="62"/>
    <n v="19"/>
    <n v="5"/>
    <n v="14"/>
    <n v="0.3"/>
    <n v="0.57999999999999996"/>
    <n v="11"/>
    <n v="53"/>
  </r>
  <r>
    <s v="2016-12-14 14"/>
    <x v="9"/>
    <x v="4"/>
    <s v="2016-12-14 "/>
    <x v="4"/>
    <n v="10"/>
    <n v="21"/>
    <n v="68"/>
    <n v="62"/>
    <n v="13"/>
    <n v="3"/>
    <n v="10"/>
    <n v="0.2"/>
    <n v="0.54"/>
    <n v="7"/>
    <n v="31"/>
  </r>
  <r>
    <s v="2016-12-14 13"/>
    <x v="10"/>
    <x v="4"/>
    <s v="2016-12-14 "/>
    <x v="4"/>
    <n v="2"/>
    <n v="36"/>
    <n v="95"/>
    <n v="71"/>
    <n v="19"/>
    <n v="6"/>
    <n v="13"/>
    <n v="0.3"/>
    <n v="0.37"/>
    <n v="7"/>
    <n v="38"/>
  </r>
  <r>
    <s v="2016-12-14 12"/>
    <x v="11"/>
    <x v="4"/>
    <s v="2016-12-14 "/>
    <x v="4"/>
    <n v="9"/>
    <n v="28"/>
    <n v="76"/>
    <n v="69"/>
    <n v="19"/>
    <n v="5"/>
    <n v="15"/>
    <n v="0.3"/>
    <n v="0.68"/>
    <n v="13"/>
    <n v="37"/>
  </r>
  <r>
    <s v="2016-12-14 11"/>
    <x v="12"/>
    <x v="4"/>
    <s v="2016-12-14 "/>
    <x v="4"/>
    <n v="2"/>
    <n v="27"/>
    <n v="93"/>
    <n v="71"/>
    <n v="28"/>
    <n v="5"/>
    <n v="23"/>
    <n v="0.4"/>
    <n v="0.39"/>
    <n v="11"/>
    <n v="29"/>
  </r>
  <r>
    <s v="2016-12-14 10"/>
    <x v="13"/>
    <x v="4"/>
    <s v="2016-12-14 "/>
    <x v="4"/>
    <n v="19"/>
    <n v="52"/>
    <n v="73"/>
    <n v="80"/>
    <n v="33"/>
    <n v="12"/>
    <n v="21"/>
    <n v="0.4"/>
    <n v="0.48"/>
    <n v="16"/>
    <n v="71"/>
  </r>
  <r>
    <s v="2016-12-14 09"/>
    <x v="14"/>
    <x v="4"/>
    <s v="2016-12-14 "/>
    <x v="4"/>
    <n v="61"/>
    <n v="64"/>
    <n v="51"/>
    <n v="57"/>
    <n v="22"/>
    <n v="17"/>
    <n v="6"/>
    <n v="0.4"/>
    <n v="1.5"/>
    <n v="33"/>
    <n v="125"/>
  </r>
  <r>
    <s v="2016-12-14 08"/>
    <x v="15"/>
    <x v="4"/>
    <s v="2016-12-14 "/>
    <x v="4"/>
    <n v="51"/>
    <n v="44"/>
    <n v="46"/>
    <n v="49"/>
    <n v="18"/>
    <n v="10"/>
    <n v="8"/>
    <n v="0.4"/>
    <n v="1"/>
    <n v="18"/>
    <n v="95"/>
  </r>
  <r>
    <s v="2016-12-14 07"/>
    <x v="16"/>
    <x v="4"/>
    <s v="2016-12-14 "/>
    <x v="4"/>
    <n v="17"/>
    <n v="22"/>
    <n v="56"/>
    <n v="42"/>
    <n v="14"/>
    <n v="3"/>
    <n v="11"/>
    <n v="0.3"/>
    <n v="0.56999999999999995"/>
    <n v="8"/>
    <n v="39"/>
  </r>
  <r>
    <s v="2016-12-14 06"/>
    <x v="17"/>
    <x v="4"/>
    <s v="2016-12-14 "/>
    <x v="4"/>
    <n v="1"/>
    <n v="3"/>
    <n v="75"/>
    <n v="24"/>
    <n v="6"/>
    <n v="0"/>
    <n v="6"/>
    <n v="0.3"/>
    <n v="0.33"/>
    <n v="2"/>
    <n v="4"/>
  </r>
  <r>
    <s v="2016-12-14 05"/>
    <x v="18"/>
    <x v="4"/>
    <s v="2016-12-14 "/>
    <x v="4"/>
    <n v="2"/>
    <n v="3"/>
    <n v="60"/>
    <n v="17"/>
    <n v="6"/>
    <n v="0"/>
    <n v="6"/>
    <n v="0.4"/>
    <n v="0"/>
    <n v="0"/>
    <n v="5"/>
  </r>
  <r>
    <s v="2016-12-14 04"/>
    <x v="19"/>
    <x v="4"/>
    <s v="2016-12-14 "/>
    <x v="4"/>
    <n v="3"/>
    <n v="3"/>
    <n v="50"/>
    <n v="14"/>
    <n v="5"/>
    <n v="1"/>
    <n v="4"/>
    <n v="0.4"/>
    <n v="0"/>
    <n v="0"/>
    <n v="6"/>
  </r>
  <r>
    <s v="2016-12-14 03"/>
    <x v="20"/>
    <x v="4"/>
    <s v="2016-12-14 "/>
    <x v="4"/>
    <n v="12"/>
    <n v="3"/>
    <n v="20"/>
    <n v="12"/>
    <n v="2"/>
    <n v="0"/>
    <n v="2"/>
    <n v="0.2"/>
    <n v="0.5"/>
    <n v="1"/>
    <n v="15"/>
  </r>
  <r>
    <s v="2016-12-14 02"/>
    <x v="21"/>
    <x v="4"/>
    <s v="2016-12-14 "/>
    <x v="4"/>
    <n v="10"/>
    <n v="11"/>
    <n v="52"/>
    <n v="24"/>
    <n v="4"/>
    <n v="2"/>
    <n v="2"/>
    <n v="0.2"/>
    <n v="1"/>
    <n v="4"/>
    <n v="21"/>
  </r>
  <r>
    <s v="2016-12-14 01"/>
    <x v="22"/>
    <x v="4"/>
    <s v="2016-12-14 "/>
    <x v="4"/>
    <n v="13"/>
    <n v="16"/>
    <n v="55"/>
    <n v="35"/>
    <n v="11"/>
    <n v="3"/>
    <n v="9"/>
    <n v="0.3"/>
    <n v="0.73"/>
    <n v="8"/>
    <n v="29"/>
  </r>
  <r>
    <s v="2016-12-14 00"/>
    <x v="23"/>
    <x v="4"/>
    <s v="2016-12-14 "/>
    <x v="4"/>
    <n v="7"/>
    <n v="28"/>
    <n v="80"/>
    <n v="45"/>
    <n v="18"/>
    <n v="6"/>
    <n v="12"/>
    <n v="0.4"/>
    <n v="0.56000000000000005"/>
    <n v="10"/>
    <n v="35"/>
  </r>
  <r>
    <s v="2016-12-13 23"/>
    <x v="0"/>
    <x v="5"/>
    <s v="2016-12-13 "/>
    <x v="5"/>
    <n v="11"/>
    <n v="52"/>
    <n v="83"/>
    <n v="60"/>
    <n v="20"/>
    <n v="6"/>
    <n v="14"/>
    <n v="0.3"/>
    <n v="0.95"/>
    <n v="19"/>
    <n v="63"/>
  </r>
  <r>
    <s v="2016-12-13 22"/>
    <x v="1"/>
    <x v="5"/>
    <s v="2016-12-13 "/>
    <x v="5"/>
    <n v="13"/>
    <n v="63"/>
    <n v="83"/>
    <n v="83"/>
    <n v="32"/>
    <n v="12"/>
    <n v="20"/>
    <n v="0.4"/>
    <n v="0.75"/>
    <n v="24"/>
    <n v="76"/>
  </r>
  <r>
    <s v="2016-12-13 21"/>
    <x v="2"/>
    <x v="5"/>
    <s v="2016-12-13 "/>
    <x v="5"/>
    <n v="9"/>
    <n v="83"/>
    <n v="90"/>
    <n v="99"/>
    <n v="33"/>
    <n v="14"/>
    <n v="18"/>
    <n v="0.3"/>
    <n v="1.3"/>
    <n v="43"/>
    <n v="92"/>
  </r>
  <r>
    <s v="2016-12-13 20"/>
    <x v="3"/>
    <x v="5"/>
    <s v="2016-12-13 "/>
    <x v="5"/>
    <n v="3"/>
    <n v="62"/>
    <n v="95"/>
    <n v="106"/>
    <n v="40"/>
    <n v="14"/>
    <n v="26"/>
    <n v="0.4"/>
    <n v="0.7"/>
    <n v="28"/>
    <n v="65"/>
  </r>
  <r>
    <s v="2016-12-13 19"/>
    <x v="4"/>
    <x v="5"/>
    <s v="2016-12-13 "/>
    <x v="5"/>
    <n v="30"/>
    <n v="83"/>
    <n v="73"/>
    <n v="98"/>
    <n v="36"/>
    <n v="21"/>
    <n v="16"/>
    <n v="0.4"/>
    <n v="1.17"/>
    <n v="42"/>
    <n v="113"/>
  </r>
  <r>
    <s v="2016-12-13 18"/>
    <x v="5"/>
    <x v="5"/>
    <s v="2016-12-13 "/>
    <x v="5"/>
    <n v="58"/>
    <n v="76"/>
    <n v="57"/>
    <n v="75"/>
    <n v="25"/>
    <n v="18"/>
    <n v="7"/>
    <n v="0.3"/>
    <n v="1.2"/>
    <n v="30"/>
    <n v="134"/>
  </r>
  <r>
    <s v="2016-12-13 17"/>
    <x v="6"/>
    <x v="5"/>
    <s v="2016-12-13 "/>
    <x v="5"/>
    <n v="30"/>
    <n v="52"/>
    <n v="63"/>
    <n v="72"/>
    <n v="22"/>
    <n v="11"/>
    <n v="11"/>
    <n v="0.3"/>
    <n v="1.18"/>
    <n v="26"/>
    <n v="82"/>
  </r>
  <r>
    <s v="2016-12-13 16"/>
    <x v="7"/>
    <x v="5"/>
    <s v="2016-12-13 "/>
    <x v="5"/>
    <n v="15"/>
    <n v="29"/>
    <n v="66"/>
    <n v="56"/>
    <n v="15"/>
    <n v="4"/>
    <n v="12"/>
    <n v="0.3"/>
    <n v="0.53"/>
    <n v="8"/>
    <n v="44"/>
  </r>
  <r>
    <s v="2016-12-13 15"/>
    <x v="8"/>
    <x v="5"/>
    <s v="2016-12-13 "/>
    <x v="5"/>
    <n v="10"/>
    <n v="20"/>
    <n v="67"/>
    <n v="53"/>
    <n v="17"/>
    <n v="5"/>
    <n v="12"/>
    <n v="0.3"/>
    <n v="0.47"/>
    <n v="8"/>
    <n v="30"/>
  </r>
  <r>
    <s v="2016-12-13 14"/>
    <x v="9"/>
    <x v="5"/>
    <s v="2016-12-13 "/>
    <x v="5"/>
    <n v="9"/>
    <n v="26"/>
    <n v="74"/>
    <n v="55"/>
    <n v="14"/>
    <n v="4"/>
    <n v="11"/>
    <n v="0.3"/>
    <n v="0.56999999999999995"/>
    <n v="8"/>
    <n v="35"/>
  </r>
  <r>
    <s v="2016-12-13 13"/>
    <x v="10"/>
    <x v="5"/>
    <s v="2016-12-13 "/>
    <x v="5"/>
    <n v="11"/>
    <n v="25"/>
    <n v="69"/>
    <n v="56"/>
    <n v="15"/>
    <n v="3"/>
    <n v="12"/>
    <n v="0.3"/>
    <n v="0.6"/>
    <n v="9"/>
    <n v="36"/>
  </r>
  <r>
    <s v="2016-12-13 12"/>
    <x v="11"/>
    <x v="5"/>
    <s v="2016-12-13 "/>
    <x v="5"/>
    <n v="15"/>
    <n v="31"/>
    <n v="67"/>
    <n v="58"/>
    <n v="17"/>
    <n v="4"/>
    <n v="13"/>
    <n v="0.3"/>
    <n v="0.47"/>
    <n v="8"/>
    <n v="46"/>
  </r>
  <r>
    <s v="2016-12-13 11"/>
    <x v="12"/>
    <x v="5"/>
    <s v="2016-12-13 "/>
    <x v="5"/>
    <n v="9"/>
    <n v="33"/>
    <n v="79"/>
    <n v="64"/>
    <n v="25"/>
    <n v="8"/>
    <n v="17"/>
    <n v="0.4"/>
    <n v="0.6"/>
    <n v="15"/>
    <n v="42"/>
  </r>
  <r>
    <s v="2016-12-13 10"/>
    <x v="13"/>
    <x v="5"/>
    <s v="2016-12-13 "/>
    <x v="5"/>
    <n v="14"/>
    <n v="33"/>
    <n v="70"/>
    <n v="80"/>
    <n v="26"/>
    <n v="8"/>
    <n v="18"/>
    <n v="0.3"/>
    <n v="0.5"/>
    <n v="13"/>
    <n v="47"/>
  </r>
  <r>
    <s v="2016-12-13 09"/>
    <x v="14"/>
    <x v="5"/>
    <s v="2016-12-13 "/>
    <x v="5"/>
    <n v="61"/>
    <n v="50"/>
    <n v="45"/>
    <n v="54"/>
    <n v="19"/>
    <n v="13"/>
    <n v="6"/>
    <n v="0.4"/>
    <n v="1.37"/>
    <n v="26"/>
    <n v="111"/>
  </r>
  <r>
    <s v="2016-12-13 08"/>
    <x v="15"/>
    <x v="5"/>
    <s v="2016-12-13 "/>
    <x v="5"/>
    <n v="80"/>
    <n v="32"/>
    <n v="29"/>
    <n v="40"/>
    <n v="13"/>
    <n v="11"/>
    <n v="2"/>
    <n v="0.3"/>
    <n v="1.31"/>
    <n v="17"/>
    <n v="112"/>
  </r>
  <r>
    <s v="2016-12-13 07"/>
    <x v="16"/>
    <x v="5"/>
    <s v="2016-12-13 "/>
    <x v="5"/>
    <n v="24"/>
    <n v="14"/>
    <n v="37"/>
    <n v="39"/>
    <n v="8"/>
    <n v="4"/>
    <n v="4"/>
    <n v="0.2"/>
    <n v="1.1299999999999999"/>
    <n v="9"/>
    <n v="38"/>
  </r>
  <r>
    <s v="2016-12-13 06"/>
    <x v="17"/>
    <x v="5"/>
    <s v="2016-12-13 "/>
    <x v="5"/>
    <n v="8"/>
    <n v="7"/>
    <n v="47"/>
    <n v="26"/>
    <n v="6"/>
    <n v="1"/>
    <n v="5"/>
    <n v="0.2"/>
    <n v="0.5"/>
    <n v="3"/>
    <n v="15"/>
  </r>
  <r>
    <s v="2016-12-13 05"/>
    <x v="18"/>
    <x v="5"/>
    <s v="2016-12-13 "/>
    <x v="5"/>
    <n v="1"/>
    <n v="3"/>
    <n v="75"/>
    <n v="13"/>
    <n v="4"/>
    <n v="0"/>
    <n v="4"/>
    <n v="0.3"/>
    <n v="0"/>
    <n v="0"/>
    <n v="4"/>
  </r>
  <r>
    <s v="2016-12-13 04"/>
    <x v="19"/>
    <x v="5"/>
    <s v="2016-12-13 "/>
    <x v="5"/>
    <n v="0"/>
    <n v="1"/>
    <n v="100"/>
    <n v="16"/>
    <n v="5"/>
    <n v="0"/>
    <n v="5"/>
    <n v="0.3"/>
    <n v="0"/>
    <n v="0"/>
    <n v="1"/>
  </r>
  <r>
    <s v="2016-12-13 03"/>
    <x v="20"/>
    <x v="5"/>
    <s v="2016-12-13 "/>
    <x v="5"/>
    <n v="1"/>
    <n v="2"/>
    <n v="67"/>
    <n v="14"/>
    <n v="5"/>
    <n v="0"/>
    <n v="4"/>
    <n v="0.4"/>
    <n v="0"/>
    <n v="0"/>
    <n v="3"/>
  </r>
  <r>
    <s v="2016-12-13 02"/>
    <x v="21"/>
    <x v="5"/>
    <s v="2016-12-13 "/>
    <x v="5"/>
    <n v="1"/>
    <n v="7"/>
    <n v="88"/>
    <n v="18"/>
    <n v="7"/>
    <n v="1"/>
    <n v="7"/>
    <n v="0.4"/>
    <n v="0.56999999999999995"/>
    <n v="4"/>
    <n v="8"/>
  </r>
  <r>
    <s v="2016-12-13 01"/>
    <x v="22"/>
    <x v="5"/>
    <s v="2016-12-13 "/>
    <x v="5"/>
    <n v="7"/>
    <n v="10"/>
    <n v="59"/>
    <n v="29"/>
    <n v="10"/>
    <n v="1"/>
    <n v="9"/>
    <n v="0.3"/>
    <n v="0.1"/>
    <n v="1"/>
    <n v="17"/>
  </r>
  <r>
    <s v="2016-12-13 00"/>
    <x v="23"/>
    <x v="5"/>
    <s v="2016-12-13 "/>
    <x v="5"/>
    <n v="17"/>
    <n v="25"/>
    <n v="60"/>
    <n v="35"/>
    <n v="16"/>
    <n v="5"/>
    <n v="11"/>
    <n v="0.5"/>
    <n v="0.75"/>
    <n v="12"/>
    <n v="42"/>
  </r>
  <r>
    <s v="2016-12-12 23"/>
    <x v="0"/>
    <x v="6"/>
    <s v="2016-12-12 "/>
    <x v="6"/>
    <n v="6"/>
    <n v="29"/>
    <n v="83"/>
    <n v="50"/>
    <n v="16"/>
    <n v="3"/>
    <n v="13"/>
    <n v="0.3"/>
    <n v="0.81"/>
    <n v="13"/>
    <n v="35"/>
  </r>
  <r>
    <s v="2016-12-12 22"/>
    <x v="1"/>
    <x v="6"/>
    <s v="2016-12-12 "/>
    <x v="6"/>
    <n v="12"/>
    <n v="41"/>
    <n v="77"/>
    <n v="59"/>
    <n v="24"/>
    <n v="9"/>
    <n v="16"/>
    <n v="0.4"/>
    <n v="0.79"/>
    <n v="19"/>
    <n v="53"/>
  </r>
  <r>
    <s v="2016-12-12 21"/>
    <x v="2"/>
    <x v="6"/>
    <s v="2016-12-12 "/>
    <x v="6"/>
    <n v="17"/>
    <n v="33"/>
    <n v="66"/>
    <n v="73"/>
    <n v="24"/>
    <n v="5"/>
    <n v="19"/>
    <n v="0.3"/>
    <n v="0.67"/>
    <n v="16"/>
    <n v="50"/>
  </r>
  <r>
    <s v="2016-12-12 20"/>
    <x v="3"/>
    <x v="6"/>
    <s v="2016-12-12 "/>
    <x v="6"/>
    <n v="1"/>
    <n v="45"/>
    <n v="98"/>
    <n v="76"/>
    <n v="33"/>
    <n v="6"/>
    <n v="27"/>
    <n v="0.4"/>
    <n v="0.39"/>
    <n v="13"/>
    <n v="46"/>
  </r>
  <r>
    <s v="2016-12-12 19"/>
    <x v="4"/>
    <x v="6"/>
    <s v="2016-12-12 "/>
    <x v="6"/>
    <n v="12"/>
    <n v="52"/>
    <n v="81"/>
    <n v="90"/>
    <n v="32"/>
    <n v="13"/>
    <n v="19"/>
    <n v="0.4"/>
    <n v="0.81"/>
    <n v="26"/>
    <n v="64"/>
  </r>
  <r>
    <s v="2016-12-12 18"/>
    <x v="5"/>
    <x v="6"/>
    <s v="2016-12-12 "/>
    <x v="6"/>
    <n v="9"/>
    <n v="52"/>
    <n v="85"/>
    <n v="78"/>
    <n v="30"/>
    <n v="15"/>
    <n v="15"/>
    <n v="0.4"/>
    <n v="0.63"/>
    <n v="19"/>
    <n v="61"/>
  </r>
  <r>
    <s v="2016-12-12 17"/>
    <x v="6"/>
    <x v="6"/>
    <s v="2016-12-12 "/>
    <x v="6"/>
    <n v="9"/>
    <n v="46"/>
    <n v="84"/>
    <n v="83"/>
    <n v="34"/>
    <n v="7"/>
    <n v="27"/>
    <n v="0.4"/>
    <n v="0.59"/>
    <n v="20"/>
    <n v="55"/>
  </r>
  <r>
    <s v="2016-12-12 16"/>
    <x v="7"/>
    <x v="6"/>
    <s v="2016-12-12 "/>
    <x v="6"/>
    <n v="8"/>
    <n v="30"/>
    <n v="79"/>
    <n v="80"/>
    <n v="22"/>
    <n v="6"/>
    <n v="17"/>
    <n v="0.3"/>
    <n v="0.64"/>
    <n v="14"/>
    <n v="38"/>
  </r>
  <r>
    <s v="2016-12-12 15"/>
    <x v="8"/>
    <x v="6"/>
    <s v="2016-12-12 "/>
    <x v="6"/>
    <n v="5"/>
    <n v="17"/>
    <n v="77"/>
    <n v="67"/>
    <n v="21"/>
    <n v="2"/>
    <n v="19"/>
    <n v="0.3"/>
    <n v="0.28999999999999998"/>
    <n v="6"/>
    <n v="22"/>
  </r>
  <r>
    <s v="2016-12-12 14"/>
    <x v="9"/>
    <x v="6"/>
    <s v="2016-12-12 "/>
    <x v="6"/>
    <n v="4"/>
    <n v="24"/>
    <n v="86"/>
    <n v="62"/>
    <n v="21"/>
    <n v="4"/>
    <n v="17"/>
    <n v="0.3"/>
    <n v="0.43"/>
    <n v="9"/>
    <n v="28"/>
  </r>
  <r>
    <s v="2016-12-12 13"/>
    <x v="10"/>
    <x v="6"/>
    <s v="2016-12-12 "/>
    <x v="6"/>
    <n v="8"/>
    <n v="26"/>
    <n v="76"/>
    <n v="63"/>
    <n v="18"/>
    <n v="4"/>
    <n v="14"/>
    <n v="0.3"/>
    <n v="0.44"/>
    <n v="8"/>
    <n v="34"/>
  </r>
  <r>
    <s v="2016-12-12 12"/>
    <x v="11"/>
    <x v="6"/>
    <s v="2016-12-12 "/>
    <x v="6"/>
    <n v="4"/>
    <n v="27"/>
    <n v="87"/>
    <n v="62"/>
    <n v="19"/>
    <n v="5"/>
    <n v="14"/>
    <n v="0.3"/>
    <n v="0.47"/>
    <n v="9"/>
    <n v="31"/>
  </r>
  <r>
    <s v="2016-12-12 11"/>
    <x v="12"/>
    <x v="6"/>
    <s v="2016-12-12 "/>
    <x v="6"/>
    <n v="4"/>
    <n v="30"/>
    <n v="88"/>
    <n v="65"/>
    <n v="26"/>
    <n v="4"/>
    <n v="22"/>
    <n v="0.4"/>
    <n v="0.42"/>
    <n v="11"/>
    <n v="34"/>
  </r>
  <r>
    <s v="2016-12-12 10"/>
    <x v="13"/>
    <x v="6"/>
    <s v="2016-12-12 "/>
    <x v="6"/>
    <n v="23"/>
    <n v="36"/>
    <n v="61"/>
    <n v="58"/>
    <n v="22"/>
    <n v="8"/>
    <n v="14"/>
    <n v="0.4"/>
    <n v="0.32"/>
    <n v="7"/>
    <n v="59"/>
  </r>
  <r>
    <s v="2016-12-12 09"/>
    <x v="14"/>
    <x v="6"/>
    <s v="2016-12-12 "/>
    <x v="6"/>
    <n v="41"/>
    <n v="45"/>
    <n v="52"/>
    <n v="56"/>
    <n v="19"/>
    <n v="13"/>
    <n v="6"/>
    <n v="0.3"/>
    <n v="1.42"/>
    <n v="27"/>
    <n v="86"/>
  </r>
  <r>
    <s v="2016-12-12 08"/>
    <x v="15"/>
    <x v="6"/>
    <s v="2016-12-12 "/>
    <x v="6"/>
    <n v="42"/>
    <n v="29"/>
    <n v="41"/>
    <n v="45"/>
    <n v="14"/>
    <n v="8"/>
    <n v="7"/>
    <n v="0.3"/>
    <n v="1.29"/>
    <n v="18"/>
    <n v="71"/>
  </r>
  <r>
    <s v="2016-12-12 07"/>
    <x v="16"/>
    <x v="6"/>
    <s v="2016-12-12 "/>
    <x v="6"/>
    <n v="21"/>
    <n v="13"/>
    <n v="38"/>
    <n v="32"/>
    <n v="8"/>
    <n v="2"/>
    <n v="5"/>
    <n v="0.3"/>
    <n v="0.75"/>
    <n v="6"/>
    <n v="34"/>
  </r>
  <r>
    <s v="2016-12-12 06"/>
    <x v="17"/>
    <x v="6"/>
    <s v="2016-12-12 "/>
    <x v="6"/>
    <n v="10"/>
    <n v="2"/>
    <n v="17"/>
    <n v="17"/>
    <n v="4"/>
    <n v="1"/>
    <n v="4"/>
    <n v="0.2"/>
    <n v="0.25"/>
    <n v="1"/>
    <n v="12"/>
  </r>
  <r>
    <s v="2016-12-12 05"/>
    <x v="18"/>
    <x v="6"/>
    <s v="2016-12-12 "/>
    <x v="6"/>
    <n v="2"/>
    <n v="0"/>
    <n v="0"/>
    <n v="14"/>
    <n v="2"/>
    <n v="0"/>
    <n v="2"/>
    <n v="0.1"/>
    <n v="0"/>
    <n v="0"/>
    <n v="2"/>
  </r>
  <r>
    <s v="2016-12-12 04"/>
    <x v="19"/>
    <x v="6"/>
    <s v="2016-12-12 "/>
    <x v="6"/>
    <n v="6"/>
    <n v="0"/>
    <n v="0"/>
    <n v="9"/>
    <n v="2"/>
    <n v="0"/>
    <n v="2"/>
    <n v="0.2"/>
    <n v="0"/>
    <n v="0"/>
    <n v="6"/>
  </r>
  <r>
    <s v="2016-12-12 03"/>
    <x v="20"/>
    <x v="6"/>
    <s v="2016-12-12 "/>
    <x v="6"/>
    <n v="5"/>
    <n v="2"/>
    <n v="29"/>
    <n v="12"/>
    <n v="3"/>
    <n v="0"/>
    <n v="3"/>
    <n v="0.3"/>
    <n v="0"/>
    <n v="0"/>
    <n v="7"/>
  </r>
  <r>
    <s v="2016-12-12 02"/>
    <x v="21"/>
    <x v="6"/>
    <s v="2016-12-12 "/>
    <x v="6"/>
    <n v="5"/>
    <n v="5"/>
    <n v="50"/>
    <n v="20"/>
    <n v="6"/>
    <n v="0"/>
    <n v="6"/>
    <n v="0.3"/>
    <n v="0.17"/>
    <n v="1"/>
    <n v="10"/>
  </r>
  <r>
    <s v="2016-12-12 01"/>
    <x v="22"/>
    <x v="6"/>
    <s v="2016-12-12 "/>
    <x v="6"/>
    <n v="9"/>
    <n v="19"/>
    <n v="68"/>
    <n v="29"/>
    <n v="11"/>
    <n v="3"/>
    <n v="8"/>
    <n v="0.4"/>
    <n v="0.64"/>
    <n v="7"/>
    <n v="28"/>
  </r>
  <r>
    <s v="2016-12-12 00"/>
    <x v="23"/>
    <x v="6"/>
    <s v="2016-12-12 "/>
    <x v="6"/>
    <n v="17"/>
    <n v="43"/>
    <n v="72"/>
    <n v="40"/>
    <n v="13"/>
    <n v="6"/>
    <n v="7"/>
    <n v="0.3"/>
    <n v="1.23"/>
    <n v="16"/>
    <n v="60"/>
  </r>
  <r>
    <s v="2016-12-11 23"/>
    <x v="0"/>
    <x v="0"/>
    <s v="2016-12-11 "/>
    <x v="0"/>
    <n v="37"/>
    <n v="39"/>
    <n v="51"/>
    <n v="53"/>
    <n v="16"/>
    <n v="7"/>
    <n v="9"/>
    <n v="0.3"/>
    <n v="1.31"/>
    <n v="21"/>
    <n v="76"/>
  </r>
  <r>
    <s v="2016-12-11 22"/>
    <x v="1"/>
    <x v="0"/>
    <s v="2016-12-11 "/>
    <x v="0"/>
    <n v="10"/>
    <n v="48"/>
    <n v="83"/>
    <n v="64"/>
    <n v="21"/>
    <n v="8"/>
    <n v="13"/>
    <n v="0.3"/>
    <n v="0.81"/>
    <n v="17"/>
    <n v="58"/>
  </r>
  <r>
    <s v="2016-12-11 21"/>
    <x v="2"/>
    <x v="0"/>
    <s v="2016-12-11 "/>
    <x v="0"/>
    <n v="12"/>
    <n v="41"/>
    <n v="77"/>
    <n v="60"/>
    <n v="15"/>
    <n v="7"/>
    <n v="8"/>
    <n v="0.3"/>
    <n v="1.27"/>
    <n v="19"/>
    <n v="53"/>
  </r>
  <r>
    <s v="2016-12-11 20"/>
    <x v="3"/>
    <x v="0"/>
    <s v="2016-12-11 "/>
    <x v="0"/>
    <n v="9"/>
    <n v="54"/>
    <n v="86"/>
    <n v="66"/>
    <n v="22"/>
    <n v="9"/>
    <n v="13"/>
    <n v="0.3"/>
    <n v="0.95"/>
    <n v="21"/>
    <n v="63"/>
  </r>
  <r>
    <s v="2016-12-11 19"/>
    <x v="4"/>
    <x v="0"/>
    <s v="2016-12-11 "/>
    <x v="0"/>
    <n v="23"/>
    <n v="53"/>
    <n v="70"/>
    <n v="66"/>
    <n v="24"/>
    <n v="12"/>
    <n v="12"/>
    <n v="0.4"/>
    <n v="0.83"/>
    <n v="20"/>
    <n v="76"/>
  </r>
  <r>
    <s v="2016-12-11 18"/>
    <x v="5"/>
    <x v="0"/>
    <s v="2016-12-11 "/>
    <x v="0"/>
    <n v="24"/>
    <n v="67"/>
    <n v="74"/>
    <n v="61"/>
    <n v="25"/>
    <n v="12"/>
    <n v="13"/>
    <n v="0.4"/>
    <n v="1.1200000000000001"/>
    <n v="28"/>
    <n v="91"/>
  </r>
  <r>
    <s v="2016-12-11 17"/>
    <x v="6"/>
    <x v="0"/>
    <s v="2016-12-11 "/>
    <x v="0"/>
    <n v="25"/>
    <n v="47"/>
    <n v="65"/>
    <n v="64"/>
    <n v="21"/>
    <n v="9"/>
    <n v="12"/>
    <n v="0.3"/>
    <n v="1"/>
    <n v="21"/>
    <n v="72"/>
  </r>
  <r>
    <s v="2016-12-11 16"/>
    <x v="7"/>
    <x v="0"/>
    <s v="2016-12-11 "/>
    <x v="0"/>
    <n v="14"/>
    <n v="34"/>
    <n v="71"/>
    <n v="55"/>
    <n v="17"/>
    <n v="5"/>
    <n v="12"/>
    <n v="0.3"/>
    <n v="0.82"/>
    <n v="14"/>
    <n v="48"/>
  </r>
  <r>
    <s v="2016-12-11 15"/>
    <x v="8"/>
    <x v="0"/>
    <s v="2016-12-11 "/>
    <x v="0"/>
    <n v="10"/>
    <n v="35"/>
    <n v="78"/>
    <n v="51"/>
    <n v="19"/>
    <n v="6"/>
    <n v="13"/>
    <n v="0.4"/>
    <n v="0.47"/>
    <n v="9"/>
    <n v="45"/>
  </r>
  <r>
    <s v="2016-12-11 14"/>
    <x v="9"/>
    <x v="0"/>
    <s v="2016-12-11 "/>
    <x v="0"/>
    <n v="26"/>
    <n v="41"/>
    <n v="61"/>
    <n v="51"/>
    <n v="18"/>
    <n v="7"/>
    <n v="11"/>
    <n v="0.4"/>
    <n v="1.1100000000000001"/>
    <n v="20"/>
    <n v="67"/>
  </r>
  <r>
    <s v="2016-12-11 13"/>
    <x v="10"/>
    <x v="0"/>
    <s v="2016-12-11 "/>
    <x v="0"/>
    <n v="20"/>
    <n v="32"/>
    <n v="62"/>
    <n v="45"/>
    <n v="13"/>
    <n v="4"/>
    <n v="9"/>
    <n v="0.3"/>
    <n v="0.69"/>
    <n v="9"/>
    <n v="52"/>
  </r>
  <r>
    <s v="2016-12-11 12"/>
    <x v="11"/>
    <x v="0"/>
    <s v="2016-12-11 "/>
    <x v="0"/>
    <n v="32"/>
    <n v="30"/>
    <n v="48"/>
    <n v="36"/>
    <n v="11"/>
    <n v="4"/>
    <n v="7"/>
    <n v="0.3"/>
    <n v="1"/>
    <n v="11"/>
    <n v="62"/>
  </r>
  <r>
    <s v="2016-12-11 11"/>
    <x v="12"/>
    <x v="0"/>
    <s v="2016-12-11 "/>
    <x v="0"/>
    <n v="23"/>
    <n v="19"/>
    <n v="45"/>
    <n v="32"/>
    <n v="9"/>
    <n v="1"/>
    <n v="8"/>
    <n v="0.3"/>
    <n v="0.67"/>
    <n v="6"/>
    <n v="42"/>
  </r>
  <r>
    <s v="2016-12-11 10"/>
    <x v="13"/>
    <x v="0"/>
    <s v="2016-12-11 "/>
    <x v="0"/>
    <n v="10"/>
    <n v="14"/>
    <n v="58"/>
    <n v="31"/>
    <n v="7"/>
    <n v="1"/>
    <n v="6"/>
    <n v="0.2"/>
    <n v="0.28999999999999998"/>
    <n v="2"/>
    <n v="24"/>
  </r>
  <r>
    <s v="2016-12-11 09"/>
    <x v="14"/>
    <x v="0"/>
    <s v="2016-12-11 "/>
    <x v="0"/>
    <n v="9"/>
    <n v="14"/>
    <n v="61"/>
    <n v="29"/>
    <n v="8"/>
    <n v="1"/>
    <n v="7"/>
    <n v="0.3"/>
    <n v="0.25"/>
    <n v="2"/>
    <n v="23"/>
  </r>
  <r>
    <s v="2016-12-11 08"/>
    <x v="15"/>
    <x v="0"/>
    <s v="2016-12-11 "/>
    <x v="0"/>
    <n v="10"/>
    <n v="8"/>
    <n v="44"/>
    <n v="27"/>
    <n v="7"/>
    <n v="1"/>
    <n v="6"/>
    <n v="0.3"/>
    <n v="0.56999999999999995"/>
    <n v="4"/>
    <n v="18"/>
  </r>
  <r>
    <s v="2016-12-11 07"/>
    <x v="16"/>
    <x v="0"/>
    <s v="2016-12-11 "/>
    <x v="0"/>
    <n v="3"/>
    <n v="5"/>
    <n v="63"/>
    <n v="25"/>
    <n v="11"/>
    <n v="1"/>
    <n v="10"/>
    <n v="0.4"/>
    <n v="0"/>
    <n v="0"/>
    <n v="8"/>
  </r>
  <r>
    <s v="2016-12-11 06"/>
    <x v="17"/>
    <x v="0"/>
    <s v="2016-12-11 "/>
    <x v="0"/>
    <n v="4"/>
    <n v="5"/>
    <n v="56"/>
    <n v="28"/>
    <n v="8"/>
    <n v="2"/>
    <n v="6"/>
    <n v="0.3"/>
    <n v="0.75"/>
    <n v="6"/>
    <n v="9"/>
  </r>
  <r>
    <s v="2016-12-11 05"/>
    <x v="18"/>
    <x v="0"/>
    <s v="2016-12-11 "/>
    <x v="0"/>
    <n v="20"/>
    <n v="14"/>
    <n v="41"/>
    <n v="28"/>
    <n v="6"/>
    <n v="2"/>
    <n v="4"/>
    <n v="0.2"/>
    <n v="1"/>
    <n v="6"/>
    <n v="34"/>
  </r>
  <r>
    <s v="2016-12-11 04"/>
    <x v="19"/>
    <x v="0"/>
    <s v="2016-12-11 "/>
    <x v="0"/>
    <n v="27"/>
    <n v="17"/>
    <n v="39"/>
    <n v="34"/>
    <n v="10"/>
    <n v="5"/>
    <n v="5"/>
    <n v="0.3"/>
    <n v="0.8"/>
    <n v="8"/>
    <n v="44"/>
  </r>
  <r>
    <s v="2016-12-11 03"/>
    <x v="20"/>
    <x v="0"/>
    <s v="2016-12-11 "/>
    <x v="0"/>
    <n v="18"/>
    <n v="48"/>
    <n v="73"/>
    <n v="53"/>
    <n v="19"/>
    <n v="9"/>
    <n v="10"/>
    <n v="0.4"/>
    <n v="1.26"/>
    <n v="24"/>
    <n v="66"/>
  </r>
  <r>
    <s v="2016-12-11 02"/>
    <x v="21"/>
    <x v="0"/>
    <s v="2016-12-11 "/>
    <x v="0"/>
    <n v="15"/>
    <n v="49"/>
    <n v="77"/>
    <n v="63"/>
    <n v="22"/>
    <n v="11"/>
    <n v="11"/>
    <n v="0.3"/>
    <n v="1.27"/>
    <n v="28"/>
    <n v="64"/>
  </r>
  <r>
    <s v="2016-12-11 01"/>
    <x v="22"/>
    <x v="0"/>
    <s v="2016-12-11 "/>
    <x v="0"/>
    <n v="4"/>
    <n v="76"/>
    <n v="95"/>
    <n v="65"/>
    <n v="29"/>
    <n v="14"/>
    <n v="14"/>
    <n v="0.4"/>
    <n v="1.41"/>
    <n v="41"/>
    <n v="80"/>
  </r>
  <r>
    <s v="2016-12-11 00"/>
    <x v="23"/>
    <x v="0"/>
    <s v="2016-12-11 "/>
    <x v="0"/>
    <n v="10"/>
    <n v="73"/>
    <n v="88"/>
    <n v="75"/>
    <n v="30"/>
    <n v="14"/>
    <n v="16"/>
    <n v="0.4"/>
    <n v="1.33"/>
    <n v="40"/>
    <n v="83"/>
  </r>
  <r>
    <s v="2016-12-10 23"/>
    <x v="0"/>
    <x v="1"/>
    <s v="2016-12-10 "/>
    <x v="1"/>
    <n v="10"/>
    <n v="67"/>
    <n v="87"/>
    <n v="86"/>
    <n v="34"/>
    <n v="11"/>
    <n v="23"/>
    <n v="0.4"/>
    <n v="0.88"/>
    <n v="30"/>
    <n v="77"/>
  </r>
  <r>
    <s v="2016-12-10 22"/>
    <x v="1"/>
    <x v="1"/>
    <s v="2016-12-10 "/>
    <x v="1"/>
    <n v="6"/>
    <n v="59"/>
    <n v="91"/>
    <n v="104"/>
    <n v="38"/>
    <n v="9"/>
    <n v="29"/>
    <n v="0.4"/>
    <n v="0.71"/>
    <n v="27"/>
    <n v="65"/>
  </r>
  <r>
    <s v="2016-12-10 21"/>
    <x v="2"/>
    <x v="1"/>
    <s v="2016-12-10 "/>
    <x v="1"/>
    <n v="0"/>
    <n v="69"/>
    <n v="100"/>
    <n v="97"/>
    <n v="38"/>
    <n v="10"/>
    <n v="28"/>
    <n v="0.4"/>
    <n v="0.61"/>
    <n v="23"/>
    <n v="69"/>
  </r>
  <r>
    <s v="2016-12-10 20"/>
    <x v="3"/>
    <x v="1"/>
    <s v="2016-12-10 "/>
    <x v="1"/>
    <n v="15"/>
    <n v="83"/>
    <n v="85"/>
    <n v="96"/>
    <n v="37"/>
    <n v="15"/>
    <n v="23"/>
    <n v="0.4"/>
    <n v="0.95"/>
    <n v="35"/>
    <n v="98"/>
  </r>
  <r>
    <s v="2016-12-10 19"/>
    <x v="4"/>
    <x v="1"/>
    <s v="2016-12-10 "/>
    <x v="1"/>
    <n v="18"/>
    <n v="63"/>
    <n v="78"/>
    <n v="90"/>
    <n v="36"/>
    <n v="13"/>
    <n v="23"/>
    <n v="0.4"/>
    <n v="0.78"/>
    <n v="28"/>
    <n v="81"/>
  </r>
  <r>
    <s v="2016-12-10 18"/>
    <x v="5"/>
    <x v="1"/>
    <s v="2016-12-10 "/>
    <x v="1"/>
    <n v="11"/>
    <n v="47"/>
    <n v="81"/>
    <n v="75"/>
    <n v="29"/>
    <n v="6"/>
    <n v="23"/>
    <n v="0.4"/>
    <n v="0.62"/>
    <n v="18"/>
    <n v="58"/>
  </r>
  <r>
    <s v="2016-12-10 17"/>
    <x v="6"/>
    <x v="1"/>
    <s v="2016-12-10 "/>
    <x v="1"/>
    <n v="3"/>
    <n v="40"/>
    <n v="93"/>
    <n v="62"/>
    <n v="25"/>
    <n v="6"/>
    <n v="19"/>
    <n v="0.4"/>
    <n v="0.56000000000000005"/>
    <n v="14"/>
    <n v="43"/>
  </r>
  <r>
    <s v="2016-12-10 16"/>
    <x v="7"/>
    <x v="1"/>
    <s v="2016-12-10 "/>
    <x v="1"/>
    <n v="9"/>
    <n v="38"/>
    <n v="81"/>
    <n v="52"/>
    <n v="21"/>
    <n v="8"/>
    <n v="14"/>
    <n v="0.4"/>
    <n v="0.76"/>
    <n v="16"/>
    <n v="47"/>
  </r>
  <r>
    <s v="2016-12-10 15"/>
    <x v="8"/>
    <x v="1"/>
    <s v="2016-12-10 "/>
    <x v="1"/>
    <n v="6"/>
    <n v="29"/>
    <n v="83"/>
    <n v="45"/>
    <n v="16"/>
    <n v="4"/>
    <n v="12"/>
    <n v="0.4"/>
    <n v="0.63"/>
    <n v="10"/>
    <n v="35"/>
  </r>
  <r>
    <s v="2016-12-10 14"/>
    <x v="9"/>
    <x v="1"/>
    <s v="2016-12-10 "/>
    <x v="1"/>
    <n v="12"/>
    <n v="37"/>
    <n v="76"/>
    <n v="47"/>
    <n v="16"/>
    <n v="4"/>
    <n v="12"/>
    <n v="0.3"/>
    <n v="0.69"/>
    <n v="11"/>
    <n v="49"/>
  </r>
  <r>
    <s v="2016-12-10 13"/>
    <x v="10"/>
    <x v="1"/>
    <s v="2016-12-10 "/>
    <x v="1"/>
    <n v="6"/>
    <n v="22"/>
    <n v="79"/>
    <n v="45"/>
    <n v="18"/>
    <n v="4"/>
    <n v="13"/>
    <n v="0.4"/>
    <n v="0.5"/>
    <n v="9"/>
    <n v="28"/>
  </r>
  <r>
    <s v="2016-12-10 12"/>
    <x v="11"/>
    <x v="1"/>
    <s v="2016-12-10 "/>
    <x v="1"/>
    <n v="15"/>
    <n v="31"/>
    <n v="67"/>
    <n v="43"/>
    <n v="14"/>
    <n v="4"/>
    <n v="10"/>
    <n v="0.3"/>
    <n v="0.64"/>
    <n v="9"/>
    <n v="46"/>
  </r>
  <r>
    <s v="2016-12-10 11"/>
    <x v="12"/>
    <x v="1"/>
    <s v="2016-12-10 "/>
    <x v="1"/>
    <n v="7"/>
    <n v="34"/>
    <n v="83"/>
    <n v="40"/>
    <n v="16"/>
    <n v="3"/>
    <n v="13"/>
    <n v="0.4"/>
    <n v="0.31"/>
    <n v="5"/>
    <n v="41"/>
  </r>
  <r>
    <s v="2016-12-10 10"/>
    <x v="13"/>
    <x v="1"/>
    <s v="2016-12-10 "/>
    <x v="1"/>
    <n v="3"/>
    <n v="27"/>
    <n v="90"/>
    <n v="46"/>
    <n v="19"/>
    <n v="3"/>
    <n v="16"/>
    <n v="0.4"/>
    <n v="0.47"/>
    <n v="9"/>
    <n v="30"/>
  </r>
  <r>
    <s v="2016-12-10 09"/>
    <x v="14"/>
    <x v="1"/>
    <s v="2016-12-10 "/>
    <x v="1"/>
    <n v="9"/>
    <n v="17"/>
    <n v="65"/>
    <n v="42"/>
    <n v="11"/>
    <n v="3"/>
    <n v="8"/>
    <n v="0.3"/>
    <n v="0.64"/>
    <n v="7"/>
    <n v="26"/>
  </r>
  <r>
    <s v="2016-12-10 08"/>
    <x v="15"/>
    <x v="1"/>
    <s v="2016-12-10 "/>
    <x v="1"/>
    <n v="12"/>
    <n v="13"/>
    <n v="52"/>
    <n v="39"/>
    <n v="12"/>
    <n v="3"/>
    <n v="9"/>
    <n v="0.3"/>
    <n v="0.5"/>
    <n v="6"/>
    <n v="25"/>
  </r>
  <r>
    <s v="2016-12-10 07"/>
    <x v="16"/>
    <x v="1"/>
    <s v="2016-12-10 "/>
    <x v="1"/>
    <n v="3"/>
    <n v="9"/>
    <n v="75"/>
    <n v="35"/>
    <n v="12"/>
    <n v="0"/>
    <n v="11"/>
    <n v="0.3"/>
    <n v="0.08"/>
    <n v="1"/>
    <n v="12"/>
  </r>
  <r>
    <s v="2016-12-10 06"/>
    <x v="17"/>
    <x v="1"/>
    <s v="2016-12-10 "/>
    <x v="1"/>
    <n v="6"/>
    <n v="12"/>
    <n v="67"/>
    <n v="30"/>
    <n v="10"/>
    <n v="2"/>
    <n v="8"/>
    <n v="0.3"/>
    <n v="0.4"/>
    <n v="4"/>
    <n v="18"/>
  </r>
  <r>
    <s v="2016-12-10 05"/>
    <x v="18"/>
    <x v="1"/>
    <s v="2016-12-10 "/>
    <x v="1"/>
    <n v="18"/>
    <n v="24"/>
    <n v="57"/>
    <n v="36"/>
    <n v="11"/>
    <n v="5"/>
    <n v="6"/>
    <n v="0.3"/>
    <n v="1"/>
    <n v="11"/>
    <n v="42"/>
  </r>
  <r>
    <s v="2016-12-10 04"/>
    <x v="19"/>
    <x v="1"/>
    <s v="2016-12-10 "/>
    <x v="1"/>
    <n v="69"/>
    <n v="37"/>
    <n v="35"/>
    <n v="37"/>
    <n v="11"/>
    <n v="7"/>
    <n v="4"/>
    <n v="0.3"/>
    <n v="1.82"/>
    <n v="20"/>
    <n v="106"/>
  </r>
  <r>
    <s v="2016-12-10 03"/>
    <x v="20"/>
    <x v="1"/>
    <s v="2016-12-10 "/>
    <x v="1"/>
    <n v="63"/>
    <n v="46"/>
    <n v="42"/>
    <n v="42"/>
    <n v="17"/>
    <n v="11"/>
    <n v="6"/>
    <n v="0.4"/>
    <n v="1.47"/>
    <n v="25"/>
    <n v="109"/>
  </r>
  <r>
    <s v="2016-12-10 02"/>
    <x v="21"/>
    <x v="1"/>
    <s v="2016-12-10 "/>
    <x v="1"/>
    <n v="34"/>
    <n v="71"/>
    <n v="68"/>
    <n v="59"/>
    <n v="24"/>
    <n v="15"/>
    <n v="9"/>
    <n v="0.4"/>
    <n v="1.46"/>
    <n v="35"/>
    <n v="105"/>
  </r>
  <r>
    <s v="2016-12-10 01"/>
    <x v="22"/>
    <x v="1"/>
    <s v="2016-12-10 "/>
    <x v="1"/>
    <n v="10"/>
    <n v="87"/>
    <n v="90"/>
    <n v="71"/>
    <n v="31"/>
    <n v="17"/>
    <n v="14"/>
    <n v="0.4"/>
    <n v="1.55"/>
    <n v="48"/>
    <n v="97"/>
  </r>
  <r>
    <s v="2016-12-10 00"/>
    <x v="23"/>
    <x v="1"/>
    <s v="2016-12-10 "/>
    <x v="1"/>
    <n v="10"/>
    <n v="78"/>
    <n v="89"/>
    <n v="81"/>
    <n v="33"/>
    <n v="15"/>
    <n v="18"/>
    <n v="0.4"/>
    <n v="1.24"/>
    <n v="41"/>
    <n v="88"/>
  </r>
  <r>
    <s v="2016-12-09 23"/>
    <x v="0"/>
    <x v="2"/>
    <s v="2016-12-09 "/>
    <x v="2"/>
    <n v="4"/>
    <n v="74"/>
    <n v="95"/>
    <n v="98"/>
    <n v="39"/>
    <n v="9"/>
    <n v="30"/>
    <n v="0.4"/>
    <n v="0.82"/>
    <n v="32"/>
    <n v="78"/>
  </r>
  <r>
    <s v="2016-12-09 22"/>
    <x v="1"/>
    <x v="2"/>
    <s v="2016-12-09 "/>
    <x v="2"/>
    <n v="37"/>
    <n v="80"/>
    <n v="68"/>
    <n v="104"/>
    <n v="45"/>
    <n v="21"/>
    <n v="24"/>
    <n v="0.4"/>
    <n v="0.78"/>
    <n v="35"/>
    <n v="117"/>
  </r>
  <r>
    <s v="2016-12-09 21"/>
    <x v="2"/>
    <x v="2"/>
    <s v="2016-12-09 "/>
    <x v="2"/>
    <n v="64"/>
    <n v="102"/>
    <n v="61"/>
    <n v="96"/>
    <n v="35"/>
    <n v="22"/>
    <n v="13"/>
    <n v="0.4"/>
    <n v="1.6"/>
    <n v="56"/>
    <n v="166"/>
  </r>
  <r>
    <s v="2016-12-09 20"/>
    <x v="3"/>
    <x v="2"/>
    <s v="2016-12-09 "/>
    <x v="2"/>
    <n v="43"/>
    <n v="97"/>
    <n v="69"/>
    <n v="109"/>
    <n v="38"/>
    <n v="24"/>
    <n v="14"/>
    <n v="0.3"/>
    <n v="1.5"/>
    <n v="57"/>
    <n v="140"/>
  </r>
  <r>
    <s v="2016-12-09 19"/>
    <x v="4"/>
    <x v="2"/>
    <s v="2016-12-09 "/>
    <x v="2"/>
    <n v="27"/>
    <n v="106"/>
    <n v="80"/>
    <n v="96"/>
    <n v="37"/>
    <n v="20"/>
    <n v="18"/>
    <n v="0.4"/>
    <n v="1.05"/>
    <n v="39"/>
    <n v="133"/>
  </r>
  <r>
    <s v="2016-12-09 18"/>
    <x v="5"/>
    <x v="2"/>
    <s v="2016-12-09 "/>
    <x v="2"/>
    <n v="51"/>
    <n v="75"/>
    <n v="60"/>
    <n v="81"/>
    <n v="33"/>
    <n v="22"/>
    <n v="11"/>
    <n v="0.4"/>
    <n v="1.1499999999999999"/>
    <n v="38"/>
    <n v="126"/>
  </r>
  <r>
    <s v="2016-12-09 17"/>
    <x v="6"/>
    <x v="2"/>
    <s v="2016-12-09 "/>
    <x v="2"/>
    <n v="22"/>
    <n v="56"/>
    <n v="72"/>
    <n v="75"/>
    <n v="27"/>
    <n v="10"/>
    <n v="17"/>
    <n v="0.4"/>
    <n v="0.7"/>
    <n v="19"/>
    <n v="78"/>
  </r>
  <r>
    <s v="2016-12-09 16"/>
    <x v="7"/>
    <x v="2"/>
    <s v="2016-12-09 "/>
    <x v="2"/>
    <n v="28"/>
    <n v="35"/>
    <n v="56"/>
    <n v="61"/>
    <n v="19"/>
    <n v="9"/>
    <n v="10"/>
    <n v="0.3"/>
    <n v="0.53"/>
    <n v="10"/>
    <n v="63"/>
  </r>
  <r>
    <s v="2016-12-09 15"/>
    <x v="8"/>
    <x v="2"/>
    <s v="2016-12-09 "/>
    <x v="2"/>
    <n v="19"/>
    <n v="53"/>
    <n v="74"/>
    <n v="58"/>
    <n v="17"/>
    <n v="7"/>
    <n v="10"/>
    <n v="0.3"/>
    <n v="1.06"/>
    <n v="18"/>
    <n v="72"/>
  </r>
  <r>
    <s v="2016-12-09 14"/>
    <x v="9"/>
    <x v="2"/>
    <s v="2016-12-09 "/>
    <x v="2"/>
    <n v="22"/>
    <n v="42"/>
    <n v="66"/>
    <n v="51"/>
    <n v="19"/>
    <n v="8"/>
    <n v="11"/>
    <n v="0.4"/>
    <n v="0.79"/>
    <n v="15"/>
    <n v="64"/>
  </r>
  <r>
    <s v="2016-12-09 13"/>
    <x v="10"/>
    <x v="2"/>
    <s v="2016-12-09 "/>
    <x v="2"/>
    <n v="18"/>
    <n v="33"/>
    <n v="65"/>
    <n v="54"/>
    <n v="15"/>
    <n v="5"/>
    <n v="10"/>
    <n v="0.3"/>
    <n v="0.73"/>
    <n v="11"/>
    <n v="51"/>
  </r>
  <r>
    <s v="2016-12-09 12"/>
    <x v="11"/>
    <x v="2"/>
    <s v="2016-12-09 "/>
    <x v="2"/>
    <n v="5"/>
    <n v="30"/>
    <n v="86"/>
    <n v="65"/>
    <n v="21"/>
    <n v="7"/>
    <n v="14"/>
    <n v="0.3"/>
    <n v="0.52"/>
    <n v="11"/>
    <n v="35"/>
  </r>
  <r>
    <s v="2016-12-09 11"/>
    <x v="12"/>
    <x v="2"/>
    <s v="2016-12-09 "/>
    <x v="2"/>
    <n v="11"/>
    <n v="38"/>
    <n v="78"/>
    <n v="70"/>
    <n v="26"/>
    <n v="5"/>
    <n v="21"/>
    <n v="0.4"/>
    <n v="0.46"/>
    <n v="12"/>
    <n v="49"/>
  </r>
  <r>
    <s v="2016-12-09 10"/>
    <x v="13"/>
    <x v="2"/>
    <s v="2016-12-09 "/>
    <x v="2"/>
    <n v="31"/>
    <n v="50"/>
    <n v="62"/>
    <n v="72"/>
    <n v="29"/>
    <n v="15"/>
    <n v="15"/>
    <n v="0.4"/>
    <n v="0.72"/>
    <n v="21"/>
    <n v="81"/>
  </r>
  <r>
    <s v="2016-12-09 09"/>
    <x v="14"/>
    <x v="2"/>
    <s v="2016-12-09 "/>
    <x v="2"/>
    <n v="62"/>
    <n v="73"/>
    <n v="54"/>
    <n v="59"/>
    <n v="22"/>
    <n v="17"/>
    <n v="5"/>
    <n v="0.4"/>
    <n v="1.68"/>
    <n v="37"/>
    <n v="135"/>
  </r>
  <r>
    <s v="2016-12-09 08"/>
    <x v="15"/>
    <x v="2"/>
    <s v="2016-12-09 "/>
    <x v="2"/>
    <n v="38"/>
    <n v="44"/>
    <n v="54"/>
    <n v="51"/>
    <n v="19"/>
    <n v="13"/>
    <n v="7"/>
    <n v="0.4"/>
    <n v="1.26"/>
    <n v="24"/>
    <n v="82"/>
  </r>
  <r>
    <s v="2016-12-09 07"/>
    <x v="16"/>
    <x v="2"/>
    <s v="2016-12-09 "/>
    <x v="2"/>
    <n v="21"/>
    <n v="17"/>
    <n v="45"/>
    <n v="41"/>
    <n v="11"/>
    <n v="4"/>
    <n v="7"/>
    <n v="0.3"/>
    <n v="1.27"/>
    <n v="14"/>
    <n v="38"/>
  </r>
  <r>
    <s v="2016-12-09 06"/>
    <x v="17"/>
    <x v="2"/>
    <s v="2016-12-09 "/>
    <x v="2"/>
    <n v="6"/>
    <n v="3"/>
    <n v="33"/>
    <n v="32"/>
    <n v="8"/>
    <n v="0"/>
    <n v="8"/>
    <n v="0.3"/>
    <n v="0.13"/>
    <n v="1"/>
    <n v="9"/>
  </r>
  <r>
    <s v="2016-12-09 05"/>
    <x v="18"/>
    <x v="2"/>
    <s v="2016-12-09 "/>
    <x v="2"/>
    <n v="3"/>
    <n v="5"/>
    <n v="63"/>
    <n v="27"/>
    <n v="10"/>
    <n v="0"/>
    <n v="9"/>
    <n v="0.4"/>
    <n v="0.1"/>
    <n v="1"/>
    <n v="8"/>
  </r>
  <r>
    <s v="2016-12-09 04"/>
    <x v="19"/>
    <x v="2"/>
    <s v="2016-12-09 "/>
    <x v="2"/>
    <n v="16"/>
    <n v="4"/>
    <n v="20"/>
    <n v="25"/>
    <n v="7"/>
    <n v="1"/>
    <n v="6"/>
    <n v="0.3"/>
    <n v="0.14000000000000001"/>
    <n v="1"/>
    <n v="20"/>
  </r>
  <r>
    <s v="2016-12-09 03"/>
    <x v="20"/>
    <x v="2"/>
    <s v="2016-12-09 "/>
    <x v="2"/>
    <n v="12"/>
    <n v="17"/>
    <n v="59"/>
    <n v="28"/>
    <n v="11"/>
    <n v="4"/>
    <n v="7"/>
    <n v="0.4"/>
    <n v="1.0900000000000001"/>
    <n v="12"/>
    <n v="29"/>
  </r>
  <r>
    <s v="2016-12-09 02"/>
    <x v="21"/>
    <x v="2"/>
    <s v="2016-12-09 "/>
    <x v="2"/>
    <n v="8"/>
    <n v="25"/>
    <n v="76"/>
    <n v="38"/>
    <n v="14"/>
    <n v="5"/>
    <n v="9"/>
    <n v="0.4"/>
    <n v="1.07"/>
    <n v="15"/>
    <n v="33"/>
  </r>
  <r>
    <s v="2016-12-09 01"/>
    <x v="22"/>
    <x v="2"/>
    <s v="2016-12-09 "/>
    <x v="2"/>
    <n v="3"/>
    <n v="25"/>
    <n v="89"/>
    <n v="50"/>
    <n v="18"/>
    <n v="5"/>
    <n v="13"/>
    <n v="0.4"/>
    <n v="0.61"/>
    <n v="11"/>
    <n v="28"/>
  </r>
  <r>
    <s v="2016-12-09 00"/>
    <x v="23"/>
    <x v="2"/>
    <s v="2016-12-09 "/>
    <x v="2"/>
    <n v="14"/>
    <n v="60"/>
    <n v="81"/>
    <n v="65"/>
    <n v="25"/>
    <n v="8"/>
    <n v="18"/>
    <n v="0.4"/>
    <n v="0.88"/>
    <n v="22"/>
    <n v="74"/>
  </r>
  <r>
    <s v="2016-12-08 23"/>
    <x v="0"/>
    <x v="3"/>
    <s v="2016-12-08 "/>
    <x v="3"/>
    <n v="7"/>
    <n v="49"/>
    <n v="88"/>
    <n v="85"/>
    <n v="29"/>
    <n v="8"/>
    <n v="21"/>
    <n v="0.3"/>
    <n v="0.76"/>
    <n v="22"/>
    <n v="56"/>
  </r>
  <r>
    <s v="2016-12-08 22"/>
    <x v="1"/>
    <x v="3"/>
    <s v="2016-12-08 "/>
    <x v="3"/>
    <n v="9"/>
    <n v="62"/>
    <n v="87"/>
    <n v="98"/>
    <n v="35"/>
    <n v="14"/>
    <n v="21"/>
    <n v="0.4"/>
    <n v="0.86"/>
    <n v="30"/>
    <n v="71"/>
  </r>
  <r>
    <s v="2016-12-08 21"/>
    <x v="2"/>
    <x v="3"/>
    <s v="2016-12-08 "/>
    <x v="3"/>
    <n v="25"/>
    <n v="76"/>
    <n v="75"/>
    <n v="108"/>
    <n v="36"/>
    <n v="18"/>
    <n v="18"/>
    <n v="0.3"/>
    <n v="1.39"/>
    <n v="50"/>
    <n v="101"/>
  </r>
  <r>
    <s v="2016-12-08 20"/>
    <x v="3"/>
    <x v="3"/>
    <s v="2016-12-08 "/>
    <x v="3"/>
    <n v="12"/>
    <n v="90"/>
    <n v="88"/>
    <n v="116"/>
    <n v="42"/>
    <n v="21"/>
    <n v="21"/>
    <n v="0.4"/>
    <n v="0.86"/>
    <n v="36"/>
    <n v="102"/>
  </r>
  <r>
    <s v="2016-12-08 19"/>
    <x v="4"/>
    <x v="3"/>
    <s v="2016-12-08 "/>
    <x v="3"/>
    <n v="46"/>
    <n v="107"/>
    <n v="70"/>
    <n v="103"/>
    <n v="40"/>
    <n v="27"/>
    <n v="14"/>
    <n v="0.4"/>
    <n v="1.32"/>
    <n v="53"/>
    <n v="153"/>
  </r>
  <r>
    <s v="2016-12-08 18"/>
    <x v="5"/>
    <x v="3"/>
    <s v="2016-12-08 "/>
    <x v="3"/>
    <n v="83"/>
    <n v="91"/>
    <n v="52"/>
    <n v="104"/>
    <n v="40"/>
    <n v="26"/>
    <n v="14"/>
    <n v="0.4"/>
    <n v="1.05"/>
    <n v="42"/>
    <n v="174"/>
  </r>
  <r>
    <s v="2016-12-08 17"/>
    <x v="6"/>
    <x v="3"/>
    <s v="2016-12-08 "/>
    <x v="3"/>
    <n v="39"/>
    <n v="71"/>
    <n v="65"/>
    <n v="104"/>
    <n v="32"/>
    <n v="17"/>
    <n v="16"/>
    <n v="0.3"/>
    <n v="0.91"/>
    <n v="29"/>
    <n v="110"/>
  </r>
  <r>
    <s v="2016-12-08 16"/>
    <x v="7"/>
    <x v="3"/>
    <s v="2016-12-08 "/>
    <x v="3"/>
    <n v="5"/>
    <n v="46"/>
    <n v="90"/>
    <n v="95"/>
    <n v="27"/>
    <n v="8"/>
    <n v="19"/>
    <n v="0.3"/>
    <n v="0.7"/>
    <n v="19"/>
    <n v="51"/>
  </r>
  <r>
    <s v="2016-12-08 15"/>
    <x v="8"/>
    <x v="3"/>
    <s v="2016-12-08 "/>
    <x v="3"/>
    <n v="5"/>
    <n v="39"/>
    <n v="89"/>
    <n v="76"/>
    <n v="26"/>
    <n v="6"/>
    <n v="20"/>
    <n v="0.3"/>
    <n v="0.62"/>
    <n v="16"/>
    <n v="44"/>
  </r>
  <r>
    <s v="2016-12-08 14"/>
    <x v="9"/>
    <x v="3"/>
    <s v="2016-12-08 "/>
    <x v="3"/>
    <n v="5"/>
    <n v="33"/>
    <n v="87"/>
    <n v="77"/>
    <n v="23"/>
    <n v="4"/>
    <n v="19"/>
    <n v="0.3"/>
    <n v="0.35"/>
    <n v="8"/>
    <n v="38"/>
  </r>
  <r>
    <s v="2016-12-08 13"/>
    <x v="10"/>
    <x v="3"/>
    <s v="2016-12-08 "/>
    <x v="3"/>
    <n v="5"/>
    <n v="30"/>
    <n v="86"/>
    <n v="80"/>
    <n v="26"/>
    <n v="3"/>
    <n v="22"/>
    <n v="0.3"/>
    <n v="0.38"/>
    <n v="10"/>
    <n v="35"/>
  </r>
  <r>
    <s v="2016-12-08 12"/>
    <x v="11"/>
    <x v="3"/>
    <s v="2016-12-08 "/>
    <x v="3"/>
    <n v="5"/>
    <n v="23"/>
    <n v="82"/>
    <n v="75"/>
    <n v="26"/>
    <n v="3"/>
    <n v="22"/>
    <n v="0.3"/>
    <n v="0.19"/>
    <n v="5"/>
    <n v="28"/>
  </r>
  <r>
    <s v="2016-12-08 11"/>
    <x v="12"/>
    <x v="3"/>
    <s v="2016-12-08 "/>
    <x v="3"/>
    <n v="4"/>
    <n v="26"/>
    <n v="87"/>
    <n v="84"/>
    <n v="28"/>
    <n v="6"/>
    <n v="22"/>
    <n v="0.3"/>
    <n v="0.43"/>
    <n v="12"/>
    <n v="30"/>
  </r>
  <r>
    <s v="2016-12-08 10"/>
    <x v="13"/>
    <x v="3"/>
    <s v="2016-12-08 "/>
    <x v="3"/>
    <n v="5"/>
    <n v="47"/>
    <n v="90"/>
    <n v="92"/>
    <n v="37"/>
    <n v="11"/>
    <n v="26"/>
    <n v="0.4"/>
    <n v="0.54"/>
    <n v="20"/>
    <n v="52"/>
  </r>
  <r>
    <s v="2016-12-08 09"/>
    <x v="14"/>
    <x v="3"/>
    <s v="2016-12-08 "/>
    <x v="3"/>
    <n v="17"/>
    <n v="65"/>
    <n v="79"/>
    <n v="77"/>
    <n v="32"/>
    <n v="17"/>
    <n v="15"/>
    <n v="0.4"/>
    <n v="1.1299999999999999"/>
    <n v="36"/>
    <n v="82"/>
  </r>
  <r>
    <s v="2016-12-08 08"/>
    <x v="15"/>
    <x v="3"/>
    <s v="2016-12-08 "/>
    <x v="3"/>
    <n v="26"/>
    <n v="45"/>
    <n v="63"/>
    <n v="62"/>
    <n v="20"/>
    <n v="12"/>
    <n v="8"/>
    <n v="0.3"/>
    <n v="1.2"/>
    <n v="24"/>
    <n v="71"/>
  </r>
  <r>
    <s v="2016-12-08 07"/>
    <x v="16"/>
    <x v="3"/>
    <s v="2016-12-08 "/>
    <x v="3"/>
    <n v="15"/>
    <n v="18"/>
    <n v="55"/>
    <n v="44"/>
    <n v="12"/>
    <n v="2"/>
    <n v="11"/>
    <n v="0.3"/>
    <n v="0.57999999999999996"/>
    <n v="7"/>
    <n v="33"/>
  </r>
  <r>
    <s v="2016-12-08 06"/>
    <x v="17"/>
    <x v="3"/>
    <s v="2016-12-08 "/>
    <x v="3"/>
    <n v="5"/>
    <n v="2"/>
    <n v="29"/>
    <n v="27"/>
    <n v="7"/>
    <n v="0"/>
    <n v="7"/>
    <n v="0.3"/>
    <n v="0.14000000000000001"/>
    <n v="1"/>
    <n v="7"/>
  </r>
  <r>
    <s v="2016-12-08 05"/>
    <x v="18"/>
    <x v="3"/>
    <s v="2016-12-08 "/>
    <x v="3"/>
    <n v="2"/>
    <n v="3"/>
    <n v="60"/>
    <n v="17"/>
    <n v="5"/>
    <n v="0"/>
    <n v="5"/>
    <n v="0.3"/>
    <n v="0"/>
    <n v="0"/>
    <n v="5"/>
  </r>
  <r>
    <s v="2016-12-08 04"/>
    <x v="19"/>
    <x v="3"/>
    <s v="2016-12-08 "/>
    <x v="3"/>
    <n v="8"/>
    <n v="2"/>
    <n v="20"/>
    <n v="17"/>
    <n v="5"/>
    <n v="0"/>
    <n v="5"/>
    <n v="0.3"/>
    <n v="0"/>
    <n v="0"/>
    <n v="10"/>
  </r>
  <r>
    <s v="2016-12-08 03"/>
    <x v="20"/>
    <x v="3"/>
    <s v="2016-12-08 "/>
    <x v="3"/>
    <n v="7"/>
    <n v="6"/>
    <n v="46"/>
    <n v="18"/>
    <n v="6"/>
    <n v="0"/>
    <n v="6"/>
    <n v="0.3"/>
    <n v="0.17"/>
    <n v="1"/>
    <n v="13"/>
  </r>
  <r>
    <s v="2016-12-08 02"/>
    <x v="21"/>
    <x v="3"/>
    <s v="2016-12-08 "/>
    <x v="3"/>
    <n v="9"/>
    <n v="10"/>
    <n v="53"/>
    <n v="28"/>
    <n v="7"/>
    <n v="1"/>
    <n v="6"/>
    <n v="0.3"/>
    <n v="0.28999999999999998"/>
    <n v="2"/>
    <n v="19"/>
  </r>
  <r>
    <s v="2016-12-08 01"/>
    <x v="22"/>
    <x v="3"/>
    <s v="2016-12-08 "/>
    <x v="3"/>
    <n v="2"/>
    <n v="14"/>
    <n v="88"/>
    <n v="48"/>
    <n v="17"/>
    <n v="3"/>
    <n v="14"/>
    <n v="0.4"/>
    <n v="0.24"/>
    <n v="4"/>
    <n v="16"/>
  </r>
  <r>
    <s v="2016-12-08 00"/>
    <x v="23"/>
    <x v="3"/>
    <s v="2016-12-08 "/>
    <x v="3"/>
    <n v="9"/>
    <n v="40"/>
    <n v="82"/>
    <n v="59"/>
    <n v="21"/>
    <n v="8"/>
    <n v="13"/>
    <n v="0.4"/>
    <n v="0.95"/>
    <n v="20"/>
    <n v="49"/>
  </r>
  <r>
    <s v="2016-12-07 23"/>
    <x v="0"/>
    <x v="4"/>
    <s v="2016-12-07 "/>
    <x v="4"/>
    <n v="14"/>
    <n v="49"/>
    <n v="78"/>
    <n v="77"/>
    <n v="26"/>
    <n v="10"/>
    <n v="15"/>
    <n v="0.3"/>
    <n v="1.1499999999999999"/>
    <n v="30"/>
    <n v="63"/>
  </r>
  <r>
    <s v="2016-12-07 22"/>
    <x v="1"/>
    <x v="4"/>
    <s v="2016-12-07 "/>
    <x v="4"/>
    <n v="11"/>
    <n v="49"/>
    <n v="82"/>
    <n v="93"/>
    <n v="28"/>
    <n v="6"/>
    <n v="22"/>
    <n v="0.3"/>
    <n v="0.71"/>
    <n v="20"/>
    <n v="60"/>
  </r>
  <r>
    <s v="2016-12-07 21"/>
    <x v="2"/>
    <x v="4"/>
    <s v="2016-12-07 "/>
    <x v="4"/>
    <n v="5"/>
    <n v="50"/>
    <n v="91"/>
    <n v="104"/>
    <n v="36"/>
    <n v="8"/>
    <n v="28"/>
    <n v="0.3"/>
    <n v="0.61"/>
    <n v="22"/>
    <n v="55"/>
  </r>
  <r>
    <s v="2016-12-07 20"/>
    <x v="3"/>
    <x v="4"/>
    <s v="2016-12-07 "/>
    <x v="4"/>
    <n v="10"/>
    <n v="66"/>
    <n v="87"/>
    <n v="97"/>
    <n v="36"/>
    <n v="13"/>
    <n v="23"/>
    <n v="0.4"/>
    <n v="0.75"/>
    <n v="27"/>
    <n v="76"/>
  </r>
  <r>
    <s v="2016-12-07 19"/>
    <x v="4"/>
    <x v="4"/>
    <s v="2016-12-07 "/>
    <x v="4"/>
    <n v="45"/>
    <n v="77"/>
    <n v="63"/>
    <n v="101"/>
    <n v="35"/>
    <n v="21"/>
    <n v="14"/>
    <n v="0.3"/>
    <n v="0.89"/>
    <n v="31"/>
    <n v="122"/>
  </r>
  <r>
    <s v="2016-12-07 18"/>
    <x v="5"/>
    <x v="4"/>
    <s v="2016-12-07 "/>
    <x v="4"/>
    <n v="52"/>
    <n v="71"/>
    <n v="58"/>
    <n v="88"/>
    <n v="24"/>
    <n v="13"/>
    <n v="11"/>
    <n v="0.3"/>
    <n v="1.08"/>
    <n v="26"/>
    <n v="123"/>
  </r>
  <r>
    <s v="2016-12-07 17"/>
    <x v="6"/>
    <x v="4"/>
    <s v="2016-12-07 "/>
    <x v="4"/>
    <n v="5"/>
    <n v="48"/>
    <n v="91"/>
    <n v="106"/>
    <n v="35"/>
    <n v="12"/>
    <n v="23"/>
    <n v="0.3"/>
    <n v="0.49"/>
    <n v="17"/>
    <n v="53"/>
  </r>
  <r>
    <s v="2016-12-07 16"/>
    <x v="7"/>
    <x v="4"/>
    <s v="2016-12-07 "/>
    <x v="4"/>
    <n v="4"/>
    <n v="26"/>
    <n v="87"/>
    <n v="95"/>
    <n v="31"/>
    <n v="5"/>
    <n v="25"/>
    <n v="0.3"/>
    <n v="0.35"/>
    <n v="11"/>
    <n v="30"/>
  </r>
  <r>
    <s v="2016-12-07 15"/>
    <x v="8"/>
    <x v="4"/>
    <s v="2016-12-07 "/>
    <x v="4"/>
    <n v="4"/>
    <n v="34"/>
    <n v="89"/>
    <n v="84"/>
    <n v="26"/>
    <n v="4"/>
    <n v="22"/>
    <n v="0.3"/>
    <n v="0.31"/>
    <n v="8"/>
    <n v="38"/>
  </r>
  <r>
    <s v="2016-12-07 14"/>
    <x v="9"/>
    <x v="4"/>
    <s v="2016-12-07 "/>
    <x v="4"/>
    <n v="9"/>
    <n v="40"/>
    <n v="82"/>
    <n v="79"/>
    <n v="24"/>
    <n v="3"/>
    <n v="21"/>
    <n v="0.3"/>
    <n v="0.38"/>
    <n v="9"/>
    <n v="49"/>
  </r>
  <r>
    <s v="2016-12-07 13"/>
    <x v="10"/>
    <x v="4"/>
    <s v="2016-12-07 "/>
    <x v="4"/>
    <n v="7"/>
    <n v="32"/>
    <n v="82"/>
    <n v="80"/>
    <n v="26"/>
    <n v="4"/>
    <n v="22"/>
    <n v="0.3"/>
    <n v="0.31"/>
    <n v="8"/>
    <n v="39"/>
  </r>
  <r>
    <s v="2016-12-07 12"/>
    <x v="11"/>
    <x v="4"/>
    <s v="2016-12-07 "/>
    <x v="4"/>
    <n v="3"/>
    <n v="29"/>
    <n v="91"/>
    <n v="76"/>
    <n v="23"/>
    <n v="4"/>
    <n v="19"/>
    <n v="0.3"/>
    <n v="0.26"/>
    <n v="6"/>
    <n v="32"/>
  </r>
  <r>
    <s v="2016-12-07 11"/>
    <x v="12"/>
    <x v="4"/>
    <s v="2016-12-07 "/>
    <x v="4"/>
    <n v="3"/>
    <n v="35"/>
    <n v="92"/>
    <n v="97"/>
    <n v="37"/>
    <n v="6"/>
    <n v="31"/>
    <n v="0.4"/>
    <n v="0.24"/>
    <n v="9"/>
    <n v="38"/>
  </r>
  <r>
    <s v="2016-12-07 10"/>
    <x v="13"/>
    <x v="4"/>
    <s v="2016-12-07 "/>
    <x v="4"/>
    <n v="11"/>
    <n v="44"/>
    <n v="80"/>
    <n v="101"/>
    <n v="36"/>
    <n v="9"/>
    <n v="27"/>
    <n v="0.4"/>
    <n v="0.47"/>
    <n v="17"/>
    <n v="55"/>
  </r>
  <r>
    <s v="2016-12-07 09"/>
    <x v="14"/>
    <x v="4"/>
    <s v="2016-12-07 "/>
    <x v="4"/>
    <n v="27"/>
    <n v="64"/>
    <n v="70"/>
    <n v="84"/>
    <n v="27"/>
    <n v="13"/>
    <n v="14"/>
    <n v="0.3"/>
    <n v="1"/>
    <n v="27"/>
    <n v="91"/>
  </r>
  <r>
    <s v="2016-12-07 08"/>
    <x v="15"/>
    <x v="4"/>
    <s v="2016-12-07 "/>
    <x v="4"/>
    <n v="28"/>
    <n v="46"/>
    <n v="62"/>
    <n v="67"/>
    <n v="22"/>
    <n v="8"/>
    <n v="14"/>
    <n v="0.3"/>
    <n v="0.86"/>
    <n v="19"/>
    <n v="74"/>
  </r>
  <r>
    <s v="2016-12-07 07"/>
    <x v="16"/>
    <x v="4"/>
    <s v="2016-12-07 "/>
    <x v="4"/>
    <n v="16"/>
    <n v="21"/>
    <n v="57"/>
    <n v="48"/>
    <n v="16"/>
    <n v="4"/>
    <n v="12"/>
    <n v="0.3"/>
    <n v="0.5"/>
    <n v="8"/>
    <n v="37"/>
  </r>
  <r>
    <s v="2016-12-07 06"/>
    <x v="17"/>
    <x v="4"/>
    <s v="2016-12-07 "/>
    <x v="4"/>
    <n v="5"/>
    <n v="11"/>
    <n v="69"/>
    <n v="31"/>
    <n v="9"/>
    <n v="1"/>
    <n v="8"/>
    <n v="0.3"/>
    <n v="0.33"/>
    <n v="3"/>
    <n v="16"/>
  </r>
  <r>
    <s v="2016-12-07 04"/>
    <x v="19"/>
    <x v="4"/>
    <s v="2016-12-07 "/>
    <x v="4"/>
    <n v="2"/>
    <n v="2"/>
    <n v="50"/>
    <n v="24"/>
    <n v="10"/>
    <n v="0"/>
    <n v="10"/>
    <n v="0.4"/>
    <n v="0"/>
    <n v="0"/>
    <n v="4"/>
  </r>
  <r>
    <s v="2016-12-07 03"/>
    <x v="20"/>
    <x v="4"/>
    <s v="2016-12-07 "/>
    <x v="4"/>
    <n v="0"/>
    <n v="2"/>
    <n v="100"/>
    <n v="28"/>
    <n v="10"/>
    <n v="1"/>
    <n v="9"/>
    <n v="0.4"/>
    <n v="0.1"/>
    <n v="1"/>
    <n v="2"/>
  </r>
  <r>
    <s v="2016-12-07 02"/>
    <x v="21"/>
    <x v="4"/>
    <s v="2016-12-07 "/>
    <x v="4"/>
    <n v="5"/>
    <n v="13"/>
    <n v="72"/>
    <n v="28"/>
    <n v="11"/>
    <n v="2"/>
    <n v="9"/>
    <n v="0.4"/>
    <n v="0.55000000000000004"/>
    <n v="6"/>
    <n v="18"/>
  </r>
  <r>
    <s v="2016-12-07 01"/>
    <x v="22"/>
    <x v="4"/>
    <s v="2016-12-07 "/>
    <x v="4"/>
    <n v="0"/>
    <n v="16"/>
    <n v="100"/>
    <n v="39"/>
    <n v="15"/>
    <n v="1"/>
    <n v="13"/>
    <n v="0.4"/>
    <n v="7.0000000000000007E-2"/>
    <n v="1"/>
    <n v="16"/>
  </r>
  <r>
    <s v="2016-12-07 00"/>
    <x v="23"/>
    <x v="4"/>
    <s v="2016-12-07 "/>
    <x v="4"/>
    <n v="2"/>
    <n v="34"/>
    <n v="94"/>
    <n v="56"/>
    <n v="19"/>
    <n v="5"/>
    <n v="13"/>
    <n v="0.3"/>
    <n v="0.79"/>
    <n v="15"/>
    <n v="36"/>
  </r>
  <r>
    <s v="2016-12-06 23"/>
    <x v="0"/>
    <x v="5"/>
    <s v="2016-12-06 "/>
    <x v="5"/>
    <n v="6"/>
    <n v="46"/>
    <n v="88"/>
    <n v="72"/>
    <n v="29"/>
    <n v="8"/>
    <n v="21"/>
    <n v="0.4"/>
    <n v="0.69"/>
    <n v="20"/>
    <n v="52"/>
  </r>
  <r>
    <s v="2016-12-06 22"/>
    <x v="1"/>
    <x v="5"/>
    <s v="2016-12-06 "/>
    <x v="5"/>
    <n v="4"/>
    <n v="40"/>
    <n v="91"/>
    <n v="85"/>
    <n v="32"/>
    <n v="7"/>
    <n v="25"/>
    <n v="0.4"/>
    <n v="0.47"/>
    <n v="15"/>
    <n v="44"/>
  </r>
  <r>
    <s v="2016-12-06 21"/>
    <x v="2"/>
    <x v="5"/>
    <s v="2016-12-06 "/>
    <x v="5"/>
    <n v="6"/>
    <n v="43"/>
    <n v="88"/>
    <n v="103"/>
    <n v="35"/>
    <n v="9"/>
    <n v="26"/>
    <n v="0.3"/>
    <n v="0.69"/>
    <n v="24"/>
    <n v="49"/>
  </r>
  <r>
    <s v="2016-12-06 20"/>
    <x v="3"/>
    <x v="5"/>
    <s v="2016-12-06 "/>
    <x v="5"/>
    <n v="7"/>
    <n v="60"/>
    <n v="90"/>
    <n v="108"/>
    <n v="39"/>
    <n v="10"/>
    <n v="30"/>
    <n v="0.4"/>
    <n v="0.56000000000000005"/>
    <n v="22"/>
    <n v="67"/>
  </r>
  <r>
    <s v="2016-12-06 19"/>
    <x v="4"/>
    <x v="5"/>
    <s v="2016-12-06 "/>
    <x v="5"/>
    <n v="15"/>
    <n v="74"/>
    <n v="83"/>
    <n v="108"/>
    <n v="43"/>
    <n v="22"/>
    <n v="21"/>
    <n v="0.4"/>
    <n v="0.65"/>
    <n v="28"/>
    <n v="89"/>
  </r>
  <r>
    <s v="2016-12-06 18"/>
    <x v="5"/>
    <x v="5"/>
    <s v="2016-12-06 "/>
    <x v="5"/>
    <n v="47"/>
    <n v="68"/>
    <n v="59"/>
    <n v="90"/>
    <n v="31"/>
    <n v="19"/>
    <n v="12"/>
    <n v="0.3"/>
    <n v="1.19"/>
    <n v="37"/>
    <n v="115"/>
  </r>
  <r>
    <s v="2016-12-06 17"/>
    <x v="6"/>
    <x v="5"/>
    <s v="2016-12-06 "/>
    <x v="5"/>
    <n v="1"/>
    <n v="50"/>
    <n v="98"/>
    <n v="91"/>
    <n v="30"/>
    <n v="6"/>
    <n v="24"/>
    <n v="0.3"/>
    <n v="0.63"/>
    <n v="19"/>
    <n v="51"/>
  </r>
  <r>
    <s v="2016-12-06 16"/>
    <x v="7"/>
    <x v="5"/>
    <s v="2016-12-06 "/>
    <x v="5"/>
    <n v="3"/>
    <n v="37"/>
    <n v="93"/>
    <n v="84"/>
    <n v="27"/>
    <n v="3"/>
    <n v="24"/>
    <n v="0.3"/>
    <n v="0.22"/>
    <n v="6"/>
    <n v="40"/>
  </r>
  <r>
    <s v="2016-12-06 15"/>
    <x v="8"/>
    <x v="5"/>
    <s v="2016-12-06 "/>
    <x v="5"/>
    <n v="7"/>
    <n v="26"/>
    <n v="79"/>
    <n v="76"/>
    <n v="23"/>
    <n v="2"/>
    <n v="22"/>
    <n v="0.3"/>
    <n v="0.17"/>
    <n v="4"/>
    <n v="33"/>
  </r>
  <r>
    <s v="2016-12-06 14"/>
    <x v="9"/>
    <x v="5"/>
    <s v="2016-12-06 "/>
    <x v="5"/>
    <n v="8"/>
    <n v="27"/>
    <n v="77"/>
    <n v="65"/>
    <n v="21"/>
    <n v="4"/>
    <n v="17"/>
    <n v="0.3"/>
    <n v="0.43"/>
    <n v="9"/>
    <n v="35"/>
  </r>
  <r>
    <s v="2016-12-06 13"/>
    <x v="10"/>
    <x v="5"/>
    <s v="2016-12-06 "/>
    <x v="5"/>
    <n v="7"/>
    <n v="25"/>
    <n v="78"/>
    <n v="68"/>
    <n v="19"/>
    <n v="3"/>
    <n v="16"/>
    <n v="0.3"/>
    <n v="0.53"/>
    <n v="10"/>
    <n v="32"/>
  </r>
  <r>
    <s v="2016-12-06 12"/>
    <x v="11"/>
    <x v="5"/>
    <s v="2016-12-06 "/>
    <x v="5"/>
    <n v="7"/>
    <n v="24"/>
    <n v="77"/>
    <n v="78"/>
    <n v="22"/>
    <n v="2"/>
    <n v="20"/>
    <n v="0.3"/>
    <n v="0.14000000000000001"/>
    <n v="3"/>
    <n v="31"/>
  </r>
  <r>
    <s v="2016-12-06 11"/>
    <x v="12"/>
    <x v="5"/>
    <s v="2016-12-06 "/>
    <x v="5"/>
    <n v="10"/>
    <n v="32"/>
    <n v="76"/>
    <n v="73"/>
    <n v="26"/>
    <n v="5"/>
    <n v="20"/>
    <n v="0.4"/>
    <n v="0.35"/>
    <n v="9"/>
    <n v="42"/>
  </r>
  <r>
    <s v="2016-12-06 10"/>
    <x v="13"/>
    <x v="5"/>
    <s v="2016-12-06 "/>
    <x v="5"/>
    <n v="22"/>
    <n v="44"/>
    <n v="67"/>
    <n v="72"/>
    <n v="26"/>
    <n v="9"/>
    <n v="17"/>
    <n v="0.4"/>
    <n v="0.65"/>
    <n v="17"/>
    <n v="66"/>
  </r>
  <r>
    <s v="2016-12-06 09"/>
    <x v="14"/>
    <x v="5"/>
    <s v="2016-12-06 "/>
    <x v="5"/>
    <n v="39"/>
    <n v="66"/>
    <n v="63"/>
    <n v="75"/>
    <n v="30"/>
    <n v="16"/>
    <n v="14"/>
    <n v="0.4"/>
    <n v="0.97"/>
    <n v="29"/>
    <n v="105"/>
  </r>
  <r>
    <s v="2016-12-06 08"/>
    <x v="15"/>
    <x v="5"/>
    <s v="2016-12-06 "/>
    <x v="5"/>
    <n v="21"/>
    <n v="45"/>
    <n v="68"/>
    <n v="59"/>
    <n v="27"/>
    <n v="12"/>
    <n v="15"/>
    <n v="0.5"/>
    <n v="0.89"/>
    <n v="24"/>
    <n v="66"/>
  </r>
  <r>
    <s v="2016-12-06 07"/>
    <x v="16"/>
    <x v="5"/>
    <s v="2016-12-06 "/>
    <x v="5"/>
    <n v="19"/>
    <n v="22"/>
    <n v="54"/>
    <n v="46"/>
    <n v="15"/>
    <n v="5"/>
    <n v="10"/>
    <n v="0.3"/>
    <n v="1"/>
    <n v="15"/>
    <n v="41"/>
  </r>
  <r>
    <s v="2016-12-06 06"/>
    <x v="17"/>
    <x v="5"/>
    <s v="2016-12-06 "/>
    <x v="5"/>
    <n v="6"/>
    <n v="3"/>
    <n v="33"/>
    <n v="24"/>
    <n v="7"/>
    <n v="0"/>
    <n v="7"/>
    <n v="0.3"/>
    <n v="0.14000000000000001"/>
    <n v="1"/>
    <n v="9"/>
  </r>
  <r>
    <s v="2016-12-06 05"/>
    <x v="18"/>
    <x v="5"/>
    <s v="2016-12-06 "/>
    <x v="5"/>
    <n v="1"/>
    <n v="2"/>
    <n v="67"/>
    <n v="14"/>
    <n v="5"/>
    <n v="0"/>
    <n v="5"/>
    <n v="0.4"/>
    <n v="0.2"/>
    <n v="1"/>
    <n v="3"/>
  </r>
  <r>
    <s v="2016-12-06 04"/>
    <x v="19"/>
    <x v="5"/>
    <s v="2016-12-06 "/>
    <x v="5"/>
    <n v="3"/>
    <n v="1"/>
    <n v="25"/>
    <n v="16"/>
    <n v="6"/>
    <n v="0"/>
    <n v="6"/>
    <n v="0.4"/>
    <n v="0"/>
    <n v="0"/>
    <n v="4"/>
  </r>
  <r>
    <s v="2016-12-06 03"/>
    <x v="20"/>
    <x v="5"/>
    <s v="2016-12-06 "/>
    <x v="5"/>
    <n v="6"/>
    <n v="3"/>
    <n v="33"/>
    <n v="18"/>
    <n v="6"/>
    <n v="1"/>
    <n v="5"/>
    <n v="0.3"/>
    <n v="0.33"/>
    <n v="2"/>
    <n v="9"/>
  </r>
  <r>
    <s v="2016-12-06 02"/>
    <x v="21"/>
    <x v="5"/>
    <s v="2016-12-06 "/>
    <x v="5"/>
    <n v="2"/>
    <n v="4"/>
    <n v="67"/>
    <n v="19"/>
    <n v="6"/>
    <n v="0"/>
    <n v="6"/>
    <n v="0.3"/>
    <n v="0"/>
    <n v="0"/>
    <n v="6"/>
  </r>
  <r>
    <s v="2016-12-06 01"/>
    <x v="22"/>
    <x v="5"/>
    <s v="2016-12-06 "/>
    <x v="5"/>
    <n v="9"/>
    <n v="14"/>
    <n v="61"/>
    <n v="25"/>
    <n v="8"/>
    <n v="1"/>
    <n v="7"/>
    <n v="0.3"/>
    <n v="0.13"/>
    <n v="1"/>
    <n v="23"/>
  </r>
  <r>
    <s v="2016-12-06 00"/>
    <x v="23"/>
    <x v="5"/>
    <s v="2016-12-06 "/>
    <x v="5"/>
    <n v="3"/>
    <n v="19"/>
    <n v="86"/>
    <n v="40"/>
    <n v="17"/>
    <n v="4"/>
    <n v="13"/>
    <n v="0.4"/>
    <n v="0.65"/>
    <n v="11"/>
    <n v="22"/>
  </r>
  <r>
    <s v="2016-12-05 23"/>
    <x v="0"/>
    <x v="6"/>
    <s v="2016-12-05 "/>
    <x v="6"/>
    <n v="4"/>
    <n v="26"/>
    <n v="87"/>
    <n v="52"/>
    <n v="19"/>
    <n v="3"/>
    <n v="16"/>
    <n v="0.4"/>
    <n v="0.47"/>
    <n v="9"/>
    <n v="30"/>
  </r>
  <r>
    <s v="2016-12-05 22"/>
    <x v="1"/>
    <x v="6"/>
    <s v="2016-12-05 "/>
    <x v="6"/>
    <n v="4"/>
    <n v="38"/>
    <n v="90"/>
    <n v="71"/>
    <n v="23"/>
    <n v="7"/>
    <n v="17"/>
    <n v="0.3"/>
    <n v="0.7"/>
    <n v="16"/>
    <n v="42"/>
  </r>
  <r>
    <s v="2016-12-05 21"/>
    <x v="2"/>
    <x v="6"/>
    <s v="2016-12-05 "/>
    <x v="6"/>
    <n v="7"/>
    <n v="39"/>
    <n v="85"/>
    <n v="85"/>
    <n v="27"/>
    <n v="7"/>
    <n v="20"/>
    <n v="0.3"/>
    <n v="0.56000000000000005"/>
    <n v="15"/>
    <n v="46"/>
  </r>
  <r>
    <s v="2016-12-05 20"/>
    <x v="3"/>
    <x v="6"/>
    <s v="2016-12-05 "/>
    <x v="6"/>
    <n v="9"/>
    <n v="65"/>
    <n v="88"/>
    <n v="96"/>
    <n v="36"/>
    <n v="11"/>
    <n v="25"/>
    <n v="0.4"/>
    <n v="0.61"/>
    <n v="22"/>
    <n v="74"/>
  </r>
  <r>
    <s v="2016-12-05 19"/>
    <x v="4"/>
    <x v="6"/>
    <s v="2016-12-05 "/>
    <x v="6"/>
    <n v="28"/>
    <n v="85"/>
    <n v="75"/>
    <n v="93"/>
    <n v="39"/>
    <n v="24"/>
    <n v="15"/>
    <n v="0.4"/>
    <n v="0.92"/>
    <n v="36"/>
    <n v="113"/>
  </r>
  <r>
    <s v="2016-12-05 18"/>
    <x v="5"/>
    <x v="6"/>
    <s v="2016-12-05 "/>
    <x v="6"/>
    <n v="31"/>
    <n v="91"/>
    <n v="75"/>
    <n v="86"/>
    <n v="34"/>
    <n v="23"/>
    <n v="12"/>
    <n v="0.4"/>
    <n v="1.18"/>
    <n v="40"/>
    <n v="122"/>
  </r>
  <r>
    <s v="2016-12-05 17"/>
    <x v="6"/>
    <x v="6"/>
    <s v="2016-12-05 "/>
    <x v="6"/>
    <n v="4"/>
    <n v="57"/>
    <n v="93"/>
    <n v="94"/>
    <n v="34"/>
    <n v="12"/>
    <n v="22"/>
    <n v="0.4"/>
    <n v="0.68"/>
    <n v="23"/>
    <n v="61"/>
  </r>
  <r>
    <s v="2016-12-05 16"/>
    <x v="7"/>
    <x v="6"/>
    <s v="2016-12-05 "/>
    <x v="6"/>
    <n v="8"/>
    <n v="36"/>
    <n v="82"/>
    <n v="81"/>
    <n v="28"/>
    <n v="4"/>
    <n v="24"/>
    <n v="0.3"/>
    <n v="0.32"/>
    <n v="9"/>
    <n v="44"/>
  </r>
  <r>
    <s v="2016-12-05 15"/>
    <x v="8"/>
    <x v="6"/>
    <s v="2016-12-05 "/>
    <x v="6"/>
    <n v="7"/>
    <n v="22"/>
    <n v="76"/>
    <n v="81"/>
    <n v="29"/>
    <n v="3"/>
    <n v="26"/>
    <n v="0.4"/>
    <n v="0.24"/>
    <n v="7"/>
    <n v="29"/>
  </r>
  <r>
    <s v="2016-12-05 14"/>
    <x v="9"/>
    <x v="6"/>
    <s v="2016-12-05 "/>
    <x v="6"/>
    <n v="6"/>
    <n v="30"/>
    <n v="83"/>
    <n v="71"/>
    <n v="23"/>
    <n v="3"/>
    <n v="20"/>
    <n v="0.3"/>
    <n v="0.22"/>
    <n v="5"/>
    <n v="36"/>
  </r>
  <r>
    <s v="2016-12-05 13"/>
    <x v="10"/>
    <x v="6"/>
    <s v="2016-12-05 "/>
    <x v="6"/>
    <n v="6"/>
    <n v="26"/>
    <n v="81"/>
    <n v="70"/>
    <n v="20"/>
    <n v="4"/>
    <n v="16"/>
    <n v="0.3"/>
    <n v="0.45"/>
    <n v="9"/>
    <n v="32"/>
  </r>
  <r>
    <s v="2016-12-05 12"/>
    <x v="11"/>
    <x v="6"/>
    <s v="2016-12-05 "/>
    <x v="6"/>
    <n v="5"/>
    <n v="34"/>
    <n v="87"/>
    <n v="74"/>
    <n v="28"/>
    <n v="4"/>
    <n v="24"/>
    <n v="0.4"/>
    <n v="0.32"/>
    <n v="9"/>
    <n v="39"/>
  </r>
  <r>
    <s v="2016-12-05 11"/>
    <x v="12"/>
    <x v="6"/>
    <s v="2016-12-05 "/>
    <x v="6"/>
    <n v="4"/>
    <n v="33"/>
    <n v="89"/>
    <n v="78"/>
    <n v="32"/>
    <n v="4"/>
    <n v="28"/>
    <n v="0.4"/>
    <n v="0.31"/>
    <n v="10"/>
    <n v="37"/>
  </r>
  <r>
    <s v="2016-12-05 10"/>
    <x v="13"/>
    <x v="6"/>
    <s v="2016-12-05 "/>
    <x v="6"/>
    <n v="10"/>
    <n v="38"/>
    <n v="79"/>
    <n v="85"/>
    <n v="29"/>
    <n v="7"/>
    <n v="22"/>
    <n v="0.3"/>
    <n v="0.34"/>
    <n v="10"/>
    <n v="48"/>
  </r>
  <r>
    <s v="2016-12-05 09"/>
    <x v="14"/>
    <x v="6"/>
    <s v="2016-12-05 "/>
    <x v="6"/>
    <n v="32"/>
    <n v="66"/>
    <n v="67"/>
    <n v="75"/>
    <n v="27"/>
    <n v="15"/>
    <n v="12"/>
    <n v="0.4"/>
    <n v="1.07"/>
    <n v="29"/>
    <n v="98"/>
  </r>
  <r>
    <s v="2016-12-05 08"/>
    <x v="15"/>
    <x v="6"/>
    <s v="2016-12-05 "/>
    <x v="6"/>
    <n v="20"/>
    <n v="41"/>
    <n v="67"/>
    <n v="61"/>
    <n v="23"/>
    <n v="11"/>
    <n v="12"/>
    <n v="0.4"/>
    <n v="0.78"/>
    <n v="18"/>
    <n v="61"/>
  </r>
  <r>
    <s v="2016-12-05 07"/>
    <x v="16"/>
    <x v="6"/>
    <s v="2016-12-05 "/>
    <x v="6"/>
    <n v="13"/>
    <n v="33"/>
    <n v="72"/>
    <n v="41"/>
    <n v="14"/>
    <n v="4"/>
    <n v="9"/>
    <n v="0.3"/>
    <n v="0.79"/>
    <n v="11"/>
    <n v="46"/>
  </r>
  <r>
    <s v="2016-12-05 06"/>
    <x v="17"/>
    <x v="6"/>
    <s v="2016-12-05 "/>
    <x v="6"/>
    <n v="6"/>
    <n v="9"/>
    <n v="60"/>
    <n v="29"/>
    <n v="8"/>
    <n v="0"/>
    <n v="8"/>
    <n v="0.3"/>
    <n v="0.13"/>
    <n v="1"/>
    <n v="15"/>
  </r>
  <r>
    <s v="2016-12-05 05"/>
    <x v="18"/>
    <x v="6"/>
    <s v="2016-12-05 "/>
    <x v="6"/>
    <n v="1"/>
    <n v="1"/>
    <n v="50"/>
    <n v="15"/>
    <n v="5"/>
    <n v="0"/>
    <n v="5"/>
    <n v="0.3"/>
    <n v="0"/>
    <n v="0"/>
    <n v="2"/>
  </r>
  <r>
    <s v="2016-12-05 04"/>
    <x v="19"/>
    <x v="6"/>
    <s v="2016-12-05 "/>
    <x v="6"/>
    <n v="4"/>
    <n v="3"/>
    <n v="43"/>
    <n v="11"/>
    <n v="3"/>
    <n v="0"/>
    <n v="3"/>
    <n v="0.3"/>
    <n v="0"/>
    <n v="0"/>
    <n v="7"/>
  </r>
  <r>
    <s v="2016-12-05 03"/>
    <x v="20"/>
    <x v="6"/>
    <s v="2016-12-05 "/>
    <x v="6"/>
    <n v="1"/>
    <n v="4"/>
    <n v="80"/>
    <n v="9"/>
    <n v="4"/>
    <n v="0"/>
    <n v="4"/>
    <n v="0.4"/>
    <n v="0.25"/>
    <n v="1"/>
    <n v="5"/>
  </r>
  <r>
    <s v="2016-12-05 02"/>
    <x v="21"/>
    <x v="6"/>
    <s v="2016-12-05 "/>
    <x v="6"/>
    <n v="2"/>
    <n v="7"/>
    <n v="78"/>
    <n v="20"/>
    <n v="8"/>
    <n v="1"/>
    <n v="7"/>
    <n v="0.4"/>
    <n v="0.38"/>
    <n v="3"/>
    <n v="9"/>
  </r>
  <r>
    <s v="2016-12-05 01"/>
    <x v="22"/>
    <x v="6"/>
    <s v="2016-12-05 "/>
    <x v="6"/>
    <n v="4"/>
    <n v="12"/>
    <n v="75"/>
    <n v="31"/>
    <n v="10"/>
    <n v="1"/>
    <n v="10"/>
    <n v="0.3"/>
    <n v="0"/>
    <n v="0"/>
    <n v="16"/>
  </r>
  <r>
    <s v="2016-12-05 00"/>
    <x v="23"/>
    <x v="6"/>
    <s v="2016-12-05 "/>
    <x v="6"/>
    <n v="10"/>
    <n v="25"/>
    <n v="71"/>
    <n v="38"/>
    <n v="13"/>
    <n v="1"/>
    <n v="12"/>
    <n v="0.3"/>
    <n v="0.31"/>
    <n v="4"/>
    <n v="35"/>
  </r>
  <r>
    <s v="2016-12-04 23"/>
    <x v="0"/>
    <x v="0"/>
    <s v="2016-12-04 "/>
    <x v="0"/>
    <n v="10"/>
    <n v="30"/>
    <n v="75"/>
    <n v="46"/>
    <n v="15"/>
    <n v="3"/>
    <n v="13"/>
    <n v="0.3"/>
    <n v="0.4"/>
    <n v="6"/>
    <n v="40"/>
  </r>
  <r>
    <s v="2016-12-04 22"/>
    <x v="1"/>
    <x v="0"/>
    <s v="2016-12-04 "/>
    <x v="0"/>
    <n v="8"/>
    <n v="45"/>
    <n v="85"/>
    <n v="65"/>
    <n v="23"/>
    <n v="6"/>
    <n v="17"/>
    <n v="0.4"/>
    <n v="0.61"/>
    <n v="14"/>
    <n v="53"/>
  </r>
  <r>
    <s v="2016-12-04 21"/>
    <x v="2"/>
    <x v="0"/>
    <s v="2016-12-04 "/>
    <x v="0"/>
    <n v="8"/>
    <n v="44"/>
    <n v="85"/>
    <n v="77"/>
    <n v="29"/>
    <n v="6"/>
    <n v="23"/>
    <n v="0.4"/>
    <n v="0.72"/>
    <n v="21"/>
    <n v="52"/>
  </r>
  <r>
    <s v="2016-12-04 20"/>
    <x v="3"/>
    <x v="0"/>
    <s v="2016-12-04 "/>
    <x v="0"/>
    <n v="4"/>
    <n v="59"/>
    <n v="94"/>
    <n v="87"/>
    <n v="36"/>
    <n v="5"/>
    <n v="31"/>
    <n v="0.4"/>
    <n v="0.36"/>
    <n v="13"/>
    <n v="63"/>
  </r>
  <r>
    <s v="2016-12-04 19"/>
    <x v="4"/>
    <x v="0"/>
    <s v="2016-12-04 "/>
    <x v="0"/>
    <n v="8"/>
    <n v="62"/>
    <n v="89"/>
    <n v="87"/>
    <n v="33"/>
    <n v="9"/>
    <n v="24"/>
    <n v="0.4"/>
    <n v="0.67"/>
    <n v="22"/>
    <n v="70"/>
  </r>
  <r>
    <s v="2016-12-04 18"/>
    <x v="5"/>
    <x v="0"/>
    <s v="2016-12-04 "/>
    <x v="0"/>
    <n v="7"/>
    <n v="39"/>
    <n v="85"/>
    <n v="80"/>
    <n v="27"/>
    <n v="6"/>
    <n v="21"/>
    <n v="0.3"/>
    <n v="0.52"/>
    <n v="14"/>
    <n v="46"/>
  </r>
  <r>
    <s v="2016-12-04 17"/>
    <x v="6"/>
    <x v="0"/>
    <s v="2016-12-04 "/>
    <x v="0"/>
    <n v="3"/>
    <n v="55"/>
    <n v="95"/>
    <n v="81"/>
    <n v="28"/>
    <n v="9"/>
    <n v="19"/>
    <n v="0.3"/>
    <n v="0.75"/>
    <n v="21"/>
    <n v="58"/>
  </r>
  <r>
    <s v="2016-12-04 16"/>
    <x v="7"/>
    <x v="0"/>
    <s v="2016-12-04 "/>
    <x v="0"/>
    <n v="4"/>
    <n v="47"/>
    <n v="92"/>
    <n v="74"/>
    <n v="28"/>
    <n v="5"/>
    <n v="23"/>
    <n v="0.4"/>
    <n v="0.71"/>
    <n v="20"/>
    <n v="51"/>
  </r>
  <r>
    <s v="2016-12-04 15"/>
    <x v="8"/>
    <x v="0"/>
    <s v="2016-12-04 "/>
    <x v="0"/>
    <n v="1"/>
    <n v="29"/>
    <n v="97"/>
    <n v="72"/>
    <n v="30"/>
    <n v="3"/>
    <n v="27"/>
    <n v="0.4"/>
    <n v="0.23"/>
    <n v="7"/>
    <n v="30"/>
  </r>
  <r>
    <s v="2016-12-04 14"/>
    <x v="9"/>
    <x v="0"/>
    <s v="2016-12-04 "/>
    <x v="0"/>
    <n v="6"/>
    <n v="24"/>
    <n v="80"/>
    <n v="67"/>
    <n v="27"/>
    <n v="2"/>
    <n v="25"/>
    <n v="0.4"/>
    <n v="0.19"/>
    <n v="5"/>
    <n v="30"/>
  </r>
  <r>
    <s v="2016-12-04 13"/>
    <x v="10"/>
    <x v="0"/>
    <s v="2016-12-04 "/>
    <x v="0"/>
    <n v="4"/>
    <n v="31"/>
    <n v="89"/>
    <n v="54"/>
    <n v="23"/>
    <n v="3"/>
    <n v="20"/>
    <n v="0.4"/>
    <n v="0.35"/>
    <n v="8"/>
    <n v="35"/>
  </r>
  <r>
    <s v="2016-12-04 12"/>
    <x v="11"/>
    <x v="0"/>
    <s v="2016-12-04 "/>
    <x v="0"/>
    <n v="4"/>
    <n v="25"/>
    <n v="86"/>
    <n v="45"/>
    <n v="19"/>
    <n v="2"/>
    <n v="17"/>
    <n v="0.4"/>
    <n v="0.42"/>
    <n v="8"/>
    <n v="29"/>
  </r>
  <r>
    <s v="2016-12-04 11"/>
    <x v="12"/>
    <x v="0"/>
    <s v="2016-12-04 "/>
    <x v="0"/>
    <n v="4"/>
    <n v="23"/>
    <n v="85"/>
    <n v="47"/>
    <n v="18"/>
    <n v="0"/>
    <n v="18"/>
    <n v="0.4"/>
    <n v="0.11"/>
    <n v="2"/>
    <n v="27"/>
  </r>
  <r>
    <s v="2016-12-04 10"/>
    <x v="13"/>
    <x v="0"/>
    <s v="2016-12-04 "/>
    <x v="0"/>
    <n v="2"/>
    <n v="18"/>
    <n v="90"/>
    <n v="44"/>
    <n v="20"/>
    <n v="1"/>
    <n v="19"/>
    <n v="0.5"/>
    <n v="0.2"/>
    <n v="4"/>
    <n v="20"/>
  </r>
  <r>
    <s v="2016-12-04 09"/>
    <x v="14"/>
    <x v="0"/>
    <s v="2016-12-04 "/>
    <x v="0"/>
    <n v="3"/>
    <n v="15"/>
    <n v="83"/>
    <n v="39"/>
    <n v="14"/>
    <n v="0"/>
    <n v="14"/>
    <n v="0.4"/>
    <n v="0"/>
    <n v="0"/>
    <n v="18"/>
  </r>
  <r>
    <s v="2016-12-04 08"/>
    <x v="15"/>
    <x v="0"/>
    <s v="2016-12-04 "/>
    <x v="0"/>
    <n v="6"/>
    <n v="5"/>
    <n v="45"/>
    <n v="31"/>
    <n v="10"/>
    <n v="1"/>
    <n v="9"/>
    <n v="0.3"/>
    <n v="0.1"/>
    <n v="1"/>
    <n v="11"/>
  </r>
  <r>
    <s v="2016-12-04 07"/>
    <x v="16"/>
    <x v="0"/>
    <s v="2016-12-04 "/>
    <x v="0"/>
    <n v="1"/>
    <n v="5"/>
    <n v="83"/>
    <n v="30"/>
    <n v="11"/>
    <n v="1"/>
    <n v="11"/>
    <n v="0.4"/>
    <n v="0.36"/>
    <n v="4"/>
    <n v="6"/>
  </r>
  <r>
    <s v="2016-12-04 06"/>
    <x v="17"/>
    <x v="0"/>
    <s v="2016-12-04 "/>
    <x v="0"/>
    <n v="2"/>
    <n v="7"/>
    <n v="78"/>
    <n v="32"/>
    <n v="10"/>
    <n v="1"/>
    <n v="9"/>
    <n v="0.3"/>
    <n v="0.1"/>
    <n v="1"/>
    <n v="9"/>
  </r>
  <r>
    <s v="2016-12-04 05"/>
    <x v="18"/>
    <x v="0"/>
    <s v="2016-12-04 "/>
    <x v="0"/>
    <n v="6"/>
    <n v="17"/>
    <n v="74"/>
    <n v="40"/>
    <n v="13"/>
    <n v="2"/>
    <n v="11"/>
    <n v="0.3"/>
    <n v="0.54"/>
    <n v="7"/>
    <n v="23"/>
  </r>
  <r>
    <s v="2016-12-04 04"/>
    <x v="19"/>
    <x v="0"/>
    <s v="2016-12-04 "/>
    <x v="0"/>
    <n v="4"/>
    <n v="28"/>
    <n v="88"/>
    <n v="45"/>
    <n v="18"/>
    <n v="5"/>
    <n v="13"/>
    <n v="0.4"/>
    <n v="0.61"/>
    <n v="11"/>
    <n v="32"/>
  </r>
  <r>
    <s v="2016-12-04 03"/>
    <x v="20"/>
    <x v="0"/>
    <s v="2016-12-04 "/>
    <x v="0"/>
    <n v="3"/>
    <n v="20"/>
    <n v="87"/>
    <n v="51"/>
    <n v="19"/>
    <n v="3"/>
    <n v="16"/>
    <n v="0.4"/>
    <n v="0.47"/>
    <n v="9"/>
    <n v="23"/>
  </r>
  <r>
    <s v="2016-12-04 02"/>
    <x v="21"/>
    <x v="0"/>
    <s v="2016-12-04 "/>
    <x v="0"/>
    <n v="4"/>
    <n v="30"/>
    <n v="88"/>
    <n v="57"/>
    <n v="24"/>
    <n v="5"/>
    <n v="19"/>
    <n v="0.4"/>
    <n v="0.5"/>
    <n v="12"/>
    <n v="34"/>
  </r>
  <r>
    <s v="2016-12-04 01"/>
    <x v="22"/>
    <x v="0"/>
    <s v="2016-12-04 "/>
    <x v="0"/>
    <n v="8"/>
    <n v="31"/>
    <n v="79"/>
    <n v="65"/>
    <n v="32"/>
    <n v="4"/>
    <n v="28"/>
    <n v="0.5"/>
    <n v="0.38"/>
    <n v="12"/>
    <n v="39"/>
  </r>
  <r>
    <s v="2016-12-04 00"/>
    <x v="23"/>
    <x v="0"/>
    <s v="2016-12-04 "/>
    <x v="0"/>
    <n v="6"/>
    <n v="49"/>
    <n v="89"/>
    <n v="70"/>
    <n v="34"/>
    <n v="6"/>
    <n v="28"/>
    <n v="0.5"/>
    <n v="0.59"/>
    <n v="20"/>
    <n v="55"/>
  </r>
  <r>
    <s v="2016-12-03 23"/>
    <x v="0"/>
    <x v="1"/>
    <s v="2016-12-03 "/>
    <x v="1"/>
    <n v="1"/>
    <n v="30"/>
    <n v="97"/>
    <n v="81"/>
    <n v="41"/>
    <n v="6"/>
    <n v="34"/>
    <n v="0.5"/>
    <n v="0.34"/>
    <n v="14"/>
    <n v="31"/>
  </r>
  <r>
    <s v="2016-12-03 22"/>
    <x v="1"/>
    <x v="1"/>
    <s v="2016-12-03 "/>
    <x v="1"/>
    <n v="1"/>
    <n v="34"/>
    <n v="97"/>
    <n v="92"/>
    <n v="41"/>
    <n v="5"/>
    <n v="36"/>
    <n v="0.4"/>
    <n v="0.34"/>
    <n v="14"/>
    <n v="35"/>
  </r>
  <r>
    <s v="2016-12-03 21"/>
    <x v="2"/>
    <x v="1"/>
    <s v="2016-12-03 "/>
    <x v="1"/>
    <n v="3"/>
    <n v="32"/>
    <n v="91"/>
    <n v="92"/>
    <n v="40"/>
    <n v="5"/>
    <n v="35"/>
    <n v="0.4"/>
    <n v="0.28000000000000003"/>
    <n v="11"/>
    <n v="35"/>
  </r>
  <r>
    <s v="2016-12-03 20"/>
    <x v="3"/>
    <x v="1"/>
    <s v="2016-12-03 "/>
    <x v="1"/>
    <n v="8"/>
    <n v="38"/>
    <n v="83"/>
    <n v="94"/>
    <n v="45"/>
    <n v="4"/>
    <n v="41"/>
    <n v="0.5"/>
    <n v="0.31"/>
    <n v="14"/>
    <n v="46"/>
  </r>
  <r>
    <s v="2016-12-03 19"/>
    <x v="4"/>
    <x v="1"/>
    <s v="2016-12-03 "/>
    <x v="1"/>
    <n v="3"/>
    <n v="29"/>
    <n v="91"/>
    <n v="98"/>
    <n v="42"/>
    <n v="6"/>
    <n v="37"/>
    <n v="0.4"/>
    <n v="0.28999999999999998"/>
    <n v="12"/>
    <n v="32"/>
  </r>
  <r>
    <s v="2016-12-03 18"/>
    <x v="5"/>
    <x v="1"/>
    <s v="2016-12-03 "/>
    <x v="1"/>
    <n v="3"/>
    <n v="34"/>
    <n v="92"/>
    <n v="86"/>
    <n v="39"/>
    <n v="3"/>
    <n v="36"/>
    <n v="0.5"/>
    <n v="0.28000000000000003"/>
    <n v="11"/>
    <n v="37"/>
  </r>
  <r>
    <s v="2016-12-03 17"/>
    <x v="6"/>
    <x v="1"/>
    <s v="2016-12-03 "/>
    <x v="1"/>
    <n v="1"/>
    <n v="22"/>
    <n v="96"/>
    <n v="80"/>
    <n v="25"/>
    <n v="3"/>
    <n v="23"/>
    <n v="0.3"/>
    <n v="0.24"/>
    <n v="6"/>
    <n v="23"/>
  </r>
  <r>
    <s v="2016-12-03 16"/>
    <x v="7"/>
    <x v="1"/>
    <s v="2016-12-03 "/>
    <x v="1"/>
    <n v="5"/>
    <n v="22"/>
    <n v="81"/>
    <n v="72"/>
    <n v="28"/>
    <n v="4"/>
    <n v="25"/>
    <n v="0.4"/>
    <n v="0.25"/>
    <n v="7"/>
    <n v="27"/>
  </r>
  <r>
    <s v="2016-12-03 15"/>
    <x v="8"/>
    <x v="1"/>
    <s v="2016-12-03 "/>
    <x v="1"/>
    <n v="1"/>
    <n v="25"/>
    <n v="96"/>
    <n v="70"/>
    <n v="30"/>
    <n v="4"/>
    <n v="26"/>
    <n v="0.4"/>
    <n v="0.37"/>
    <n v="11"/>
    <n v="26"/>
  </r>
  <r>
    <s v="2016-12-03 14"/>
    <x v="9"/>
    <x v="1"/>
    <s v="2016-12-03 "/>
    <x v="1"/>
    <n v="5"/>
    <n v="26"/>
    <n v="84"/>
    <n v="76"/>
    <n v="33"/>
    <n v="2"/>
    <n v="31"/>
    <n v="0.4"/>
    <n v="0.24"/>
    <n v="8"/>
    <n v="31"/>
  </r>
  <r>
    <s v="2016-12-03 13"/>
    <x v="10"/>
    <x v="1"/>
    <s v="2016-12-03 "/>
    <x v="1"/>
    <n v="3"/>
    <n v="17"/>
    <n v="85"/>
    <n v="73"/>
    <n v="31"/>
    <n v="1"/>
    <n v="30"/>
    <n v="0.4"/>
    <n v="0"/>
    <n v="0"/>
    <n v="20"/>
  </r>
  <r>
    <s v="2016-12-03 12"/>
    <x v="11"/>
    <x v="1"/>
    <s v="2016-12-03 "/>
    <x v="1"/>
    <n v="4"/>
    <n v="25"/>
    <n v="86"/>
    <n v="62"/>
    <n v="26"/>
    <n v="3"/>
    <n v="23"/>
    <n v="0.4"/>
    <n v="0.27"/>
    <n v="7"/>
    <n v="29"/>
  </r>
  <r>
    <s v="2016-12-03 11"/>
    <x v="12"/>
    <x v="1"/>
    <s v="2016-12-03 "/>
    <x v="1"/>
    <n v="6"/>
    <n v="14"/>
    <n v="70"/>
    <n v="56"/>
    <n v="23"/>
    <n v="1"/>
    <n v="22"/>
    <n v="0.4"/>
    <n v="0.13"/>
    <n v="3"/>
    <n v="20"/>
  </r>
  <r>
    <s v="2016-12-03 10"/>
    <x v="13"/>
    <x v="1"/>
    <s v="2016-12-03 "/>
    <x v="1"/>
    <n v="2"/>
    <n v="12"/>
    <n v="86"/>
    <n v="49"/>
    <n v="23"/>
    <n v="1"/>
    <n v="22"/>
    <n v="0.5"/>
    <n v="0.17"/>
    <n v="4"/>
    <n v="14"/>
  </r>
  <r>
    <s v="2016-12-03 09"/>
    <x v="14"/>
    <x v="1"/>
    <s v="2016-12-03 "/>
    <x v="1"/>
    <n v="1"/>
    <n v="9"/>
    <n v="90"/>
    <n v="46"/>
    <n v="22"/>
    <n v="0"/>
    <n v="22"/>
    <n v="0.5"/>
    <n v="0"/>
    <n v="0"/>
    <n v="10"/>
  </r>
  <r>
    <s v="2016-12-03 08"/>
    <x v="15"/>
    <x v="1"/>
    <s v="2016-12-03 "/>
    <x v="1"/>
    <n v="3"/>
    <n v="7"/>
    <n v="70"/>
    <n v="39"/>
    <n v="19"/>
    <n v="1"/>
    <n v="18"/>
    <n v="0.5"/>
    <n v="0.05"/>
    <n v="1"/>
    <n v="10"/>
  </r>
  <r>
    <s v="2016-12-03 07"/>
    <x v="16"/>
    <x v="1"/>
    <s v="2016-12-03 "/>
    <x v="1"/>
    <n v="1"/>
    <n v="2"/>
    <n v="67"/>
    <n v="40"/>
    <n v="16"/>
    <n v="1"/>
    <n v="15"/>
    <n v="0.4"/>
    <n v="0.06"/>
    <n v="1"/>
    <n v="3"/>
  </r>
  <r>
    <s v="2016-12-03 06"/>
    <x v="17"/>
    <x v="1"/>
    <s v="2016-12-03 "/>
    <x v="1"/>
    <n v="0"/>
    <n v="4"/>
    <n v="100"/>
    <n v="43"/>
    <n v="19"/>
    <n v="0"/>
    <n v="19"/>
    <n v="0.4"/>
    <n v="0.05"/>
    <n v="1"/>
    <n v="4"/>
  </r>
  <r>
    <s v="2016-12-03 05"/>
    <x v="18"/>
    <x v="1"/>
    <s v="2016-12-03 "/>
    <x v="1"/>
    <n v="1"/>
    <n v="8"/>
    <n v="89"/>
    <n v="42"/>
    <n v="21"/>
    <n v="1"/>
    <n v="20"/>
    <n v="0.5"/>
    <n v="0.1"/>
    <n v="2"/>
    <n v="9"/>
  </r>
  <r>
    <s v="2016-12-03 04"/>
    <x v="19"/>
    <x v="1"/>
    <s v="2016-12-03 "/>
    <x v="1"/>
    <n v="1"/>
    <n v="12"/>
    <n v="92"/>
    <n v="43"/>
    <n v="20"/>
    <n v="2"/>
    <n v="18"/>
    <n v="0.5"/>
    <n v="0.35"/>
    <n v="7"/>
    <n v="13"/>
  </r>
  <r>
    <s v="2016-12-03 03"/>
    <x v="20"/>
    <x v="1"/>
    <s v="2016-12-03 "/>
    <x v="1"/>
    <n v="1"/>
    <n v="19"/>
    <n v="95"/>
    <n v="53"/>
    <n v="23"/>
    <n v="2"/>
    <n v="21"/>
    <n v="0.4"/>
    <n v="0.3"/>
    <n v="7"/>
    <n v="20"/>
  </r>
  <r>
    <s v="2016-12-03 02"/>
    <x v="21"/>
    <x v="1"/>
    <s v="2016-12-03 "/>
    <x v="1"/>
    <n v="0"/>
    <n v="14"/>
    <n v="100"/>
    <n v="59"/>
    <n v="31"/>
    <n v="2"/>
    <n v="29"/>
    <n v="0.5"/>
    <n v="0.19"/>
    <n v="6"/>
    <n v="14"/>
  </r>
  <r>
    <s v="2016-12-03 01"/>
    <x v="22"/>
    <x v="1"/>
    <s v="2016-12-03 "/>
    <x v="1"/>
    <n v="3"/>
    <n v="26"/>
    <n v="90"/>
    <n v="68"/>
    <n v="30"/>
    <n v="3"/>
    <n v="27"/>
    <n v="0.4"/>
    <n v="0.27"/>
    <n v="8"/>
    <n v="29"/>
  </r>
  <r>
    <s v="2016-12-03 00"/>
    <x v="23"/>
    <x v="1"/>
    <s v="2016-12-03 "/>
    <x v="1"/>
    <n v="0"/>
    <n v="29"/>
    <n v="100"/>
    <n v="73"/>
    <n v="30"/>
    <n v="3"/>
    <n v="26"/>
    <n v="0.4"/>
    <n v="0.2"/>
    <n v="6"/>
    <n v="29"/>
  </r>
  <r>
    <s v="2016-12-02 23"/>
    <x v="0"/>
    <x v="2"/>
    <s v="2016-12-02 "/>
    <x v="2"/>
    <n v="5"/>
    <n v="31"/>
    <n v="86"/>
    <n v="86"/>
    <n v="35"/>
    <n v="3"/>
    <n v="31"/>
    <n v="0.4"/>
    <n v="0.28999999999999998"/>
    <n v="10"/>
    <n v="36"/>
  </r>
  <r>
    <s v="2016-12-02 22"/>
    <x v="1"/>
    <x v="2"/>
    <s v="2016-12-02 "/>
    <x v="2"/>
    <n v="2"/>
    <n v="27"/>
    <n v="93"/>
    <n v="101"/>
    <n v="46"/>
    <n v="3"/>
    <n v="43"/>
    <n v="0.5"/>
    <n v="0.22"/>
    <n v="10"/>
    <n v="29"/>
  </r>
  <r>
    <s v="2016-12-02 21"/>
    <x v="2"/>
    <x v="2"/>
    <s v="2016-12-02 "/>
    <x v="2"/>
    <n v="1"/>
    <n v="26"/>
    <n v="96"/>
    <n v="113"/>
    <n v="47"/>
    <n v="3"/>
    <n v="45"/>
    <n v="0.4"/>
    <n v="0.15"/>
    <n v="7"/>
    <n v="27"/>
  </r>
  <r>
    <s v="2016-12-02 20"/>
    <x v="3"/>
    <x v="2"/>
    <s v="2016-12-02 "/>
    <x v="2"/>
    <n v="3"/>
    <n v="33"/>
    <n v="92"/>
    <n v="110"/>
    <n v="46"/>
    <n v="4"/>
    <n v="42"/>
    <n v="0.4"/>
    <n v="0.22"/>
    <n v="10"/>
    <n v="36"/>
  </r>
  <r>
    <s v="2016-12-02 19"/>
    <x v="4"/>
    <x v="2"/>
    <s v="2016-12-02 "/>
    <x v="2"/>
    <n v="3"/>
    <n v="36"/>
    <n v="92"/>
    <n v="114"/>
    <n v="52"/>
    <n v="6"/>
    <n v="47"/>
    <n v="0.5"/>
    <n v="0.27"/>
    <n v="14"/>
    <n v="39"/>
  </r>
  <r>
    <s v="2016-12-02 18"/>
    <x v="5"/>
    <x v="2"/>
    <s v="2016-12-02 "/>
    <x v="2"/>
    <n v="1"/>
    <n v="33"/>
    <n v="97"/>
    <n v="106"/>
    <n v="48"/>
    <n v="5"/>
    <n v="44"/>
    <n v="0.5"/>
    <n v="0.21"/>
    <n v="10"/>
    <n v="34"/>
  </r>
  <r>
    <s v="2016-12-02 17"/>
    <x v="6"/>
    <x v="2"/>
    <s v="2016-12-02 "/>
    <x v="2"/>
    <n v="2"/>
    <n v="34"/>
    <n v="94"/>
    <n v="100"/>
    <n v="50"/>
    <n v="4"/>
    <n v="45"/>
    <n v="0.5"/>
    <n v="0.24"/>
    <n v="12"/>
    <n v="36"/>
  </r>
  <r>
    <s v="2016-12-02 16"/>
    <x v="7"/>
    <x v="2"/>
    <s v="2016-12-02 "/>
    <x v="2"/>
    <n v="2"/>
    <n v="29"/>
    <n v="94"/>
    <n v="85"/>
    <n v="38"/>
    <n v="4"/>
    <n v="34"/>
    <n v="0.4"/>
    <n v="0.28999999999999998"/>
    <n v="11"/>
    <n v="31"/>
  </r>
  <r>
    <s v="2016-12-02 15"/>
    <x v="8"/>
    <x v="2"/>
    <s v="2016-12-02 "/>
    <x v="2"/>
    <n v="4"/>
    <n v="25"/>
    <n v="86"/>
    <n v="71"/>
    <n v="29"/>
    <n v="4"/>
    <n v="25"/>
    <n v="0.4"/>
    <n v="0.34"/>
    <n v="10"/>
    <n v="29"/>
  </r>
  <r>
    <s v="2016-12-02 14"/>
    <x v="9"/>
    <x v="2"/>
    <s v="2016-12-02 "/>
    <x v="2"/>
    <n v="2"/>
    <n v="19"/>
    <n v="90"/>
    <n v="76"/>
    <n v="26"/>
    <n v="2"/>
    <n v="24"/>
    <n v="0.3"/>
    <n v="0.19"/>
    <n v="5"/>
    <n v="21"/>
  </r>
  <r>
    <s v="2016-12-02 13"/>
    <x v="10"/>
    <x v="2"/>
    <s v="2016-12-02 "/>
    <x v="2"/>
    <n v="7"/>
    <n v="21"/>
    <n v="75"/>
    <n v="69"/>
    <n v="26"/>
    <n v="3"/>
    <n v="23"/>
    <n v="0.4"/>
    <n v="0.31"/>
    <n v="8"/>
    <n v="28"/>
  </r>
  <r>
    <s v="2016-12-02 12"/>
    <x v="11"/>
    <x v="2"/>
    <s v="2016-12-02 "/>
    <x v="2"/>
    <n v="3"/>
    <n v="27"/>
    <n v="90"/>
    <n v="79"/>
    <n v="34"/>
    <n v="1"/>
    <n v="33"/>
    <n v="0.4"/>
    <n v="0.06"/>
    <n v="2"/>
    <n v="30"/>
  </r>
  <r>
    <s v="2016-12-02 11"/>
    <x v="12"/>
    <x v="2"/>
    <s v="2016-12-02 "/>
    <x v="2"/>
    <n v="0"/>
    <n v="28"/>
    <n v="100"/>
    <n v="76"/>
    <n v="35"/>
    <n v="2"/>
    <n v="33"/>
    <n v="0.5"/>
    <n v="0.2"/>
    <n v="7"/>
    <n v="28"/>
  </r>
  <r>
    <s v="2016-12-02 10"/>
    <x v="13"/>
    <x v="2"/>
    <s v="2016-12-02 "/>
    <x v="2"/>
    <n v="1"/>
    <n v="19"/>
    <n v="95"/>
    <n v="73"/>
    <n v="34"/>
    <n v="0"/>
    <n v="34"/>
    <n v="0.5"/>
    <n v="0.03"/>
    <n v="1"/>
    <n v="20"/>
  </r>
  <r>
    <s v="2016-12-02 09"/>
    <x v="14"/>
    <x v="2"/>
    <s v="2016-12-02 "/>
    <x v="2"/>
    <n v="2"/>
    <n v="23"/>
    <n v="92"/>
    <n v="71"/>
    <n v="32"/>
    <n v="3"/>
    <n v="29"/>
    <n v="0.5"/>
    <n v="0.19"/>
    <n v="6"/>
    <n v="25"/>
  </r>
  <r>
    <s v="2016-12-02 08"/>
    <x v="15"/>
    <x v="2"/>
    <s v="2016-12-02 "/>
    <x v="2"/>
    <n v="2"/>
    <n v="21"/>
    <n v="91"/>
    <n v="53"/>
    <n v="22"/>
    <n v="3"/>
    <n v="18"/>
    <n v="0.4"/>
    <n v="0.45"/>
    <n v="10"/>
    <n v="23"/>
  </r>
  <r>
    <s v="2016-12-02 07"/>
    <x v="16"/>
    <x v="2"/>
    <s v="2016-12-02 "/>
    <x v="2"/>
    <n v="6"/>
    <n v="8"/>
    <n v="57"/>
    <n v="41"/>
    <n v="16"/>
    <n v="0"/>
    <n v="15"/>
    <n v="0.4"/>
    <n v="0.13"/>
    <n v="2"/>
    <n v="14"/>
  </r>
  <r>
    <s v="2016-12-02 06"/>
    <x v="17"/>
    <x v="2"/>
    <s v="2016-12-02 "/>
    <x v="2"/>
    <n v="3"/>
    <n v="2"/>
    <n v="40"/>
    <n v="27"/>
    <n v="8"/>
    <n v="1"/>
    <n v="7"/>
    <n v="0.3"/>
    <n v="0.13"/>
    <n v="1"/>
    <n v="5"/>
  </r>
  <r>
    <s v="2016-12-02 05"/>
    <x v="18"/>
    <x v="2"/>
    <s v="2016-12-02 "/>
    <x v="2"/>
    <n v="5"/>
    <n v="7"/>
    <n v="58"/>
    <n v="24"/>
    <n v="9"/>
    <n v="1"/>
    <n v="7"/>
    <n v="0.4"/>
    <n v="0.44"/>
    <n v="4"/>
    <n v="12"/>
  </r>
  <r>
    <s v="2016-12-02 04"/>
    <x v="19"/>
    <x v="2"/>
    <s v="2016-12-02 "/>
    <x v="2"/>
    <n v="6"/>
    <n v="5"/>
    <n v="45"/>
    <n v="23"/>
    <n v="8"/>
    <n v="2"/>
    <n v="6"/>
    <n v="0.3"/>
    <n v="0.38"/>
    <n v="3"/>
    <n v="11"/>
  </r>
  <r>
    <s v="2016-12-02 03"/>
    <x v="20"/>
    <x v="2"/>
    <s v="2016-12-02 "/>
    <x v="2"/>
    <n v="5"/>
    <n v="10"/>
    <n v="67"/>
    <n v="26"/>
    <n v="11"/>
    <n v="2"/>
    <n v="9"/>
    <n v="0.4"/>
    <n v="0.45"/>
    <n v="5"/>
    <n v="15"/>
  </r>
  <r>
    <s v="2016-12-02 02"/>
    <x v="21"/>
    <x v="2"/>
    <s v="2016-12-02 "/>
    <x v="2"/>
    <n v="1"/>
    <n v="15"/>
    <n v="94"/>
    <n v="45"/>
    <n v="16"/>
    <n v="1"/>
    <n v="15"/>
    <n v="0.4"/>
    <n v="0.25"/>
    <n v="4"/>
    <n v="16"/>
  </r>
  <r>
    <s v="2016-12-02 01"/>
    <x v="22"/>
    <x v="2"/>
    <s v="2016-12-02 "/>
    <x v="2"/>
    <n v="8"/>
    <n v="33"/>
    <n v="80"/>
    <n v="56"/>
    <n v="21"/>
    <n v="8"/>
    <n v="13"/>
    <n v="0.4"/>
    <n v="0.67"/>
    <n v="14"/>
    <n v="41"/>
  </r>
  <r>
    <s v="2016-12-02 00"/>
    <x v="23"/>
    <x v="2"/>
    <s v="2016-12-02 "/>
    <x v="2"/>
    <n v="15"/>
    <n v="55"/>
    <n v="79"/>
    <n v="61"/>
    <n v="23"/>
    <n v="15"/>
    <n v="8"/>
    <n v="0.4"/>
    <n v="1.57"/>
    <n v="36"/>
    <n v="70"/>
  </r>
  <r>
    <s v="2016-12-01 23"/>
    <x v="0"/>
    <x v="3"/>
    <s v="2016-12-01 "/>
    <x v="3"/>
    <n v="11"/>
    <n v="56"/>
    <n v="84"/>
    <n v="72"/>
    <n v="25"/>
    <n v="7"/>
    <n v="18"/>
    <n v="0.3"/>
    <n v="0.96"/>
    <n v="24"/>
    <n v="67"/>
  </r>
  <r>
    <s v="2016-12-01 22"/>
    <x v="1"/>
    <x v="3"/>
    <s v="2016-12-01 "/>
    <x v="3"/>
    <n v="5"/>
    <n v="37"/>
    <n v="88"/>
    <n v="83"/>
    <n v="35"/>
    <n v="5"/>
    <n v="29"/>
    <n v="0.4"/>
    <n v="0.4"/>
    <n v="14"/>
    <n v="42"/>
  </r>
  <r>
    <s v="2016-12-01 21"/>
    <x v="2"/>
    <x v="3"/>
    <s v="2016-12-01 "/>
    <x v="3"/>
    <n v="4"/>
    <n v="33"/>
    <n v="89"/>
    <n v="86"/>
    <n v="31"/>
    <n v="5"/>
    <n v="27"/>
    <n v="0.4"/>
    <n v="0.42"/>
    <n v="13"/>
    <n v="37"/>
  </r>
  <r>
    <s v="2016-12-01 20"/>
    <x v="3"/>
    <x v="3"/>
    <s v="2016-12-01 "/>
    <x v="3"/>
    <n v="5"/>
    <n v="57"/>
    <n v="92"/>
    <n v="80"/>
    <n v="32"/>
    <n v="9"/>
    <n v="24"/>
    <n v="0.4"/>
    <n v="0.59"/>
    <n v="19"/>
    <n v="62"/>
  </r>
  <r>
    <s v="2016-12-01 19"/>
    <x v="4"/>
    <x v="3"/>
    <s v="2016-12-01 "/>
    <x v="3"/>
    <n v="10"/>
    <n v="58"/>
    <n v="85"/>
    <n v="79"/>
    <n v="33"/>
    <n v="8"/>
    <n v="25"/>
    <n v="0.4"/>
    <n v="0.64"/>
    <n v="21"/>
    <n v="68"/>
  </r>
  <r>
    <s v="2016-12-01 18"/>
    <x v="5"/>
    <x v="3"/>
    <s v="2016-12-01 "/>
    <x v="3"/>
    <n v="8"/>
    <n v="46"/>
    <n v="85"/>
    <n v="72"/>
    <n v="31"/>
    <n v="6"/>
    <n v="25"/>
    <n v="0.4"/>
    <n v="0.39"/>
    <n v="12"/>
    <n v="54"/>
  </r>
  <r>
    <s v="2016-12-01 17"/>
    <x v="6"/>
    <x v="3"/>
    <s v="2016-12-01 "/>
    <x v="3"/>
    <n v="7"/>
    <n v="40"/>
    <n v="85"/>
    <n v="70"/>
    <n v="26"/>
    <n v="4"/>
    <n v="22"/>
    <n v="0.4"/>
    <n v="0.46"/>
    <n v="12"/>
    <n v="47"/>
  </r>
  <r>
    <s v="2016-12-01 16"/>
    <x v="7"/>
    <x v="3"/>
    <s v="2016-12-01 "/>
    <x v="3"/>
    <n v="3"/>
    <n v="28"/>
    <n v="90"/>
    <n v="71"/>
    <n v="27"/>
    <n v="2"/>
    <n v="25"/>
    <n v="0.4"/>
    <n v="0.26"/>
    <n v="7"/>
    <n v="31"/>
  </r>
  <r>
    <s v="2016-12-01 15"/>
    <x v="8"/>
    <x v="3"/>
    <s v="2016-12-01 "/>
    <x v="3"/>
    <n v="3"/>
    <n v="23"/>
    <n v="88"/>
    <n v="62"/>
    <n v="24"/>
    <n v="3"/>
    <n v="21"/>
    <n v="0.4"/>
    <n v="0.33"/>
    <n v="8"/>
    <n v="26"/>
  </r>
  <r>
    <s v="2016-12-01 14"/>
    <x v="9"/>
    <x v="3"/>
    <s v="2016-12-01 "/>
    <x v="3"/>
    <n v="4"/>
    <n v="26"/>
    <n v="87"/>
    <n v="60"/>
    <n v="22"/>
    <n v="4"/>
    <n v="19"/>
    <n v="0.4"/>
    <n v="0.32"/>
    <n v="7"/>
    <n v="30"/>
  </r>
  <r>
    <s v="2016-12-01 13"/>
    <x v="10"/>
    <x v="3"/>
    <s v="2016-12-01 "/>
    <x v="3"/>
    <n v="4"/>
    <n v="28"/>
    <n v="88"/>
    <n v="52"/>
    <n v="20"/>
    <n v="4"/>
    <n v="16"/>
    <n v="0.4"/>
    <n v="0.45"/>
    <n v="9"/>
    <n v="32"/>
  </r>
  <r>
    <s v="2016-12-01 12"/>
    <x v="11"/>
    <x v="3"/>
    <s v="2016-12-01 "/>
    <x v="3"/>
    <n v="7"/>
    <n v="28"/>
    <n v="80"/>
    <n v="51"/>
    <n v="20"/>
    <n v="4"/>
    <n v="16"/>
    <n v="0.4"/>
    <n v="0.5"/>
    <n v="10"/>
    <n v="35"/>
  </r>
  <r>
    <s v="2016-12-01 11"/>
    <x v="12"/>
    <x v="3"/>
    <s v="2016-12-01 "/>
    <x v="3"/>
    <n v="3"/>
    <n v="21"/>
    <n v="88"/>
    <n v="48"/>
    <n v="18"/>
    <n v="2"/>
    <n v="16"/>
    <n v="0.4"/>
    <n v="0.17"/>
    <n v="3"/>
    <n v="24"/>
  </r>
  <r>
    <s v="2016-12-01 10"/>
    <x v="13"/>
    <x v="3"/>
    <s v="2016-12-01 "/>
    <x v="3"/>
    <n v="11"/>
    <n v="27"/>
    <n v="71"/>
    <n v="54"/>
    <n v="18"/>
    <n v="2"/>
    <n v="16"/>
    <n v="0.3"/>
    <n v="0.39"/>
    <n v="7"/>
    <n v="38"/>
  </r>
  <r>
    <s v="2016-12-01 09"/>
    <x v="14"/>
    <x v="3"/>
    <s v="2016-12-01 "/>
    <x v="3"/>
    <n v="1"/>
    <n v="21"/>
    <n v="95"/>
    <n v="47"/>
    <n v="21"/>
    <n v="2"/>
    <n v="19"/>
    <n v="0.4"/>
    <n v="0.28999999999999998"/>
    <n v="6"/>
    <n v="22"/>
  </r>
  <r>
    <s v="2016-12-01 08"/>
    <x v="15"/>
    <x v="3"/>
    <s v="2016-12-01 "/>
    <x v="3"/>
    <n v="5"/>
    <n v="13"/>
    <n v="72"/>
    <n v="39"/>
    <n v="15"/>
    <n v="2"/>
    <n v="14"/>
    <n v="0.4"/>
    <n v="0.27"/>
    <n v="4"/>
    <n v="18"/>
  </r>
  <r>
    <s v="2016-12-01 07"/>
    <x v="16"/>
    <x v="3"/>
    <s v="2016-12-01 "/>
    <x v="3"/>
    <n v="5"/>
    <n v="6"/>
    <n v="55"/>
    <n v="28"/>
    <n v="10"/>
    <n v="0"/>
    <n v="10"/>
    <n v="0.4"/>
    <n v="0.1"/>
    <n v="1"/>
    <n v="11"/>
  </r>
  <r>
    <s v="2016-12-01 06"/>
    <x v="17"/>
    <x v="3"/>
    <s v="2016-12-01 "/>
    <x v="3"/>
    <n v="5"/>
    <n v="1"/>
    <n v="17"/>
    <n v="25"/>
    <n v="5"/>
    <n v="0"/>
    <n v="5"/>
    <n v="0.2"/>
    <n v="0"/>
    <n v="0"/>
    <n v="6"/>
  </r>
  <r>
    <s v="2016-12-01 05"/>
    <x v="18"/>
    <x v="3"/>
    <s v="2016-12-01 "/>
    <x v="3"/>
    <n v="5"/>
    <n v="5"/>
    <n v="50"/>
    <n v="29"/>
    <n v="6"/>
    <n v="1"/>
    <n v="5"/>
    <n v="0.2"/>
    <n v="0.17"/>
    <n v="1"/>
    <n v="10"/>
  </r>
  <r>
    <s v="2016-12-01 04"/>
    <x v="19"/>
    <x v="3"/>
    <s v="2016-12-01 "/>
    <x v="3"/>
    <n v="8"/>
    <n v="13"/>
    <n v="62"/>
    <n v="30"/>
    <n v="7"/>
    <n v="2"/>
    <n v="5"/>
    <n v="0.2"/>
    <n v="0.71"/>
    <n v="5"/>
    <n v="21"/>
  </r>
  <r>
    <s v="2016-12-01 03"/>
    <x v="20"/>
    <x v="3"/>
    <s v="2016-12-01 "/>
    <x v="3"/>
    <n v="15"/>
    <n v="19"/>
    <n v="56"/>
    <n v="36"/>
    <n v="9"/>
    <n v="2"/>
    <n v="7"/>
    <n v="0.3"/>
    <n v="0.67"/>
    <n v="6"/>
    <n v="34"/>
  </r>
  <r>
    <s v="2016-12-01 02"/>
    <x v="21"/>
    <x v="3"/>
    <s v="2016-12-01 "/>
    <x v="3"/>
    <n v="5"/>
    <n v="27"/>
    <n v="84"/>
    <n v="44"/>
    <n v="17"/>
    <n v="4"/>
    <n v="14"/>
    <n v="0.4"/>
    <n v="0.53"/>
    <n v="9"/>
    <n v="32"/>
  </r>
  <r>
    <s v="2016-12-01 01"/>
    <x v="22"/>
    <x v="3"/>
    <s v="2016-12-01 "/>
    <x v="3"/>
    <n v="2"/>
    <n v="33"/>
    <n v="94"/>
    <n v="65"/>
    <n v="22"/>
    <n v="5"/>
    <n v="17"/>
    <n v="0.3"/>
    <n v="0.59"/>
    <n v="13"/>
    <n v="35"/>
  </r>
  <r>
    <s v="2016-12-01 00"/>
    <x v="23"/>
    <x v="3"/>
    <s v="2016-12-01 "/>
    <x v="3"/>
    <n v="9"/>
    <n v="48"/>
    <n v="84"/>
    <n v="71"/>
    <n v="25"/>
    <n v="10"/>
    <n v="15"/>
    <n v="0.4"/>
    <n v="0.96"/>
    <n v="24"/>
    <n v="57"/>
  </r>
  <r>
    <s v="2016-11-30 23"/>
    <x v="0"/>
    <x v="4"/>
    <s v="2016-11-30 "/>
    <x v="4"/>
    <n v="11"/>
    <n v="59"/>
    <n v="84"/>
    <n v="74"/>
    <n v="25"/>
    <n v="11"/>
    <n v="14"/>
    <n v="0.3"/>
    <n v="1.08"/>
    <n v="27"/>
    <n v="70"/>
  </r>
  <r>
    <s v="2016-11-30 22"/>
    <x v="1"/>
    <x v="4"/>
    <s v="2016-11-30 "/>
    <x v="4"/>
    <n v="6"/>
    <n v="39"/>
    <n v="87"/>
    <n v="81"/>
    <n v="30"/>
    <n v="6"/>
    <n v="24"/>
    <n v="0.4"/>
    <n v="0.67"/>
    <n v="20"/>
    <n v="45"/>
  </r>
  <r>
    <s v="2016-11-30 21"/>
    <x v="2"/>
    <x v="4"/>
    <s v="2016-11-30 "/>
    <x v="4"/>
    <n v="5"/>
    <n v="34"/>
    <n v="87"/>
    <n v="74"/>
    <n v="27"/>
    <n v="5"/>
    <n v="22"/>
    <n v="0.4"/>
    <n v="0.59"/>
    <n v="16"/>
    <n v="39"/>
  </r>
  <r>
    <s v="2016-11-30 20"/>
    <x v="3"/>
    <x v="4"/>
    <s v="2016-11-30 "/>
    <x v="4"/>
    <n v="7"/>
    <n v="44"/>
    <n v="86"/>
    <n v="91"/>
    <n v="37"/>
    <n v="4"/>
    <n v="33"/>
    <n v="0.4"/>
    <n v="0.35"/>
    <n v="13"/>
    <n v="51"/>
  </r>
  <r>
    <s v="2016-11-30 19"/>
    <x v="4"/>
    <x v="4"/>
    <s v="2016-11-30 "/>
    <x v="4"/>
    <n v="5"/>
    <n v="46"/>
    <n v="90"/>
    <n v="81"/>
    <n v="31"/>
    <n v="6"/>
    <n v="25"/>
    <n v="0.4"/>
    <n v="0.52"/>
    <n v="16"/>
    <n v="51"/>
  </r>
  <r>
    <s v="2016-11-30 18"/>
    <x v="5"/>
    <x v="4"/>
    <s v="2016-11-30 "/>
    <x v="4"/>
    <n v="3"/>
    <n v="37"/>
    <n v="93"/>
    <n v="84"/>
    <n v="34"/>
    <n v="7"/>
    <n v="27"/>
    <n v="0.4"/>
    <n v="0.5"/>
    <n v="17"/>
    <n v="40"/>
  </r>
  <r>
    <s v="2016-11-30 17"/>
    <x v="6"/>
    <x v="4"/>
    <s v="2016-11-30 "/>
    <x v="4"/>
    <n v="1"/>
    <n v="34"/>
    <n v="97"/>
    <n v="91"/>
    <n v="30"/>
    <n v="4"/>
    <n v="26"/>
    <n v="0.3"/>
    <n v="0.27"/>
    <n v="8"/>
    <n v="35"/>
  </r>
  <r>
    <s v="2016-11-30 16"/>
    <x v="7"/>
    <x v="4"/>
    <s v="2016-11-30 "/>
    <x v="4"/>
    <n v="3"/>
    <n v="30"/>
    <n v="91"/>
    <n v="92"/>
    <n v="32"/>
    <n v="4"/>
    <n v="29"/>
    <n v="0.3"/>
    <n v="0.28000000000000003"/>
    <n v="9"/>
    <n v="33"/>
  </r>
  <r>
    <s v="2016-11-30 15"/>
    <x v="8"/>
    <x v="4"/>
    <s v="2016-11-30 "/>
    <x v="4"/>
    <n v="8"/>
    <n v="26"/>
    <n v="76"/>
    <n v="86"/>
    <n v="25"/>
    <n v="2"/>
    <n v="22"/>
    <n v="0.3"/>
    <n v="0.36"/>
    <n v="9"/>
    <n v="34"/>
  </r>
  <r>
    <s v="2016-11-30 14"/>
    <x v="9"/>
    <x v="4"/>
    <s v="2016-11-30 "/>
    <x v="4"/>
    <n v="3"/>
    <n v="29"/>
    <n v="91"/>
    <n v="82"/>
    <n v="28"/>
    <n v="3"/>
    <n v="24"/>
    <n v="0.3"/>
    <n v="0.28999999999999998"/>
    <n v="8"/>
    <n v="32"/>
  </r>
  <r>
    <s v="2016-11-30 13"/>
    <x v="10"/>
    <x v="4"/>
    <s v="2016-11-30 "/>
    <x v="4"/>
    <n v="11"/>
    <n v="34"/>
    <n v="76"/>
    <n v="77"/>
    <n v="27"/>
    <n v="6"/>
    <n v="21"/>
    <n v="0.4"/>
    <n v="0.52"/>
    <n v="14"/>
    <n v="45"/>
  </r>
  <r>
    <s v="2016-11-30 12"/>
    <x v="11"/>
    <x v="4"/>
    <s v="2016-11-30 "/>
    <x v="4"/>
    <n v="7"/>
    <n v="30"/>
    <n v="81"/>
    <n v="72"/>
    <n v="29"/>
    <n v="3"/>
    <n v="26"/>
    <n v="0.4"/>
    <n v="0.28000000000000003"/>
    <n v="8"/>
    <n v="37"/>
  </r>
  <r>
    <s v="2016-11-30 11"/>
    <x v="12"/>
    <x v="4"/>
    <s v="2016-11-30 "/>
    <x v="4"/>
    <n v="2"/>
    <n v="20"/>
    <n v="91"/>
    <n v="76"/>
    <n v="28"/>
    <n v="1"/>
    <n v="27"/>
    <n v="0.4"/>
    <n v="0.11"/>
    <n v="3"/>
    <n v="22"/>
  </r>
  <r>
    <s v="2016-11-30 10"/>
    <x v="13"/>
    <x v="4"/>
    <s v="2016-11-30 "/>
    <x v="4"/>
    <n v="5"/>
    <n v="19"/>
    <n v="79"/>
    <n v="72"/>
    <n v="27"/>
    <n v="3"/>
    <n v="24"/>
    <n v="0.4"/>
    <n v="0.22"/>
    <n v="6"/>
    <n v="24"/>
  </r>
  <r>
    <s v="2016-11-30 09"/>
    <x v="14"/>
    <x v="4"/>
    <s v="2016-11-30 "/>
    <x v="4"/>
    <n v="7"/>
    <n v="19"/>
    <n v="73"/>
    <n v="67"/>
    <n v="26"/>
    <n v="3"/>
    <n v="23"/>
    <n v="0.4"/>
    <n v="0.31"/>
    <n v="8"/>
    <n v="26"/>
  </r>
  <r>
    <s v="2016-11-30 08"/>
    <x v="15"/>
    <x v="4"/>
    <s v="2016-11-30 "/>
    <x v="4"/>
    <n v="4"/>
    <n v="21"/>
    <n v="84"/>
    <n v="61"/>
    <n v="27"/>
    <n v="2"/>
    <n v="25"/>
    <n v="0.4"/>
    <n v="0.11"/>
    <n v="3"/>
    <n v="25"/>
  </r>
  <r>
    <s v="2016-11-30 07"/>
    <x v="16"/>
    <x v="4"/>
    <s v="2016-11-30 "/>
    <x v="4"/>
    <n v="10"/>
    <n v="16"/>
    <n v="62"/>
    <n v="41"/>
    <n v="16"/>
    <n v="3"/>
    <n v="14"/>
    <n v="0.4"/>
    <n v="0.44"/>
    <n v="7"/>
    <n v="26"/>
  </r>
  <r>
    <s v="2016-11-30 06"/>
    <x v="17"/>
    <x v="4"/>
    <s v="2016-11-30 "/>
    <x v="4"/>
    <n v="11"/>
    <n v="14"/>
    <n v="56"/>
    <n v="29"/>
    <n v="10"/>
    <n v="1"/>
    <n v="9"/>
    <n v="0.3"/>
    <n v="0.2"/>
    <n v="2"/>
    <n v="25"/>
  </r>
  <r>
    <s v="2016-11-30 05"/>
    <x v="18"/>
    <x v="4"/>
    <s v="2016-11-30 "/>
    <x v="4"/>
    <n v="13"/>
    <n v="20"/>
    <n v="61"/>
    <n v="34"/>
    <n v="13"/>
    <n v="3"/>
    <n v="9"/>
    <n v="0.4"/>
    <n v="0.31"/>
    <n v="4"/>
    <n v="33"/>
  </r>
  <r>
    <s v="2016-11-30 04"/>
    <x v="19"/>
    <x v="4"/>
    <s v="2016-11-30 "/>
    <x v="4"/>
    <n v="48"/>
    <n v="26"/>
    <n v="35"/>
    <n v="29"/>
    <n v="13"/>
    <n v="7"/>
    <n v="6"/>
    <n v="0.4"/>
    <n v="1"/>
    <n v="13"/>
    <n v="74"/>
  </r>
  <r>
    <s v="2016-11-30 03"/>
    <x v="20"/>
    <x v="4"/>
    <s v="2016-11-30 "/>
    <x v="4"/>
    <n v="27"/>
    <n v="25"/>
    <n v="48"/>
    <n v="32"/>
    <n v="15"/>
    <n v="5"/>
    <n v="9"/>
    <n v="0.5"/>
    <n v="0.87"/>
    <n v="13"/>
    <n v="52"/>
  </r>
  <r>
    <s v="2016-11-30 02"/>
    <x v="21"/>
    <x v="4"/>
    <s v="2016-11-30 "/>
    <x v="4"/>
    <n v="3"/>
    <n v="14"/>
    <n v="82"/>
    <n v="46"/>
    <n v="18"/>
    <n v="2"/>
    <n v="16"/>
    <n v="0.4"/>
    <n v="0.33"/>
    <n v="6"/>
    <n v="17"/>
  </r>
  <r>
    <s v="2016-11-30 01"/>
    <x v="22"/>
    <x v="4"/>
    <s v="2016-11-30 "/>
    <x v="4"/>
    <n v="3"/>
    <n v="50"/>
    <n v="94"/>
    <n v="61"/>
    <n v="29"/>
    <n v="9"/>
    <n v="20"/>
    <n v="0.5"/>
    <n v="0.62"/>
    <n v="18"/>
    <n v="53"/>
  </r>
  <r>
    <s v="2016-11-30 00"/>
    <x v="23"/>
    <x v="4"/>
    <s v="2016-11-30 "/>
    <x v="4"/>
    <n v="3"/>
    <n v="67"/>
    <n v="96"/>
    <n v="68"/>
    <n v="30"/>
    <n v="13"/>
    <n v="18"/>
    <n v="0.4"/>
    <n v="1.07"/>
    <n v="32"/>
    <n v="70"/>
  </r>
  <r>
    <s v="2016-11-29 23"/>
    <x v="0"/>
    <x v="5"/>
    <s v="2016-11-29 "/>
    <x v="5"/>
    <n v="7"/>
    <n v="90"/>
    <n v="93"/>
    <n v="81"/>
    <n v="40"/>
    <n v="18"/>
    <n v="22"/>
    <n v="0.5"/>
    <n v="1.2"/>
    <n v="48"/>
    <n v="97"/>
  </r>
  <r>
    <s v="2016-11-29 22"/>
    <x v="1"/>
    <x v="5"/>
    <s v="2016-11-29 "/>
    <x v="5"/>
    <n v="5"/>
    <n v="97"/>
    <n v="95"/>
    <n v="96"/>
    <n v="42"/>
    <n v="15"/>
    <n v="28"/>
    <n v="0.4"/>
    <n v="0.88"/>
    <n v="37"/>
    <n v="102"/>
  </r>
  <r>
    <s v="2016-11-29 21"/>
    <x v="2"/>
    <x v="5"/>
    <s v="2016-11-29 "/>
    <x v="5"/>
    <n v="13"/>
    <n v="86"/>
    <n v="87"/>
    <n v="96"/>
    <n v="42"/>
    <n v="15"/>
    <n v="27"/>
    <n v="0.4"/>
    <n v="0.9"/>
    <n v="38"/>
    <n v="99"/>
  </r>
  <r>
    <s v="2016-11-29 20"/>
    <x v="3"/>
    <x v="5"/>
    <s v="2016-11-29 "/>
    <x v="5"/>
    <n v="10"/>
    <n v="88"/>
    <n v="90"/>
    <n v="102"/>
    <n v="38"/>
    <n v="10"/>
    <n v="28"/>
    <n v="0.4"/>
    <n v="0.68"/>
    <n v="26"/>
    <n v="98"/>
  </r>
  <r>
    <s v="2016-11-29 19"/>
    <x v="4"/>
    <x v="5"/>
    <s v="2016-11-29 "/>
    <x v="5"/>
    <n v="27"/>
    <n v="89"/>
    <n v="77"/>
    <n v="110"/>
    <n v="43"/>
    <n v="22"/>
    <n v="21"/>
    <n v="0.4"/>
    <n v="0.79"/>
    <n v="34"/>
    <n v="116"/>
  </r>
  <r>
    <s v="2016-11-29 18"/>
    <x v="5"/>
    <x v="5"/>
    <s v="2016-11-29 "/>
    <x v="5"/>
    <n v="44"/>
    <n v="77"/>
    <n v="64"/>
    <n v="100"/>
    <n v="34"/>
    <n v="20"/>
    <n v="15"/>
    <n v="0.3"/>
    <n v="0.88"/>
    <n v="30"/>
    <n v="121"/>
  </r>
  <r>
    <s v="2016-11-29 17"/>
    <x v="6"/>
    <x v="5"/>
    <s v="2016-11-29 "/>
    <x v="5"/>
    <n v="19"/>
    <n v="45"/>
    <n v="70"/>
    <n v="81"/>
    <n v="29"/>
    <n v="13"/>
    <n v="16"/>
    <n v="0.4"/>
    <n v="0.93"/>
    <n v="27"/>
    <n v="64"/>
  </r>
  <r>
    <s v="2016-11-29 16"/>
    <x v="7"/>
    <x v="5"/>
    <s v="2016-11-29 "/>
    <x v="5"/>
    <n v="24"/>
    <n v="43"/>
    <n v="64"/>
    <n v="75"/>
    <n v="23"/>
    <n v="9"/>
    <n v="14"/>
    <n v="0.3"/>
    <n v="0.56999999999999995"/>
    <n v="13"/>
    <n v="67"/>
  </r>
  <r>
    <s v="2016-11-29 15"/>
    <x v="8"/>
    <x v="5"/>
    <s v="2016-11-29 "/>
    <x v="5"/>
    <n v="15"/>
    <n v="43"/>
    <n v="74"/>
    <n v="67"/>
    <n v="22"/>
    <n v="8"/>
    <n v="13"/>
    <n v="0.3"/>
    <n v="0.73"/>
    <n v="16"/>
    <n v="58"/>
  </r>
  <r>
    <s v="2016-11-29 14"/>
    <x v="9"/>
    <x v="5"/>
    <s v="2016-11-29 "/>
    <x v="5"/>
    <n v="6"/>
    <n v="34"/>
    <n v="85"/>
    <n v="64"/>
    <n v="21"/>
    <n v="8"/>
    <n v="13"/>
    <n v="0.3"/>
    <n v="0.52"/>
    <n v="11"/>
    <n v="40"/>
  </r>
  <r>
    <s v="2016-11-29 13"/>
    <x v="10"/>
    <x v="5"/>
    <s v="2016-11-29 "/>
    <x v="5"/>
    <n v="8"/>
    <n v="43"/>
    <n v="84"/>
    <n v="71"/>
    <n v="26"/>
    <n v="7"/>
    <n v="19"/>
    <n v="0.4"/>
    <n v="0.57999999999999996"/>
    <n v="15"/>
    <n v="51"/>
  </r>
  <r>
    <s v="2016-11-29 12"/>
    <x v="11"/>
    <x v="5"/>
    <s v="2016-11-29 "/>
    <x v="5"/>
    <n v="5"/>
    <n v="32"/>
    <n v="86"/>
    <n v="72"/>
    <n v="26"/>
    <n v="5"/>
    <n v="21"/>
    <n v="0.4"/>
    <n v="0.42"/>
    <n v="11"/>
    <n v="37"/>
  </r>
  <r>
    <s v="2016-11-29 11"/>
    <x v="12"/>
    <x v="5"/>
    <s v="2016-11-29 "/>
    <x v="5"/>
    <n v="10"/>
    <n v="41"/>
    <n v="80"/>
    <n v="74"/>
    <n v="28"/>
    <n v="6"/>
    <n v="22"/>
    <n v="0.4"/>
    <n v="0.43"/>
    <n v="12"/>
    <n v="51"/>
  </r>
  <r>
    <s v="2016-11-29 10"/>
    <x v="13"/>
    <x v="5"/>
    <s v="2016-11-29 "/>
    <x v="5"/>
    <n v="9"/>
    <n v="52"/>
    <n v="85"/>
    <n v="90"/>
    <n v="35"/>
    <n v="7"/>
    <n v="27"/>
    <n v="0.4"/>
    <n v="0.37"/>
    <n v="13"/>
    <n v="61"/>
  </r>
  <r>
    <s v="2016-11-29 09"/>
    <x v="14"/>
    <x v="5"/>
    <s v="2016-11-29 "/>
    <x v="5"/>
    <n v="33"/>
    <n v="64"/>
    <n v="66"/>
    <n v="82"/>
    <n v="35"/>
    <n v="20"/>
    <n v="15"/>
    <n v="0.4"/>
    <n v="0.86"/>
    <n v="30"/>
    <n v="97"/>
  </r>
  <r>
    <s v="2016-11-29 08"/>
    <x v="15"/>
    <x v="5"/>
    <s v="2016-11-29 "/>
    <x v="5"/>
    <n v="17"/>
    <n v="55"/>
    <n v="76"/>
    <n v="67"/>
    <n v="33"/>
    <n v="14"/>
    <n v="19"/>
    <n v="0.5"/>
    <n v="0.94"/>
    <n v="31"/>
    <n v="72"/>
  </r>
  <r>
    <s v="2016-11-29 07"/>
    <x v="16"/>
    <x v="5"/>
    <s v="2016-11-29 "/>
    <x v="5"/>
    <n v="9"/>
    <n v="22"/>
    <n v="71"/>
    <n v="56"/>
    <n v="22"/>
    <n v="6"/>
    <n v="16"/>
    <n v="0.4"/>
    <n v="0.59"/>
    <n v="13"/>
    <n v="31"/>
  </r>
  <r>
    <s v="2016-11-29 06"/>
    <x v="17"/>
    <x v="5"/>
    <s v="2016-11-29 "/>
    <x v="5"/>
    <n v="3"/>
    <n v="6"/>
    <n v="67"/>
    <n v="35"/>
    <n v="12"/>
    <n v="0"/>
    <n v="12"/>
    <n v="0.3"/>
    <n v="0.08"/>
    <n v="1"/>
    <n v="9"/>
  </r>
  <r>
    <s v="2016-11-29 05"/>
    <x v="18"/>
    <x v="5"/>
    <s v="2016-11-29 "/>
    <x v="5"/>
    <n v="3"/>
    <n v="3"/>
    <n v="50"/>
    <n v="23"/>
    <n v="10"/>
    <n v="0"/>
    <n v="10"/>
    <n v="0.4"/>
    <n v="0"/>
    <n v="0"/>
    <n v="6"/>
  </r>
  <r>
    <s v="2016-11-29 04"/>
    <x v="19"/>
    <x v="5"/>
    <s v="2016-11-29 "/>
    <x v="5"/>
    <n v="2"/>
    <n v="3"/>
    <n v="60"/>
    <n v="23"/>
    <n v="10"/>
    <n v="0"/>
    <n v="9"/>
    <n v="0.4"/>
    <n v="0.2"/>
    <n v="2"/>
    <n v="5"/>
  </r>
  <r>
    <s v="2016-11-29 03"/>
    <x v="20"/>
    <x v="5"/>
    <s v="2016-11-29 "/>
    <x v="5"/>
    <n v="1"/>
    <n v="4"/>
    <n v="80"/>
    <n v="23"/>
    <n v="11"/>
    <n v="0"/>
    <n v="11"/>
    <n v="0.5"/>
    <n v="0"/>
    <n v="0"/>
    <n v="5"/>
  </r>
  <r>
    <s v="2016-11-29 02"/>
    <x v="21"/>
    <x v="5"/>
    <s v="2016-11-29 "/>
    <x v="5"/>
    <n v="6"/>
    <n v="3"/>
    <n v="33"/>
    <n v="26"/>
    <n v="11"/>
    <n v="0"/>
    <n v="11"/>
    <n v="0.4"/>
    <n v="0"/>
    <n v="0"/>
    <n v="9"/>
  </r>
  <r>
    <s v="2016-11-29 01"/>
    <x v="22"/>
    <x v="5"/>
    <s v="2016-11-29 "/>
    <x v="5"/>
    <n v="1"/>
    <n v="6"/>
    <n v="86"/>
    <n v="31"/>
    <n v="11"/>
    <n v="0"/>
    <n v="11"/>
    <n v="0.4"/>
    <n v="0.09"/>
    <n v="1"/>
    <n v="7"/>
  </r>
  <r>
    <s v="2016-11-29 00"/>
    <x v="23"/>
    <x v="5"/>
    <s v="2016-11-29 "/>
    <x v="5"/>
    <n v="6"/>
    <n v="23"/>
    <n v="79"/>
    <n v="47"/>
    <n v="15"/>
    <n v="2"/>
    <n v="13"/>
    <n v="0.3"/>
    <n v="0.27"/>
    <n v="4"/>
    <n v="29"/>
  </r>
  <r>
    <s v="2016-11-28 23"/>
    <x v="0"/>
    <x v="6"/>
    <s v="2016-11-28 "/>
    <x v="6"/>
    <n v="7"/>
    <n v="36"/>
    <n v="84"/>
    <n v="62"/>
    <n v="24"/>
    <n v="5"/>
    <n v="19"/>
    <n v="0.4"/>
    <n v="0.46"/>
    <n v="11"/>
    <n v="43"/>
  </r>
  <r>
    <s v="2016-11-28 22"/>
    <x v="1"/>
    <x v="6"/>
    <s v="2016-11-28 "/>
    <x v="6"/>
    <n v="7"/>
    <n v="48"/>
    <n v="87"/>
    <n v="72"/>
    <n v="29"/>
    <n v="6"/>
    <n v="23"/>
    <n v="0.4"/>
    <n v="0.41"/>
    <n v="12"/>
    <n v="55"/>
  </r>
  <r>
    <s v="2016-11-28 21"/>
    <x v="2"/>
    <x v="6"/>
    <s v="2016-11-28 "/>
    <x v="6"/>
    <n v="2"/>
    <n v="37"/>
    <n v="95"/>
    <n v="94"/>
    <n v="38"/>
    <n v="5"/>
    <n v="32"/>
    <n v="0.4"/>
    <n v="0.39"/>
    <n v="15"/>
    <n v="39"/>
  </r>
  <r>
    <s v="2016-11-28 20"/>
    <x v="3"/>
    <x v="6"/>
    <s v="2016-11-28 "/>
    <x v="6"/>
    <n v="2"/>
    <n v="41"/>
    <n v="95"/>
    <n v="113"/>
    <n v="49"/>
    <n v="5"/>
    <n v="45"/>
    <n v="0.4"/>
    <n v="0.27"/>
    <n v="13"/>
    <n v="43"/>
  </r>
  <r>
    <s v="2016-11-28 19"/>
    <x v="4"/>
    <x v="6"/>
    <s v="2016-11-28 "/>
    <x v="6"/>
    <n v="4"/>
    <n v="70"/>
    <n v="95"/>
    <n v="117"/>
    <n v="49"/>
    <n v="13"/>
    <n v="36"/>
    <n v="0.4"/>
    <n v="0.56999999999999995"/>
    <n v="28"/>
    <n v="74"/>
  </r>
  <r>
    <s v="2016-11-28 18"/>
    <x v="5"/>
    <x v="6"/>
    <s v="2016-11-28 "/>
    <x v="6"/>
    <n v="1"/>
    <n v="64"/>
    <n v="98"/>
    <n v="95"/>
    <n v="40"/>
    <n v="15"/>
    <n v="25"/>
    <n v="0.4"/>
    <n v="0.88"/>
    <n v="35"/>
    <n v="65"/>
  </r>
  <r>
    <s v="2016-11-28 17"/>
    <x v="6"/>
    <x v="6"/>
    <s v="2016-11-28 "/>
    <x v="6"/>
    <n v="3"/>
    <n v="45"/>
    <n v="94"/>
    <n v="102"/>
    <n v="40"/>
    <n v="10"/>
    <n v="30"/>
    <n v="0.4"/>
    <n v="0.4"/>
    <n v="16"/>
    <n v="48"/>
  </r>
  <r>
    <s v="2016-11-28 16"/>
    <x v="7"/>
    <x v="6"/>
    <s v="2016-11-28 "/>
    <x v="6"/>
    <n v="2"/>
    <n v="40"/>
    <n v="95"/>
    <n v="90"/>
    <n v="35"/>
    <n v="5"/>
    <n v="30"/>
    <n v="0.4"/>
    <n v="0.34"/>
    <n v="12"/>
    <n v="42"/>
  </r>
  <r>
    <s v="2016-11-28 15"/>
    <x v="8"/>
    <x v="6"/>
    <s v="2016-11-28 "/>
    <x v="6"/>
    <n v="8"/>
    <n v="33"/>
    <n v="80"/>
    <n v="74"/>
    <n v="25"/>
    <n v="4"/>
    <n v="21"/>
    <n v="0.3"/>
    <n v="0.32"/>
    <n v="8"/>
    <n v="41"/>
  </r>
  <r>
    <s v="2016-11-28 14"/>
    <x v="9"/>
    <x v="6"/>
    <s v="2016-11-28 "/>
    <x v="6"/>
    <n v="5"/>
    <n v="24"/>
    <n v="83"/>
    <n v="63"/>
    <n v="20"/>
    <n v="3"/>
    <n v="17"/>
    <n v="0.3"/>
    <n v="0.3"/>
    <n v="6"/>
    <n v="29"/>
  </r>
  <r>
    <s v="2016-11-28 13"/>
    <x v="10"/>
    <x v="6"/>
    <s v="2016-11-28 "/>
    <x v="6"/>
    <n v="5"/>
    <n v="29"/>
    <n v="85"/>
    <n v="57"/>
    <n v="21"/>
    <n v="2"/>
    <n v="19"/>
    <n v="0.4"/>
    <n v="0.24"/>
    <n v="5"/>
    <n v="34"/>
  </r>
  <r>
    <s v="2016-11-28 12"/>
    <x v="11"/>
    <x v="6"/>
    <s v="2016-11-28 "/>
    <x v="6"/>
    <n v="1"/>
    <n v="25"/>
    <n v="96"/>
    <n v="67"/>
    <n v="22"/>
    <n v="3"/>
    <n v="19"/>
    <n v="0.3"/>
    <n v="0.36"/>
    <n v="8"/>
    <n v="26"/>
  </r>
  <r>
    <s v="2016-11-28 11"/>
    <x v="12"/>
    <x v="6"/>
    <s v="2016-11-28 "/>
    <x v="6"/>
    <n v="5"/>
    <n v="20"/>
    <n v="80"/>
    <n v="75"/>
    <n v="32"/>
    <n v="4"/>
    <n v="28"/>
    <n v="0.4"/>
    <n v="0.16"/>
    <n v="5"/>
    <n v="25"/>
  </r>
  <r>
    <s v="2016-11-28 10"/>
    <x v="13"/>
    <x v="6"/>
    <s v="2016-11-28 "/>
    <x v="6"/>
    <n v="4"/>
    <n v="55"/>
    <n v="93"/>
    <n v="79"/>
    <n v="36"/>
    <n v="9"/>
    <n v="27"/>
    <n v="0.5"/>
    <n v="0.47"/>
    <n v="17"/>
    <n v="59"/>
  </r>
  <r>
    <s v="2016-11-28 09"/>
    <x v="14"/>
    <x v="6"/>
    <s v="2016-11-28 "/>
    <x v="6"/>
    <n v="20"/>
    <n v="51"/>
    <n v="72"/>
    <n v="77"/>
    <n v="34"/>
    <n v="15"/>
    <n v="19"/>
    <n v="0.4"/>
    <n v="0.76"/>
    <n v="26"/>
    <n v="71"/>
  </r>
  <r>
    <s v="2016-11-28 08"/>
    <x v="15"/>
    <x v="6"/>
    <s v="2016-11-28 "/>
    <x v="6"/>
    <n v="21"/>
    <n v="42"/>
    <n v="67"/>
    <n v="62"/>
    <n v="24"/>
    <n v="11"/>
    <n v="13"/>
    <n v="0.4"/>
    <n v="0.96"/>
    <n v="23"/>
    <n v="63"/>
  </r>
  <r>
    <s v="2016-11-28 07"/>
    <x v="16"/>
    <x v="6"/>
    <s v="2016-11-28 "/>
    <x v="6"/>
    <n v="24"/>
    <n v="21"/>
    <n v="47"/>
    <n v="44"/>
    <n v="15"/>
    <n v="5"/>
    <n v="10"/>
    <n v="0.3"/>
    <n v="0.8"/>
    <n v="12"/>
    <n v="45"/>
  </r>
  <r>
    <s v="2016-11-28 06"/>
    <x v="17"/>
    <x v="6"/>
    <s v="2016-11-28 "/>
    <x v="6"/>
    <n v="7"/>
    <n v="6"/>
    <n v="46"/>
    <n v="25"/>
    <n v="8"/>
    <n v="1"/>
    <n v="7"/>
    <n v="0.3"/>
    <n v="0.5"/>
    <n v="4"/>
    <n v="13"/>
  </r>
  <r>
    <s v="2016-11-28 05"/>
    <x v="18"/>
    <x v="6"/>
    <s v="2016-11-28 "/>
    <x v="6"/>
    <n v="2"/>
    <n v="1"/>
    <n v="33"/>
    <n v="17"/>
    <n v="6"/>
    <n v="0"/>
    <n v="6"/>
    <n v="0.4"/>
    <n v="0.17"/>
    <n v="1"/>
    <n v="3"/>
  </r>
  <r>
    <s v="2016-11-28 04"/>
    <x v="19"/>
    <x v="6"/>
    <s v="2016-11-28 "/>
    <x v="6"/>
    <n v="7"/>
    <n v="1"/>
    <n v="13"/>
    <n v="15"/>
    <n v="7"/>
    <n v="0"/>
    <n v="7"/>
    <n v="0.5"/>
    <n v="0"/>
    <n v="0"/>
    <n v="8"/>
  </r>
  <r>
    <s v="2016-11-28 03"/>
    <x v="20"/>
    <x v="6"/>
    <s v="2016-11-28 "/>
    <x v="6"/>
    <n v="2"/>
    <n v="4"/>
    <n v="67"/>
    <n v="20"/>
    <n v="8"/>
    <n v="0"/>
    <n v="8"/>
    <n v="0.4"/>
    <n v="0"/>
    <n v="0"/>
    <n v="6"/>
  </r>
  <r>
    <s v="2016-11-28 02"/>
    <x v="21"/>
    <x v="6"/>
    <s v="2016-11-28 "/>
    <x v="6"/>
    <n v="2"/>
    <n v="9"/>
    <n v="82"/>
    <n v="21"/>
    <n v="10"/>
    <n v="1"/>
    <n v="8"/>
    <n v="0.5"/>
    <n v="0.3"/>
    <n v="3"/>
    <n v="11"/>
  </r>
  <r>
    <s v="2016-11-28 01"/>
    <x v="22"/>
    <x v="6"/>
    <s v="2016-11-28 "/>
    <x v="6"/>
    <n v="3"/>
    <n v="12"/>
    <n v="80"/>
    <n v="31"/>
    <n v="12"/>
    <n v="1"/>
    <n v="11"/>
    <n v="0.4"/>
    <n v="0.33"/>
    <n v="4"/>
    <n v="15"/>
  </r>
  <r>
    <s v="2016-11-28 00"/>
    <x v="23"/>
    <x v="6"/>
    <s v="2016-11-28 "/>
    <x v="6"/>
    <n v="1"/>
    <n v="17"/>
    <n v="94"/>
    <n v="43"/>
    <n v="17"/>
    <n v="1"/>
    <n v="16"/>
    <n v="0.4"/>
    <n v="0.18"/>
    <n v="3"/>
    <n v="18"/>
  </r>
  <r>
    <s v="2016-11-27 23"/>
    <x v="0"/>
    <x v="0"/>
    <s v="2016-11-27 "/>
    <x v="0"/>
    <n v="6"/>
    <n v="34"/>
    <n v="85"/>
    <n v="58"/>
    <n v="21"/>
    <n v="5"/>
    <n v="16"/>
    <n v="0.4"/>
    <n v="0.71"/>
    <n v="15"/>
    <n v="40"/>
  </r>
  <r>
    <s v="2016-11-27 22"/>
    <x v="1"/>
    <x v="0"/>
    <s v="2016-11-27 "/>
    <x v="0"/>
    <n v="3"/>
    <n v="45"/>
    <n v="94"/>
    <n v="66"/>
    <n v="28"/>
    <n v="5"/>
    <n v="23"/>
    <n v="0.4"/>
    <n v="0.56999999999999995"/>
    <n v="16"/>
    <n v="48"/>
  </r>
  <r>
    <s v="2016-11-27 21"/>
    <x v="2"/>
    <x v="0"/>
    <s v="2016-11-27 "/>
    <x v="0"/>
    <n v="5"/>
    <n v="48"/>
    <n v="91"/>
    <n v="85"/>
    <n v="36"/>
    <n v="6"/>
    <n v="30"/>
    <n v="0.4"/>
    <n v="0.53"/>
    <n v="19"/>
    <n v="53"/>
  </r>
  <r>
    <s v="2016-11-27 20"/>
    <x v="3"/>
    <x v="0"/>
    <s v="2016-11-27 "/>
    <x v="0"/>
    <n v="4"/>
    <n v="41"/>
    <n v="91"/>
    <n v="84"/>
    <n v="41"/>
    <n v="5"/>
    <n v="36"/>
    <n v="0.5"/>
    <n v="0.32"/>
    <n v="13"/>
    <n v="45"/>
  </r>
  <r>
    <s v="2016-11-27 19"/>
    <x v="4"/>
    <x v="0"/>
    <s v="2016-11-27 "/>
    <x v="0"/>
    <n v="5"/>
    <n v="34"/>
    <n v="87"/>
    <n v="89"/>
    <n v="37"/>
    <n v="4"/>
    <n v="33"/>
    <n v="0.4"/>
    <n v="0.32"/>
    <n v="12"/>
    <n v="39"/>
  </r>
  <r>
    <s v="2016-11-27 18"/>
    <x v="5"/>
    <x v="0"/>
    <s v="2016-11-27 "/>
    <x v="0"/>
    <n v="5"/>
    <n v="40"/>
    <n v="89"/>
    <n v="83"/>
    <n v="33"/>
    <n v="8"/>
    <n v="26"/>
    <n v="0.4"/>
    <n v="0.21"/>
    <n v="7"/>
    <n v="45"/>
  </r>
  <r>
    <s v="2016-11-27 17"/>
    <x v="6"/>
    <x v="0"/>
    <s v="2016-11-27 "/>
    <x v="0"/>
    <n v="4"/>
    <n v="44"/>
    <n v="92"/>
    <n v="84"/>
    <n v="34"/>
    <n v="4"/>
    <n v="30"/>
    <n v="0.4"/>
    <n v="0.56000000000000005"/>
    <n v="19"/>
    <n v="48"/>
  </r>
  <r>
    <s v="2016-11-27 16"/>
    <x v="7"/>
    <x v="0"/>
    <s v="2016-11-27 "/>
    <x v="0"/>
    <n v="7"/>
    <n v="25"/>
    <n v="78"/>
    <n v="75"/>
    <n v="30"/>
    <n v="4"/>
    <n v="26"/>
    <n v="0.4"/>
    <n v="0.3"/>
    <n v="9"/>
    <n v="32"/>
  </r>
  <r>
    <s v="2016-11-27 15"/>
    <x v="8"/>
    <x v="0"/>
    <s v="2016-11-27 "/>
    <x v="0"/>
    <n v="2"/>
    <n v="30"/>
    <n v="94"/>
    <n v="72"/>
    <n v="31"/>
    <n v="4"/>
    <n v="27"/>
    <n v="0.4"/>
    <n v="0.42"/>
    <n v="13"/>
    <n v="32"/>
  </r>
  <r>
    <s v="2016-11-27 14"/>
    <x v="9"/>
    <x v="0"/>
    <s v="2016-11-27 "/>
    <x v="0"/>
    <n v="0"/>
    <n v="16"/>
    <n v="100"/>
    <n v="60"/>
    <n v="28"/>
    <n v="5"/>
    <n v="23"/>
    <n v="0.5"/>
    <n v="0.39"/>
    <n v="11"/>
    <n v="16"/>
  </r>
  <r>
    <s v="2016-11-27 13"/>
    <x v="10"/>
    <x v="0"/>
    <s v="2016-11-27 "/>
    <x v="0"/>
    <n v="6"/>
    <n v="41"/>
    <n v="87"/>
    <n v="48"/>
    <n v="19"/>
    <n v="4"/>
    <n v="15"/>
    <n v="0.4"/>
    <n v="0.37"/>
    <n v="7"/>
    <n v="47"/>
  </r>
  <r>
    <s v="2016-11-27 12"/>
    <x v="11"/>
    <x v="0"/>
    <s v="2016-11-27 "/>
    <x v="0"/>
    <n v="14"/>
    <n v="34"/>
    <n v="71"/>
    <n v="47"/>
    <n v="18"/>
    <n v="5"/>
    <n v="13"/>
    <n v="0.4"/>
    <n v="0.33"/>
    <n v="6"/>
    <n v="48"/>
  </r>
  <r>
    <s v="2016-11-27 11"/>
    <x v="12"/>
    <x v="0"/>
    <s v="2016-11-27 "/>
    <x v="0"/>
    <n v="14"/>
    <n v="30"/>
    <n v="68"/>
    <n v="42"/>
    <n v="15"/>
    <n v="4"/>
    <n v="11"/>
    <n v="0.4"/>
    <n v="0.67"/>
    <n v="10"/>
    <n v="44"/>
  </r>
  <r>
    <s v="2016-11-27 10"/>
    <x v="13"/>
    <x v="0"/>
    <s v="2016-11-27 "/>
    <x v="0"/>
    <n v="9"/>
    <n v="21"/>
    <n v="70"/>
    <n v="43"/>
    <n v="12"/>
    <n v="3"/>
    <n v="9"/>
    <n v="0.3"/>
    <n v="0.75"/>
    <n v="9"/>
    <n v="30"/>
  </r>
  <r>
    <s v="2016-11-27 09"/>
    <x v="14"/>
    <x v="0"/>
    <s v="2016-11-27 "/>
    <x v="0"/>
    <n v="6"/>
    <n v="16"/>
    <n v="73"/>
    <n v="28"/>
    <n v="12"/>
    <n v="0"/>
    <n v="12"/>
    <n v="0.4"/>
    <n v="0.17"/>
    <n v="2"/>
    <n v="22"/>
  </r>
  <r>
    <s v="2016-11-27 08"/>
    <x v="15"/>
    <x v="0"/>
    <s v="2016-11-27 "/>
    <x v="0"/>
    <n v="11"/>
    <n v="15"/>
    <n v="58"/>
    <n v="29"/>
    <n v="10"/>
    <n v="2"/>
    <n v="8"/>
    <n v="0.3"/>
    <n v="0.3"/>
    <n v="3"/>
    <n v="26"/>
  </r>
  <r>
    <s v="2016-11-27 07"/>
    <x v="16"/>
    <x v="0"/>
    <s v="2016-11-27 "/>
    <x v="0"/>
    <n v="5"/>
    <n v="3"/>
    <n v="38"/>
    <n v="24"/>
    <n v="10"/>
    <n v="1"/>
    <n v="9"/>
    <n v="0.4"/>
    <n v="0.3"/>
    <n v="3"/>
    <n v="8"/>
  </r>
  <r>
    <s v="2016-11-27 06"/>
    <x v="17"/>
    <x v="0"/>
    <s v="2016-11-27 "/>
    <x v="0"/>
    <n v="0"/>
    <n v="10"/>
    <n v="100"/>
    <n v="34"/>
    <n v="13"/>
    <n v="2"/>
    <n v="12"/>
    <n v="0.4"/>
    <n v="0.08"/>
    <n v="1"/>
    <n v="10"/>
  </r>
  <r>
    <s v="2016-11-27 05"/>
    <x v="18"/>
    <x v="0"/>
    <s v="2016-11-27 "/>
    <x v="0"/>
    <n v="0"/>
    <n v="19"/>
    <n v="100"/>
    <n v="46"/>
    <n v="20"/>
    <n v="4"/>
    <n v="16"/>
    <n v="0.4"/>
    <n v="0.55000000000000004"/>
    <n v="11"/>
    <n v="19"/>
  </r>
  <r>
    <s v="2016-11-27 04"/>
    <x v="19"/>
    <x v="0"/>
    <s v="2016-11-27 "/>
    <x v="0"/>
    <n v="6"/>
    <n v="34"/>
    <n v="85"/>
    <n v="56"/>
    <n v="24"/>
    <n v="8"/>
    <n v="16"/>
    <n v="0.4"/>
    <n v="1"/>
    <n v="24"/>
    <n v="40"/>
  </r>
  <r>
    <s v="2016-11-27 03"/>
    <x v="20"/>
    <x v="0"/>
    <s v="2016-11-27 "/>
    <x v="0"/>
    <n v="0"/>
    <n v="34"/>
    <n v="100"/>
    <n v="71"/>
    <n v="32"/>
    <n v="6"/>
    <n v="25"/>
    <n v="0.5"/>
    <n v="0.59"/>
    <n v="19"/>
    <n v="34"/>
  </r>
  <r>
    <s v="2016-11-27 02"/>
    <x v="21"/>
    <x v="0"/>
    <s v="2016-11-27 "/>
    <x v="0"/>
    <n v="0"/>
    <n v="38"/>
    <n v="100"/>
    <n v="78"/>
    <n v="34"/>
    <n v="8"/>
    <n v="26"/>
    <n v="0.4"/>
    <n v="0.62"/>
    <n v="21"/>
    <n v="38"/>
  </r>
  <r>
    <s v="2016-11-27 01"/>
    <x v="22"/>
    <x v="0"/>
    <s v="2016-11-27 "/>
    <x v="0"/>
    <n v="0"/>
    <n v="68"/>
    <n v="100"/>
    <n v="93"/>
    <n v="44"/>
    <n v="13"/>
    <n v="31"/>
    <n v="0.5"/>
    <n v="0.59"/>
    <n v="26"/>
    <n v="68"/>
  </r>
  <r>
    <s v="2016-11-27 00"/>
    <x v="23"/>
    <x v="0"/>
    <s v="2016-11-27 "/>
    <x v="0"/>
    <n v="0"/>
    <n v="73"/>
    <n v="100"/>
    <n v="97"/>
    <n v="42"/>
    <n v="14"/>
    <n v="28"/>
    <n v="0.4"/>
    <n v="1"/>
    <n v="42"/>
    <n v="73"/>
  </r>
  <r>
    <s v="2016-11-26 23"/>
    <x v="0"/>
    <x v="1"/>
    <s v="2016-11-26 "/>
    <x v="1"/>
    <n v="1"/>
    <n v="61"/>
    <n v="98"/>
    <n v="105"/>
    <n v="51"/>
    <n v="7"/>
    <n v="44"/>
    <n v="0.5"/>
    <n v="0.51"/>
    <n v="26"/>
    <n v="62"/>
  </r>
  <r>
    <s v="2016-11-26 22"/>
    <x v="1"/>
    <x v="1"/>
    <s v="2016-11-26 "/>
    <x v="1"/>
    <n v="1"/>
    <n v="52"/>
    <n v="98"/>
    <n v="110"/>
    <n v="51"/>
    <n v="6"/>
    <n v="45"/>
    <n v="0.5"/>
    <n v="0.31"/>
    <n v="16"/>
    <n v="53"/>
  </r>
  <r>
    <s v="2016-11-26 21"/>
    <x v="2"/>
    <x v="1"/>
    <s v="2016-11-26 "/>
    <x v="1"/>
    <n v="2"/>
    <n v="47"/>
    <n v="96"/>
    <n v="116"/>
    <n v="56"/>
    <n v="8"/>
    <n v="48"/>
    <n v="0.5"/>
    <n v="0.38"/>
    <n v="21"/>
    <n v="49"/>
  </r>
  <r>
    <s v="2016-11-26 20"/>
    <x v="3"/>
    <x v="1"/>
    <s v="2016-11-26 "/>
    <x v="1"/>
    <n v="2"/>
    <n v="49"/>
    <n v="96"/>
    <n v="112"/>
    <n v="51"/>
    <n v="8"/>
    <n v="43"/>
    <n v="0.5"/>
    <n v="0.43"/>
    <n v="22"/>
    <n v="51"/>
  </r>
  <r>
    <s v="2016-11-26 19"/>
    <x v="4"/>
    <x v="1"/>
    <s v="2016-11-26 "/>
    <x v="1"/>
    <n v="10"/>
    <n v="55"/>
    <n v="85"/>
    <n v="108"/>
    <n v="46"/>
    <n v="5"/>
    <n v="41"/>
    <n v="0.4"/>
    <n v="0.37"/>
    <n v="17"/>
    <n v="65"/>
  </r>
  <r>
    <s v="2016-11-26 18"/>
    <x v="5"/>
    <x v="1"/>
    <s v="2016-11-26 "/>
    <x v="1"/>
    <n v="2"/>
    <n v="31"/>
    <n v="94"/>
    <n v="100"/>
    <n v="40"/>
    <n v="3"/>
    <n v="36"/>
    <n v="0.4"/>
    <n v="0.15"/>
    <n v="6"/>
    <n v="33"/>
  </r>
  <r>
    <s v="2016-11-26 17"/>
    <x v="6"/>
    <x v="1"/>
    <s v="2016-11-26 "/>
    <x v="1"/>
    <n v="6"/>
    <n v="32"/>
    <n v="84"/>
    <n v="85"/>
    <n v="34"/>
    <n v="5"/>
    <n v="30"/>
    <n v="0.4"/>
    <n v="0.35"/>
    <n v="12"/>
    <n v="38"/>
  </r>
  <r>
    <s v="2016-11-26 16"/>
    <x v="7"/>
    <x v="1"/>
    <s v="2016-11-26 "/>
    <x v="1"/>
    <n v="2"/>
    <n v="31"/>
    <n v="94"/>
    <n v="69"/>
    <n v="25"/>
    <n v="6"/>
    <n v="19"/>
    <n v="0.4"/>
    <n v="0.44"/>
    <n v="11"/>
    <n v="33"/>
  </r>
  <r>
    <s v="2016-11-26 15"/>
    <x v="8"/>
    <x v="1"/>
    <s v="2016-11-26 "/>
    <x v="1"/>
    <n v="4"/>
    <n v="49"/>
    <n v="92"/>
    <n v="58"/>
    <n v="22"/>
    <n v="4"/>
    <n v="18"/>
    <n v="0.4"/>
    <n v="0.32"/>
    <n v="7"/>
    <n v="53"/>
  </r>
  <r>
    <s v="2016-11-26 14"/>
    <x v="9"/>
    <x v="1"/>
    <s v="2016-11-26 "/>
    <x v="1"/>
    <n v="4"/>
    <n v="27"/>
    <n v="87"/>
    <n v="62"/>
    <n v="20"/>
    <n v="4"/>
    <n v="16"/>
    <n v="0.3"/>
    <n v="0.55000000000000004"/>
    <n v="11"/>
    <n v="31"/>
  </r>
  <r>
    <s v="2016-11-26 13"/>
    <x v="10"/>
    <x v="1"/>
    <s v="2016-11-26 "/>
    <x v="1"/>
    <n v="2"/>
    <n v="26"/>
    <n v="93"/>
    <n v="66"/>
    <n v="28"/>
    <n v="2"/>
    <n v="26"/>
    <n v="0.4"/>
    <n v="0.14000000000000001"/>
    <n v="4"/>
    <n v="28"/>
  </r>
  <r>
    <s v="2016-11-26 12"/>
    <x v="11"/>
    <x v="1"/>
    <s v="2016-11-26 "/>
    <x v="1"/>
    <n v="3"/>
    <n v="30"/>
    <n v="91"/>
    <n v="60"/>
    <n v="27"/>
    <n v="7"/>
    <n v="20"/>
    <n v="0.5"/>
    <n v="0.63"/>
    <n v="17"/>
    <n v="33"/>
  </r>
  <r>
    <s v="2016-11-26 11"/>
    <x v="12"/>
    <x v="1"/>
    <s v="2016-11-26 "/>
    <x v="1"/>
    <n v="3"/>
    <n v="39"/>
    <n v="93"/>
    <n v="57"/>
    <n v="24"/>
    <n v="5"/>
    <n v="18"/>
    <n v="0.4"/>
    <n v="0.42"/>
    <n v="10"/>
    <n v="42"/>
  </r>
  <r>
    <s v="2016-11-26 10"/>
    <x v="13"/>
    <x v="1"/>
    <s v="2016-11-26 "/>
    <x v="1"/>
    <n v="13"/>
    <n v="41"/>
    <n v="76"/>
    <n v="51"/>
    <n v="19"/>
    <n v="6"/>
    <n v="13"/>
    <n v="0.4"/>
    <n v="0.79"/>
    <n v="15"/>
    <n v="54"/>
  </r>
  <r>
    <s v="2016-11-26 09"/>
    <x v="14"/>
    <x v="1"/>
    <s v="2016-11-26 "/>
    <x v="1"/>
    <n v="6"/>
    <n v="23"/>
    <n v="79"/>
    <n v="45"/>
    <n v="17"/>
    <n v="2"/>
    <n v="15"/>
    <n v="0.4"/>
    <n v="0.28999999999999998"/>
    <n v="5"/>
    <n v="29"/>
  </r>
  <r>
    <s v="2016-11-26 08"/>
    <x v="15"/>
    <x v="1"/>
    <s v="2016-11-26 "/>
    <x v="1"/>
    <n v="2"/>
    <n v="18"/>
    <n v="90"/>
    <n v="37"/>
    <n v="15"/>
    <n v="2"/>
    <n v="13"/>
    <n v="0.4"/>
    <n v="0.27"/>
    <n v="4"/>
    <n v="20"/>
  </r>
  <r>
    <s v="2016-11-26 07"/>
    <x v="16"/>
    <x v="1"/>
    <s v="2016-11-26 "/>
    <x v="1"/>
    <n v="0"/>
    <n v="8"/>
    <n v="100"/>
    <n v="34"/>
    <n v="14"/>
    <n v="1"/>
    <n v="12"/>
    <n v="0.4"/>
    <n v="0.21"/>
    <n v="3"/>
    <n v="8"/>
  </r>
  <r>
    <s v="2016-11-26 06"/>
    <x v="17"/>
    <x v="1"/>
    <s v="2016-11-26 "/>
    <x v="1"/>
    <n v="1"/>
    <n v="8"/>
    <n v="89"/>
    <n v="31"/>
    <n v="12"/>
    <n v="2"/>
    <n v="11"/>
    <n v="0.4"/>
    <n v="0.33"/>
    <n v="4"/>
    <n v="9"/>
  </r>
  <r>
    <s v="2016-11-26 05"/>
    <x v="18"/>
    <x v="1"/>
    <s v="2016-11-26 "/>
    <x v="1"/>
    <n v="1"/>
    <n v="10"/>
    <n v="91"/>
    <n v="36"/>
    <n v="14"/>
    <n v="3"/>
    <n v="10"/>
    <n v="0.4"/>
    <n v="0.36"/>
    <n v="5"/>
    <n v="11"/>
  </r>
  <r>
    <s v="2016-11-26 04"/>
    <x v="19"/>
    <x v="1"/>
    <s v="2016-11-26 "/>
    <x v="1"/>
    <n v="8"/>
    <n v="29"/>
    <n v="78"/>
    <n v="43"/>
    <n v="18"/>
    <n v="9"/>
    <n v="9"/>
    <n v="0.4"/>
    <n v="1.1100000000000001"/>
    <n v="20"/>
    <n v="37"/>
  </r>
  <r>
    <s v="2016-11-26 03"/>
    <x v="20"/>
    <x v="1"/>
    <s v="2016-11-26 "/>
    <x v="1"/>
    <n v="0"/>
    <n v="37"/>
    <n v="100"/>
    <n v="58"/>
    <n v="24"/>
    <n v="6"/>
    <n v="17"/>
    <n v="0.4"/>
    <n v="0.71"/>
    <n v="17"/>
    <n v="37"/>
  </r>
  <r>
    <s v="2016-11-26 02"/>
    <x v="21"/>
    <x v="1"/>
    <s v="2016-11-26 "/>
    <x v="1"/>
    <n v="2"/>
    <n v="40"/>
    <n v="95"/>
    <n v="72"/>
    <n v="29"/>
    <n v="8"/>
    <n v="21"/>
    <n v="0.4"/>
    <n v="0.69"/>
    <n v="20"/>
    <n v="42"/>
  </r>
  <r>
    <s v="2016-11-26 01"/>
    <x v="22"/>
    <x v="1"/>
    <s v="2016-11-26 "/>
    <x v="1"/>
    <n v="3"/>
    <n v="32"/>
    <n v="91"/>
    <n v="85"/>
    <n v="34"/>
    <n v="6"/>
    <n v="28"/>
    <n v="0.4"/>
    <n v="0.53"/>
    <n v="18"/>
    <n v="35"/>
  </r>
  <r>
    <s v="2016-11-26 00"/>
    <x v="23"/>
    <x v="1"/>
    <s v="2016-11-26 "/>
    <x v="1"/>
    <n v="1"/>
    <n v="49"/>
    <n v="98"/>
    <n v="96"/>
    <n v="41"/>
    <n v="9"/>
    <n v="33"/>
    <n v="0.4"/>
    <n v="0.54"/>
    <n v="22"/>
    <n v="50"/>
  </r>
  <r>
    <s v="2016-11-25 23"/>
    <x v="0"/>
    <x v="2"/>
    <s v="2016-11-25 "/>
    <x v="2"/>
    <n v="4"/>
    <n v="63"/>
    <n v="94"/>
    <n v="99"/>
    <n v="38"/>
    <n v="7"/>
    <n v="31"/>
    <n v="0.4"/>
    <n v="0.66"/>
    <n v="25"/>
    <n v="67"/>
  </r>
  <r>
    <s v="2016-11-25 22"/>
    <x v="1"/>
    <x v="2"/>
    <s v="2016-11-25 "/>
    <x v="2"/>
    <n v="8"/>
    <n v="51"/>
    <n v="86"/>
    <n v="109"/>
    <n v="48"/>
    <n v="7"/>
    <n v="41"/>
    <n v="0.4"/>
    <n v="0.42"/>
    <n v="20"/>
    <n v="59"/>
  </r>
  <r>
    <s v="2016-11-25 21"/>
    <x v="2"/>
    <x v="2"/>
    <s v="2016-11-25 "/>
    <x v="2"/>
    <n v="2"/>
    <n v="49"/>
    <n v="96"/>
    <n v="111"/>
    <n v="48"/>
    <n v="7"/>
    <n v="41"/>
    <n v="0.4"/>
    <n v="0.42"/>
    <n v="20"/>
    <n v="51"/>
  </r>
  <r>
    <s v="2016-11-25 20"/>
    <x v="3"/>
    <x v="2"/>
    <s v="2016-11-25 "/>
    <x v="2"/>
    <n v="9"/>
    <n v="63"/>
    <n v="88"/>
    <n v="118"/>
    <n v="47"/>
    <n v="6"/>
    <n v="41"/>
    <n v="0.4"/>
    <n v="0.34"/>
    <n v="16"/>
    <n v="72"/>
  </r>
  <r>
    <s v="2016-11-25 19"/>
    <x v="4"/>
    <x v="2"/>
    <s v="2016-11-25 "/>
    <x v="2"/>
    <n v="4"/>
    <n v="65"/>
    <n v="94"/>
    <n v="112"/>
    <n v="51"/>
    <n v="14"/>
    <n v="36"/>
    <n v="0.5"/>
    <n v="0.47"/>
    <n v="24"/>
    <n v="69"/>
  </r>
  <r>
    <s v="2016-11-25 18"/>
    <x v="5"/>
    <x v="2"/>
    <s v="2016-11-25 "/>
    <x v="2"/>
    <n v="22"/>
    <n v="86"/>
    <n v="80"/>
    <n v="91"/>
    <n v="42"/>
    <n v="23"/>
    <n v="19"/>
    <n v="0.5"/>
    <n v="0.81"/>
    <n v="34"/>
    <n v="108"/>
  </r>
  <r>
    <s v="2016-11-25 17"/>
    <x v="6"/>
    <x v="2"/>
    <s v="2016-11-25 "/>
    <x v="2"/>
    <n v="18"/>
    <n v="68"/>
    <n v="79"/>
    <n v="90"/>
    <n v="37"/>
    <n v="15"/>
    <n v="22"/>
    <n v="0.4"/>
    <n v="0.78"/>
    <n v="29"/>
    <n v="86"/>
  </r>
  <r>
    <s v="2016-11-25 16"/>
    <x v="7"/>
    <x v="2"/>
    <s v="2016-11-25 "/>
    <x v="2"/>
    <n v="9"/>
    <n v="49"/>
    <n v="84"/>
    <n v="86"/>
    <n v="30"/>
    <n v="8"/>
    <n v="22"/>
    <n v="0.3"/>
    <n v="0.43"/>
    <n v="13"/>
    <n v="58"/>
  </r>
  <r>
    <s v="2016-11-25 15"/>
    <x v="8"/>
    <x v="2"/>
    <s v="2016-11-25 "/>
    <x v="2"/>
    <n v="7"/>
    <n v="44"/>
    <n v="86"/>
    <n v="74"/>
    <n v="26"/>
    <n v="9"/>
    <n v="16"/>
    <n v="0.4"/>
    <n v="0.65"/>
    <n v="17"/>
    <n v="51"/>
  </r>
  <r>
    <s v="2016-11-25 14"/>
    <x v="9"/>
    <x v="2"/>
    <s v="2016-11-25 "/>
    <x v="2"/>
    <n v="12"/>
    <n v="39"/>
    <n v="76"/>
    <n v="67"/>
    <n v="22"/>
    <n v="7"/>
    <n v="15"/>
    <n v="0.3"/>
    <n v="0.55000000000000004"/>
    <n v="12"/>
    <n v="51"/>
  </r>
  <r>
    <s v="2016-11-25 13"/>
    <x v="10"/>
    <x v="2"/>
    <s v="2016-11-25 "/>
    <x v="2"/>
    <n v="3"/>
    <n v="42"/>
    <n v="93"/>
    <n v="71"/>
    <n v="23"/>
    <n v="5"/>
    <n v="19"/>
    <n v="0.3"/>
    <n v="0.56999999999999995"/>
    <n v="13"/>
    <n v="45"/>
  </r>
  <r>
    <s v="2016-11-25 12"/>
    <x v="11"/>
    <x v="2"/>
    <s v="2016-11-25 "/>
    <x v="2"/>
    <n v="8"/>
    <n v="36"/>
    <n v="82"/>
    <n v="74"/>
    <n v="27"/>
    <n v="6"/>
    <n v="21"/>
    <n v="0.4"/>
    <n v="0.52"/>
    <n v="14"/>
    <n v="44"/>
  </r>
  <r>
    <s v="2016-11-25 11"/>
    <x v="12"/>
    <x v="2"/>
    <s v="2016-11-25 "/>
    <x v="2"/>
    <n v="13"/>
    <n v="40"/>
    <n v="75"/>
    <n v="71"/>
    <n v="27"/>
    <n v="8"/>
    <n v="19"/>
    <n v="0.4"/>
    <n v="0.52"/>
    <n v="14"/>
    <n v="53"/>
  </r>
  <r>
    <s v="2016-11-25 10"/>
    <x v="13"/>
    <x v="2"/>
    <s v="2016-11-25 "/>
    <x v="2"/>
    <n v="12"/>
    <n v="55"/>
    <n v="82"/>
    <n v="75"/>
    <n v="28"/>
    <n v="12"/>
    <n v="17"/>
    <n v="0.4"/>
    <n v="0.68"/>
    <n v="19"/>
    <n v="67"/>
  </r>
  <r>
    <s v="2016-11-25 09"/>
    <x v="14"/>
    <x v="2"/>
    <s v="2016-11-25 "/>
    <x v="2"/>
    <n v="49"/>
    <n v="66"/>
    <n v="57"/>
    <n v="70"/>
    <n v="26"/>
    <n v="16"/>
    <n v="10"/>
    <n v="0.4"/>
    <n v="1.23"/>
    <n v="32"/>
    <n v="115"/>
  </r>
  <r>
    <s v="2016-11-25 08"/>
    <x v="15"/>
    <x v="2"/>
    <s v="2016-11-25 "/>
    <x v="2"/>
    <n v="38"/>
    <n v="50"/>
    <n v="57"/>
    <n v="58"/>
    <n v="19"/>
    <n v="11"/>
    <n v="8"/>
    <n v="0.3"/>
    <n v="1.32"/>
    <n v="25"/>
    <n v="88"/>
  </r>
  <r>
    <s v="2016-11-25 07"/>
    <x v="16"/>
    <x v="2"/>
    <s v="2016-11-25 "/>
    <x v="2"/>
    <n v="16"/>
    <n v="27"/>
    <n v="63"/>
    <n v="45"/>
    <n v="15"/>
    <n v="4"/>
    <n v="11"/>
    <n v="0.3"/>
    <n v="0.73"/>
    <n v="11"/>
    <n v="43"/>
  </r>
  <r>
    <s v="2016-11-25 06"/>
    <x v="17"/>
    <x v="2"/>
    <s v="2016-11-25 "/>
    <x v="2"/>
    <n v="2"/>
    <n v="3"/>
    <n v="60"/>
    <n v="31"/>
    <n v="10"/>
    <n v="0"/>
    <n v="10"/>
    <n v="0.3"/>
    <n v="0.1"/>
    <n v="1"/>
    <n v="5"/>
  </r>
  <r>
    <s v="2016-11-25 05"/>
    <x v="18"/>
    <x v="2"/>
    <s v="2016-11-25 "/>
    <x v="2"/>
    <n v="1"/>
    <n v="2"/>
    <n v="67"/>
    <n v="24"/>
    <n v="11"/>
    <n v="0"/>
    <n v="10"/>
    <n v="0.5"/>
    <n v="0.09"/>
    <n v="1"/>
    <n v="3"/>
  </r>
  <r>
    <s v="2016-11-25 04"/>
    <x v="19"/>
    <x v="2"/>
    <s v="2016-11-25 "/>
    <x v="2"/>
    <n v="2"/>
    <n v="4"/>
    <n v="67"/>
    <n v="24"/>
    <n v="8"/>
    <n v="0"/>
    <n v="8"/>
    <n v="0.3"/>
    <n v="0.13"/>
    <n v="1"/>
    <n v="6"/>
  </r>
  <r>
    <s v="2016-11-25 03"/>
    <x v="20"/>
    <x v="2"/>
    <s v="2016-11-25 "/>
    <x v="2"/>
    <n v="2"/>
    <n v="8"/>
    <n v="80"/>
    <n v="26"/>
    <n v="9"/>
    <n v="1"/>
    <n v="8"/>
    <n v="0.3"/>
    <n v="0.22"/>
    <n v="2"/>
    <n v="10"/>
  </r>
  <r>
    <s v="2016-11-25 02"/>
    <x v="21"/>
    <x v="2"/>
    <s v="2016-11-25 "/>
    <x v="2"/>
    <n v="2"/>
    <n v="12"/>
    <n v="86"/>
    <n v="35"/>
    <n v="11"/>
    <n v="2"/>
    <n v="9"/>
    <n v="0.3"/>
    <n v="0.55000000000000004"/>
    <n v="6"/>
    <n v="14"/>
  </r>
  <r>
    <s v="2016-11-25 01"/>
    <x v="22"/>
    <x v="2"/>
    <s v="2016-11-25 "/>
    <x v="2"/>
    <n v="1"/>
    <n v="19"/>
    <n v="95"/>
    <n v="50"/>
    <n v="18"/>
    <n v="2"/>
    <n v="16"/>
    <n v="0.4"/>
    <n v="0.28000000000000003"/>
    <n v="5"/>
    <n v="20"/>
  </r>
  <r>
    <s v="2016-11-25 00"/>
    <x v="23"/>
    <x v="2"/>
    <s v="2016-11-25 "/>
    <x v="2"/>
    <n v="6"/>
    <n v="48"/>
    <n v="89"/>
    <n v="57"/>
    <n v="23"/>
    <n v="8"/>
    <n v="15"/>
    <n v="0.4"/>
    <n v="0.7"/>
    <n v="16"/>
    <n v="54"/>
  </r>
  <r>
    <s v="2016-11-24 23"/>
    <x v="0"/>
    <x v="3"/>
    <s v="2016-11-24 "/>
    <x v="3"/>
    <n v="9"/>
    <n v="63"/>
    <n v="88"/>
    <n v="72"/>
    <n v="28"/>
    <n v="11"/>
    <n v="17"/>
    <n v="0.4"/>
    <n v="1.1100000000000001"/>
    <n v="31"/>
    <n v="72"/>
  </r>
  <r>
    <s v="2016-11-24 22"/>
    <x v="1"/>
    <x v="3"/>
    <s v="2016-11-24 "/>
    <x v="3"/>
    <n v="4"/>
    <n v="42"/>
    <n v="91"/>
    <n v="93"/>
    <n v="36"/>
    <n v="7"/>
    <n v="29"/>
    <n v="0.4"/>
    <n v="0.47"/>
    <n v="17"/>
    <n v="46"/>
  </r>
  <r>
    <s v="2016-11-24 21"/>
    <x v="2"/>
    <x v="3"/>
    <s v="2016-11-24 "/>
    <x v="3"/>
    <n v="3"/>
    <n v="52"/>
    <n v="95"/>
    <n v="116"/>
    <n v="44"/>
    <n v="7"/>
    <n v="37"/>
    <n v="0.4"/>
    <n v="0.41"/>
    <n v="18"/>
    <n v="55"/>
  </r>
  <r>
    <s v="2016-11-24 20"/>
    <x v="3"/>
    <x v="3"/>
    <s v="2016-11-24 "/>
    <x v="3"/>
    <n v="0"/>
    <n v="56"/>
    <n v="100"/>
    <n v="123"/>
    <n v="50"/>
    <n v="8"/>
    <n v="42"/>
    <n v="0.4"/>
    <n v="0.34"/>
    <n v="17"/>
    <n v="56"/>
  </r>
  <r>
    <s v="2016-11-24 19"/>
    <x v="4"/>
    <x v="3"/>
    <s v="2016-11-24 "/>
    <x v="3"/>
    <n v="11"/>
    <n v="78"/>
    <n v="88"/>
    <n v="116"/>
    <n v="45"/>
    <n v="16"/>
    <n v="28"/>
    <n v="0.4"/>
    <n v="0.71"/>
    <n v="32"/>
    <n v="89"/>
  </r>
  <r>
    <s v="2016-11-24 18"/>
    <x v="5"/>
    <x v="3"/>
    <s v="2016-11-24 "/>
    <x v="3"/>
    <n v="12"/>
    <n v="79"/>
    <n v="87"/>
    <n v="106"/>
    <n v="43"/>
    <n v="23"/>
    <n v="21"/>
    <n v="0.4"/>
    <n v="0.86"/>
    <n v="37"/>
    <n v="91"/>
  </r>
  <r>
    <s v="2016-11-24 17"/>
    <x v="6"/>
    <x v="3"/>
    <s v="2016-11-24 "/>
    <x v="3"/>
    <n v="4"/>
    <n v="57"/>
    <n v="93"/>
    <n v="91"/>
    <n v="34"/>
    <n v="11"/>
    <n v="23"/>
    <n v="0.4"/>
    <n v="0.62"/>
    <n v="21"/>
    <n v="61"/>
  </r>
  <r>
    <s v="2016-11-24 16"/>
    <x v="7"/>
    <x v="3"/>
    <s v="2016-11-24 "/>
    <x v="3"/>
    <n v="0"/>
    <n v="39"/>
    <n v="100"/>
    <n v="101"/>
    <n v="36"/>
    <n v="6"/>
    <n v="30"/>
    <n v="0.4"/>
    <n v="0.44"/>
    <n v="16"/>
    <n v="39"/>
  </r>
  <r>
    <s v="2016-11-24 15"/>
    <x v="8"/>
    <x v="3"/>
    <s v="2016-11-24 "/>
    <x v="3"/>
    <n v="2"/>
    <n v="19"/>
    <n v="90"/>
    <n v="86"/>
    <n v="32"/>
    <n v="2"/>
    <n v="30"/>
    <n v="0.4"/>
    <n v="0.16"/>
    <n v="5"/>
    <n v="21"/>
  </r>
  <r>
    <s v="2016-11-24 14"/>
    <x v="9"/>
    <x v="3"/>
    <s v="2016-11-24 "/>
    <x v="3"/>
    <n v="2"/>
    <n v="24"/>
    <n v="92"/>
    <n v="71"/>
    <n v="28"/>
    <n v="3"/>
    <n v="26"/>
    <n v="0.4"/>
    <n v="0.25"/>
    <n v="7"/>
    <n v="26"/>
  </r>
  <r>
    <s v="2016-11-24 13"/>
    <x v="10"/>
    <x v="3"/>
    <s v="2016-11-24 "/>
    <x v="3"/>
    <n v="6"/>
    <n v="36"/>
    <n v="86"/>
    <n v="72"/>
    <n v="26"/>
    <n v="6"/>
    <n v="20"/>
    <n v="0.4"/>
    <n v="0.35"/>
    <n v="9"/>
    <n v="42"/>
  </r>
  <r>
    <s v="2016-11-24 12"/>
    <x v="11"/>
    <x v="3"/>
    <s v="2016-11-24 "/>
    <x v="3"/>
    <n v="9"/>
    <n v="28"/>
    <n v="76"/>
    <n v="73"/>
    <n v="27"/>
    <n v="4"/>
    <n v="23"/>
    <n v="0.4"/>
    <n v="0.33"/>
    <n v="9"/>
    <n v="37"/>
  </r>
  <r>
    <s v="2016-11-24 11"/>
    <x v="12"/>
    <x v="3"/>
    <s v="2016-11-24 "/>
    <x v="3"/>
    <n v="9"/>
    <n v="39"/>
    <n v="81"/>
    <n v="83"/>
    <n v="36"/>
    <n v="7"/>
    <n v="28"/>
    <n v="0.4"/>
    <n v="0.33"/>
    <n v="12"/>
    <n v="48"/>
  </r>
  <r>
    <s v="2016-11-24 10"/>
    <x v="13"/>
    <x v="3"/>
    <s v="2016-11-24 "/>
    <x v="3"/>
    <n v="14"/>
    <n v="49"/>
    <n v="78"/>
    <n v="83"/>
    <n v="39"/>
    <n v="9"/>
    <n v="30"/>
    <n v="0.5"/>
    <n v="0.46"/>
    <n v="18"/>
    <n v="63"/>
  </r>
  <r>
    <s v="2016-11-24 09"/>
    <x v="14"/>
    <x v="3"/>
    <s v="2016-11-24 "/>
    <x v="3"/>
    <n v="38"/>
    <n v="72"/>
    <n v="65"/>
    <n v="73"/>
    <n v="31"/>
    <n v="17"/>
    <n v="14"/>
    <n v="0.4"/>
    <n v="1.03"/>
    <n v="32"/>
    <n v="110"/>
  </r>
  <r>
    <s v="2016-11-24 08"/>
    <x v="15"/>
    <x v="3"/>
    <s v="2016-11-24 "/>
    <x v="3"/>
    <n v="36"/>
    <n v="60"/>
    <n v="63"/>
    <n v="66"/>
    <n v="27"/>
    <n v="13"/>
    <n v="14"/>
    <n v="0.4"/>
    <n v="0.93"/>
    <n v="25"/>
    <n v="96"/>
  </r>
  <r>
    <s v="2016-11-24 07"/>
    <x v="16"/>
    <x v="3"/>
    <s v="2016-11-24 "/>
    <x v="3"/>
    <n v="14"/>
    <n v="26"/>
    <n v="65"/>
    <n v="53"/>
    <n v="18"/>
    <n v="2"/>
    <n v="16"/>
    <n v="0.3"/>
    <n v="0.44"/>
    <n v="8"/>
    <n v="40"/>
  </r>
  <r>
    <s v="2016-11-24 06"/>
    <x v="17"/>
    <x v="3"/>
    <s v="2016-11-24 "/>
    <x v="3"/>
    <n v="3"/>
    <n v="8"/>
    <n v="73"/>
    <n v="37"/>
    <n v="14"/>
    <n v="0"/>
    <n v="14"/>
    <n v="0.4"/>
    <n v="7.0000000000000007E-2"/>
    <n v="1"/>
    <n v="11"/>
  </r>
  <r>
    <s v="2016-11-24 05"/>
    <x v="18"/>
    <x v="3"/>
    <s v="2016-11-24 "/>
    <x v="3"/>
    <n v="1"/>
    <n v="4"/>
    <n v="80"/>
    <n v="31"/>
    <n v="16"/>
    <n v="0"/>
    <n v="16"/>
    <n v="0.5"/>
    <n v="0.06"/>
    <n v="1"/>
    <n v="5"/>
  </r>
  <r>
    <s v="2016-11-24 04"/>
    <x v="19"/>
    <x v="3"/>
    <s v="2016-11-24 "/>
    <x v="3"/>
    <n v="8"/>
    <n v="4"/>
    <n v="33"/>
    <n v="25"/>
    <n v="11"/>
    <n v="0"/>
    <n v="11"/>
    <n v="0.4"/>
    <n v="0"/>
    <n v="0"/>
    <n v="12"/>
  </r>
  <r>
    <s v="2016-11-24 03"/>
    <x v="20"/>
    <x v="3"/>
    <s v="2016-11-24 "/>
    <x v="3"/>
    <n v="11"/>
    <n v="4"/>
    <n v="27"/>
    <n v="22"/>
    <n v="8"/>
    <n v="1"/>
    <n v="7"/>
    <n v="0.4"/>
    <n v="0.13"/>
    <n v="1"/>
    <n v="15"/>
  </r>
  <r>
    <s v="2016-11-24 02"/>
    <x v="21"/>
    <x v="3"/>
    <s v="2016-11-24 "/>
    <x v="3"/>
    <n v="5"/>
    <n v="11"/>
    <n v="69"/>
    <n v="34"/>
    <n v="13"/>
    <n v="0"/>
    <n v="12"/>
    <n v="0.4"/>
    <n v="0.08"/>
    <n v="1"/>
    <n v="16"/>
  </r>
  <r>
    <s v="2016-11-24 01"/>
    <x v="22"/>
    <x v="3"/>
    <s v="2016-11-24 "/>
    <x v="3"/>
    <n v="3"/>
    <n v="25"/>
    <n v="89"/>
    <n v="53"/>
    <n v="22"/>
    <n v="2"/>
    <n v="20"/>
    <n v="0.4"/>
    <n v="0.23"/>
    <n v="5"/>
    <n v="28"/>
  </r>
  <r>
    <s v="2016-11-24 00"/>
    <x v="23"/>
    <x v="3"/>
    <s v="2016-11-24 "/>
    <x v="3"/>
    <n v="4"/>
    <n v="53"/>
    <n v="93"/>
    <n v="70"/>
    <n v="27"/>
    <n v="8"/>
    <n v="19"/>
    <n v="0.4"/>
    <n v="0.63"/>
    <n v="17"/>
    <n v="57"/>
  </r>
  <r>
    <s v="2016-11-23 23"/>
    <x v="0"/>
    <x v="4"/>
    <s v="2016-11-23 "/>
    <x v="4"/>
    <n v="1"/>
    <n v="72"/>
    <n v="99"/>
    <n v="75"/>
    <n v="37"/>
    <n v="12"/>
    <n v="24"/>
    <n v="0.5"/>
    <n v="1"/>
    <n v="37"/>
    <n v="73"/>
  </r>
  <r>
    <s v="2016-11-23 22"/>
    <x v="1"/>
    <x v="4"/>
    <s v="2016-11-23 "/>
    <x v="4"/>
    <n v="0"/>
    <n v="61"/>
    <n v="100"/>
    <n v="87"/>
    <n v="40"/>
    <n v="7"/>
    <n v="32"/>
    <n v="0.5"/>
    <n v="0.68"/>
    <n v="27"/>
    <n v="61"/>
  </r>
  <r>
    <s v="2016-11-23 21"/>
    <x v="2"/>
    <x v="4"/>
    <s v="2016-11-23 "/>
    <x v="4"/>
    <n v="3"/>
    <n v="56"/>
    <n v="95"/>
    <n v="110"/>
    <n v="44"/>
    <n v="6"/>
    <n v="38"/>
    <n v="0.4"/>
    <n v="0.41"/>
    <n v="18"/>
    <n v="59"/>
  </r>
  <r>
    <s v="2016-11-23 20"/>
    <x v="3"/>
    <x v="4"/>
    <s v="2016-11-23 "/>
    <x v="4"/>
    <n v="1"/>
    <n v="54"/>
    <n v="98"/>
    <n v="115"/>
    <n v="53"/>
    <n v="8"/>
    <n v="45"/>
    <n v="0.5"/>
    <n v="0.32"/>
    <n v="17"/>
    <n v="55"/>
  </r>
  <r>
    <s v="2016-11-23 19"/>
    <x v="4"/>
    <x v="4"/>
    <s v="2016-11-23 "/>
    <x v="4"/>
    <n v="6"/>
    <n v="71"/>
    <n v="92"/>
    <n v="115"/>
    <n v="49"/>
    <n v="18"/>
    <n v="32"/>
    <n v="0.4"/>
    <n v="0.61"/>
    <n v="30"/>
    <n v="77"/>
  </r>
  <r>
    <s v="2016-11-23 18"/>
    <x v="5"/>
    <x v="4"/>
    <s v="2016-11-23 "/>
    <x v="4"/>
    <n v="24"/>
    <n v="116"/>
    <n v="83"/>
    <n v="102"/>
    <n v="40"/>
    <n v="23"/>
    <n v="17"/>
    <n v="0.4"/>
    <n v="1.07"/>
    <n v="43"/>
    <n v="140"/>
  </r>
  <r>
    <s v="2016-11-23 17"/>
    <x v="6"/>
    <x v="4"/>
    <s v="2016-11-23 "/>
    <x v="4"/>
    <n v="8"/>
    <n v="158"/>
    <n v="95"/>
    <n v="102"/>
    <n v="45"/>
    <n v="8"/>
    <n v="37"/>
    <n v="0.4"/>
    <n v="0.53"/>
    <n v="24"/>
    <n v="166"/>
  </r>
  <r>
    <s v="2016-11-23 16"/>
    <x v="7"/>
    <x v="4"/>
    <s v="2016-11-23 "/>
    <x v="4"/>
    <n v="1"/>
    <n v="25"/>
    <n v="96"/>
    <n v="89"/>
    <n v="32"/>
    <n v="3"/>
    <n v="29"/>
    <n v="0.4"/>
    <n v="0.19"/>
    <n v="6"/>
    <n v="26"/>
  </r>
  <r>
    <s v="2016-11-23 15"/>
    <x v="8"/>
    <x v="4"/>
    <s v="2016-11-23 "/>
    <x v="4"/>
    <n v="1"/>
    <n v="27"/>
    <n v="96"/>
    <n v="76"/>
    <n v="24"/>
    <n v="2"/>
    <n v="22"/>
    <n v="0.3"/>
    <n v="0.25"/>
    <n v="6"/>
    <n v="28"/>
  </r>
  <r>
    <s v="2016-11-23 14"/>
    <x v="9"/>
    <x v="4"/>
    <s v="2016-11-23 "/>
    <x v="4"/>
    <n v="2"/>
    <n v="18"/>
    <n v="90"/>
    <n v="78"/>
    <n v="26"/>
    <n v="3"/>
    <n v="23"/>
    <n v="0.3"/>
    <n v="0.19"/>
    <n v="5"/>
    <n v="20"/>
  </r>
  <r>
    <s v="2016-11-23 13"/>
    <x v="10"/>
    <x v="4"/>
    <s v="2016-11-23 "/>
    <x v="4"/>
    <n v="4"/>
    <n v="25"/>
    <n v="86"/>
    <n v="76"/>
    <n v="24"/>
    <n v="5"/>
    <n v="19"/>
    <n v="0.3"/>
    <n v="0.33"/>
    <n v="8"/>
    <n v="29"/>
  </r>
  <r>
    <s v="2016-11-23 12"/>
    <x v="11"/>
    <x v="4"/>
    <s v="2016-11-23 "/>
    <x v="4"/>
    <n v="0"/>
    <n v="26"/>
    <n v="100"/>
    <n v="75"/>
    <n v="32"/>
    <n v="2"/>
    <n v="30"/>
    <n v="0.4"/>
    <n v="0.19"/>
    <n v="6"/>
    <n v="26"/>
  </r>
  <r>
    <s v="2016-11-23 11"/>
    <x v="12"/>
    <x v="4"/>
    <s v="2016-11-23 "/>
    <x v="4"/>
    <n v="5"/>
    <n v="20"/>
    <n v="80"/>
    <n v="87"/>
    <n v="33"/>
    <n v="6"/>
    <n v="28"/>
    <n v="0.4"/>
    <n v="0.27"/>
    <n v="9"/>
    <n v="25"/>
  </r>
  <r>
    <s v="2016-11-23 10"/>
    <x v="13"/>
    <x v="4"/>
    <s v="2016-11-23 "/>
    <x v="4"/>
    <n v="10"/>
    <n v="31"/>
    <n v="76"/>
    <n v="92"/>
    <n v="41"/>
    <n v="9"/>
    <n v="32"/>
    <n v="0.4"/>
    <n v="0.34"/>
    <n v="14"/>
    <n v="41"/>
  </r>
  <r>
    <s v="2016-11-23 09"/>
    <x v="14"/>
    <x v="4"/>
    <s v="2016-11-23 "/>
    <x v="4"/>
    <n v="43"/>
    <n v="68"/>
    <n v="61"/>
    <n v="80"/>
    <n v="34"/>
    <n v="17"/>
    <n v="17"/>
    <n v="0.4"/>
    <n v="0.88"/>
    <n v="30"/>
    <n v="111"/>
  </r>
  <r>
    <s v="2016-11-23 08"/>
    <x v="15"/>
    <x v="4"/>
    <s v="2016-11-23 "/>
    <x v="4"/>
    <n v="35"/>
    <n v="43"/>
    <n v="55"/>
    <n v="69"/>
    <n v="29"/>
    <n v="13"/>
    <n v="16"/>
    <n v="0.4"/>
    <n v="0.86"/>
    <n v="25"/>
    <n v="78"/>
  </r>
  <r>
    <s v="2016-11-23 07"/>
    <x v="16"/>
    <x v="4"/>
    <s v="2016-11-23 "/>
    <x v="4"/>
    <n v="4"/>
    <n v="18"/>
    <n v="82"/>
    <n v="49"/>
    <n v="17"/>
    <n v="2"/>
    <n v="15"/>
    <n v="0.3"/>
    <n v="0.47"/>
    <n v="8"/>
    <n v="22"/>
  </r>
  <r>
    <s v="2016-11-23 06"/>
    <x v="17"/>
    <x v="4"/>
    <s v="2016-11-23 "/>
    <x v="4"/>
    <n v="2"/>
    <n v="8"/>
    <n v="80"/>
    <n v="33"/>
    <n v="14"/>
    <n v="0"/>
    <n v="14"/>
    <n v="0.4"/>
    <n v="0"/>
    <n v="0"/>
    <n v="10"/>
  </r>
  <r>
    <s v="2016-11-23 05"/>
    <x v="18"/>
    <x v="4"/>
    <s v="2016-11-23 "/>
    <x v="4"/>
    <n v="0"/>
    <n v="3"/>
    <n v="100"/>
    <n v="26"/>
    <n v="12"/>
    <n v="0"/>
    <n v="11"/>
    <n v="0.5"/>
    <n v="0"/>
    <n v="0"/>
    <n v="3"/>
  </r>
  <r>
    <s v="2016-11-23 04"/>
    <x v="19"/>
    <x v="4"/>
    <s v="2016-11-23 "/>
    <x v="4"/>
    <n v="3"/>
    <n v="3"/>
    <n v="50"/>
    <n v="21"/>
    <n v="9"/>
    <n v="0"/>
    <n v="9"/>
    <n v="0.4"/>
    <n v="0.22"/>
    <n v="2"/>
    <n v="6"/>
  </r>
  <r>
    <s v="2016-11-23 03"/>
    <x v="20"/>
    <x v="4"/>
    <s v="2016-11-23 "/>
    <x v="4"/>
    <n v="3"/>
    <n v="7"/>
    <n v="70"/>
    <n v="24"/>
    <n v="9"/>
    <n v="1"/>
    <n v="9"/>
    <n v="0.4"/>
    <n v="0.11"/>
    <n v="1"/>
    <n v="10"/>
  </r>
  <r>
    <s v="2016-11-23 02"/>
    <x v="21"/>
    <x v="4"/>
    <s v="2016-11-23 "/>
    <x v="4"/>
    <n v="1"/>
    <n v="6"/>
    <n v="86"/>
    <n v="28"/>
    <n v="13"/>
    <n v="1"/>
    <n v="12"/>
    <n v="0.5"/>
    <n v="0.23"/>
    <n v="3"/>
    <n v="7"/>
  </r>
  <r>
    <s v="2016-11-23 01"/>
    <x v="22"/>
    <x v="4"/>
    <s v="2016-11-23 "/>
    <x v="4"/>
    <n v="3"/>
    <n v="7"/>
    <n v="70"/>
    <n v="42"/>
    <n v="18"/>
    <n v="2"/>
    <n v="16"/>
    <n v="0.4"/>
    <n v="0.06"/>
    <n v="1"/>
    <n v="10"/>
  </r>
  <r>
    <s v="2016-11-23 00"/>
    <x v="23"/>
    <x v="4"/>
    <s v="2016-11-23 "/>
    <x v="4"/>
    <n v="4"/>
    <n v="24"/>
    <n v="86"/>
    <n v="48"/>
    <n v="22"/>
    <n v="4"/>
    <n v="19"/>
    <n v="0.5"/>
    <n v="0.41"/>
    <n v="9"/>
    <n v="28"/>
  </r>
  <r>
    <s v="2016-11-22 23"/>
    <x v="0"/>
    <x v="5"/>
    <s v="2016-11-22 "/>
    <x v="5"/>
    <n v="9"/>
    <n v="34"/>
    <n v="79"/>
    <n v="64"/>
    <n v="25"/>
    <n v="5"/>
    <n v="20"/>
    <n v="0.4"/>
    <n v="0.48"/>
    <n v="12"/>
    <n v="43"/>
  </r>
  <r>
    <s v="2016-11-22 22"/>
    <x v="1"/>
    <x v="5"/>
    <s v="2016-11-22 "/>
    <x v="5"/>
    <n v="2"/>
    <n v="44"/>
    <n v="96"/>
    <n v="82"/>
    <n v="30"/>
    <n v="7"/>
    <n v="24"/>
    <n v="0.4"/>
    <n v="0.67"/>
    <n v="20"/>
    <n v="46"/>
  </r>
  <r>
    <s v="2016-11-22 21"/>
    <x v="2"/>
    <x v="5"/>
    <s v="2016-11-22 "/>
    <x v="5"/>
    <n v="1"/>
    <n v="30"/>
    <n v="97"/>
    <n v="92"/>
    <n v="40"/>
    <n v="4"/>
    <n v="36"/>
    <n v="0.4"/>
    <n v="0.28000000000000003"/>
    <n v="11"/>
    <n v="31"/>
  </r>
  <r>
    <s v="2016-11-22 20"/>
    <x v="3"/>
    <x v="5"/>
    <s v="2016-11-22 "/>
    <x v="5"/>
    <n v="6"/>
    <n v="47"/>
    <n v="89"/>
    <n v="107"/>
    <n v="50"/>
    <n v="11"/>
    <n v="39"/>
    <n v="0.5"/>
    <n v="0.46"/>
    <n v="23"/>
    <n v="53"/>
  </r>
  <r>
    <s v="2016-11-22 19"/>
    <x v="4"/>
    <x v="5"/>
    <s v="2016-11-22 "/>
    <x v="5"/>
    <n v="9"/>
    <n v="65"/>
    <n v="88"/>
    <n v="104"/>
    <n v="45"/>
    <n v="14"/>
    <n v="31"/>
    <n v="0.4"/>
    <n v="0.56000000000000005"/>
    <n v="25"/>
    <n v="74"/>
  </r>
  <r>
    <s v="2016-11-22 18"/>
    <x v="5"/>
    <x v="5"/>
    <s v="2016-11-22 "/>
    <x v="5"/>
    <n v="12"/>
    <n v="66"/>
    <n v="85"/>
    <n v="113"/>
    <n v="38"/>
    <n v="12"/>
    <n v="26"/>
    <n v="0.3"/>
    <n v="0.57999999999999996"/>
    <n v="22"/>
    <n v="78"/>
  </r>
  <r>
    <s v="2016-11-22 17"/>
    <x v="6"/>
    <x v="5"/>
    <s v="2016-11-22 "/>
    <x v="5"/>
    <n v="1"/>
    <n v="35"/>
    <n v="97"/>
    <n v="117"/>
    <n v="45"/>
    <n v="3"/>
    <n v="42"/>
    <n v="0.4"/>
    <n v="0.2"/>
    <n v="9"/>
    <n v="36"/>
  </r>
  <r>
    <s v="2016-11-22 16"/>
    <x v="7"/>
    <x v="5"/>
    <s v="2016-11-22 "/>
    <x v="5"/>
    <n v="0"/>
    <n v="24"/>
    <n v="100"/>
    <n v="91"/>
    <n v="38"/>
    <n v="4"/>
    <n v="34"/>
    <n v="0.4"/>
    <n v="0.21"/>
    <n v="8"/>
    <n v="24"/>
  </r>
  <r>
    <s v="2016-11-22 15"/>
    <x v="8"/>
    <x v="5"/>
    <s v="2016-11-22 "/>
    <x v="5"/>
    <n v="0"/>
    <n v="9"/>
    <n v="100"/>
    <n v="77"/>
    <n v="27"/>
    <n v="1"/>
    <n v="27"/>
    <n v="0.4"/>
    <n v="0.04"/>
    <n v="1"/>
    <n v="9"/>
  </r>
  <r>
    <s v="2016-11-22 14"/>
    <x v="9"/>
    <x v="5"/>
    <s v="2016-11-22 "/>
    <x v="5"/>
    <n v="1"/>
    <n v="19"/>
    <n v="95"/>
    <n v="75"/>
    <n v="32"/>
    <n v="2"/>
    <n v="30"/>
    <n v="0.4"/>
    <n v="0.09"/>
    <n v="3"/>
    <n v="20"/>
  </r>
  <r>
    <s v="2016-11-22 13"/>
    <x v="10"/>
    <x v="5"/>
    <s v="2016-11-22 "/>
    <x v="5"/>
    <n v="1"/>
    <n v="23"/>
    <n v="96"/>
    <n v="74"/>
    <n v="27"/>
    <n v="3"/>
    <n v="24"/>
    <n v="0.4"/>
    <n v="0.19"/>
    <n v="5"/>
    <n v="24"/>
  </r>
  <r>
    <s v="2016-11-22 12"/>
    <x v="11"/>
    <x v="5"/>
    <s v="2016-11-22 "/>
    <x v="5"/>
    <n v="2"/>
    <n v="15"/>
    <n v="88"/>
    <n v="70"/>
    <n v="22"/>
    <n v="4"/>
    <n v="19"/>
    <n v="0.3"/>
    <n v="0.27"/>
    <n v="6"/>
    <n v="17"/>
  </r>
  <r>
    <s v="2016-11-22 11"/>
    <x v="12"/>
    <x v="5"/>
    <s v="2016-11-22 "/>
    <x v="5"/>
    <n v="0"/>
    <n v="21"/>
    <n v="100"/>
    <n v="84"/>
    <n v="30"/>
    <n v="2"/>
    <n v="28"/>
    <n v="0.4"/>
    <n v="0.13"/>
    <n v="4"/>
    <n v="21"/>
  </r>
  <r>
    <s v="2016-11-22 10"/>
    <x v="13"/>
    <x v="5"/>
    <s v="2016-11-22 "/>
    <x v="5"/>
    <n v="6"/>
    <n v="39"/>
    <n v="87"/>
    <n v="75"/>
    <n v="32"/>
    <n v="9"/>
    <n v="22"/>
    <n v="0.4"/>
    <n v="0.5"/>
    <n v="16"/>
    <n v="45"/>
  </r>
  <r>
    <s v="2016-11-22 09"/>
    <x v="14"/>
    <x v="5"/>
    <s v="2016-11-22 "/>
    <x v="5"/>
    <n v="9"/>
    <n v="49"/>
    <n v="84"/>
    <n v="76"/>
    <n v="31"/>
    <n v="11"/>
    <n v="20"/>
    <n v="0.4"/>
    <n v="0.74"/>
    <n v="23"/>
    <n v="58"/>
  </r>
  <r>
    <s v="2016-11-22 08"/>
    <x v="15"/>
    <x v="5"/>
    <s v="2016-11-22 "/>
    <x v="5"/>
    <n v="11"/>
    <n v="42"/>
    <n v="79"/>
    <n v="64"/>
    <n v="23"/>
    <n v="10"/>
    <n v="13"/>
    <n v="0.4"/>
    <n v="0.91"/>
    <n v="21"/>
    <n v="53"/>
  </r>
  <r>
    <s v="2016-11-22 07"/>
    <x v="16"/>
    <x v="5"/>
    <s v="2016-11-22 "/>
    <x v="5"/>
    <n v="10"/>
    <n v="22"/>
    <n v="69"/>
    <n v="38"/>
    <n v="18"/>
    <n v="3"/>
    <n v="14"/>
    <n v="0.5"/>
    <n v="0.39"/>
    <n v="7"/>
    <n v="32"/>
  </r>
  <r>
    <s v="2016-11-22 06"/>
    <x v="17"/>
    <x v="5"/>
    <s v="2016-11-22 "/>
    <x v="5"/>
    <n v="2"/>
    <n v="8"/>
    <n v="80"/>
    <n v="27"/>
    <n v="11"/>
    <n v="0"/>
    <n v="11"/>
    <n v="0.4"/>
    <n v="0.09"/>
    <n v="1"/>
    <n v="10"/>
  </r>
  <r>
    <s v="2016-11-22 05"/>
    <x v="18"/>
    <x v="5"/>
    <s v="2016-11-22 "/>
    <x v="5"/>
    <n v="0"/>
    <n v="1"/>
    <n v="100"/>
    <n v="18"/>
    <n v="11"/>
    <n v="0"/>
    <n v="11"/>
    <n v="0.6"/>
    <n v="0"/>
    <n v="0"/>
    <n v="1"/>
  </r>
  <r>
    <s v="2016-11-22 04"/>
    <x v="19"/>
    <x v="5"/>
    <s v="2016-11-22 "/>
    <x v="5"/>
    <n v="0"/>
    <n v="4"/>
    <n v="100"/>
    <n v="17"/>
    <n v="8"/>
    <n v="0"/>
    <n v="8"/>
    <n v="0.5"/>
    <n v="0"/>
    <n v="0"/>
    <n v="4"/>
  </r>
  <r>
    <s v="2016-11-22 03"/>
    <x v="20"/>
    <x v="5"/>
    <s v="2016-11-22 "/>
    <x v="5"/>
    <n v="2"/>
    <n v="1"/>
    <n v="33"/>
    <n v="15"/>
    <n v="6"/>
    <n v="0"/>
    <n v="6"/>
    <n v="0.4"/>
    <n v="0"/>
    <n v="0"/>
    <n v="3"/>
  </r>
  <r>
    <s v="2016-11-22 02"/>
    <x v="21"/>
    <x v="5"/>
    <s v="2016-11-22 "/>
    <x v="5"/>
    <n v="3"/>
    <n v="5"/>
    <n v="63"/>
    <n v="16"/>
    <n v="7"/>
    <n v="0"/>
    <n v="7"/>
    <n v="0.4"/>
    <n v="0"/>
    <n v="0"/>
    <n v="8"/>
  </r>
  <r>
    <s v="2016-11-22 01"/>
    <x v="22"/>
    <x v="5"/>
    <s v="2016-11-22 "/>
    <x v="5"/>
    <n v="8"/>
    <n v="11"/>
    <n v="58"/>
    <n v="27"/>
    <n v="10"/>
    <n v="2"/>
    <n v="8"/>
    <n v="0.4"/>
    <n v="0.3"/>
    <n v="3"/>
    <n v="19"/>
  </r>
  <r>
    <s v="2016-11-22 00"/>
    <x v="23"/>
    <x v="5"/>
    <s v="2016-11-22 "/>
    <x v="5"/>
    <n v="1"/>
    <n v="17"/>
    <n v="94"/>
    <n v="36"/>
    <n v="16"/>
    <n v="2"/>
    <n v="14"/>
    <n v="0.4"/>
    <n v="0.25"/>
    <n v="4"/>
    <n v="18"/>
  </r>
  <r>
    <s v="2016-11-21 23"/>
    <x v="0"/>
    <x v="6"/>
    <s v="2016-11-21 "/>
    <x v="6"/>
    <n v="2"/>
    <n v="22"/>
    <n v="92"/>
    <n v="47"/>
    <n v="23"/>
    <n v="2"/>
    <n v="20"/>
    <n v="0.5"/>
    <n v="0.22"/>
    <n v="5"/>
    <n v="24"/>
  </r>
  <r>
    <s v="2016-11-21 22"/>
    <x v="1"/>
    <x v="6"/>
    <s v="2016-11-21 "/>
    <x v="6"/>
    <n v="1"/>
    <n v="30"/>
    <n v="97"/>
    <n v="54"/>
    <n v="18"/>
    <n v="2"/>
    <n v="16"/>
    <n v="0.3"/>
    <n v="0.33"/>
    <n v="6"/>
    <n v="31"/>
  </r>
  <r>
    <s v="2016-11-21 21"/>
    <x v="2"/>
    <x v="6"/>
    <s v="2016-11-21 "/>
    <x v="6"/>
    <n v="0"/>
    <n v="35"/>
    <n v="100"/>
    <n v="64"/>
    <n v="30"/>
    <n v="4"/>
    <n v="26"/>
    <n v="0.5"/>
    <n v="0.37"/>
    <n v="11"/>
    <n v="35"/>
  </r>
  <r>
    <s v="2016-11-21 20"/>
    <x v="3"/>
    <x v="6"/>
    <s v="2016-11-21 "/>
    <x v="6"/>
    <n v="0"/>
    <n v="32"/>
    <n v="100"/>
    <n v="86"/>
    <n v="36"/>
    <n v="6"/>
    <n v="30"/>
    <n v="0.4"/>
    <n v="0.28000000000000003"/>
    <n v="10"/>
    <n v="32"/>
  </r>
  <r>
    <s v="2016-11-21 19"/>
    <x v="4"/>
    <x v="6"/>
    <s v="2016-11-21 "/>
    <x v="6"/>
    <n v="8"/>
    <n v="44"/>
    <n v="85"/>
    <n v="88"/>
    <n v="33"/>
    <n v="11"/>
    <n v="22"/>
    <n v="0.4"/>
    <n v="0.48"/>
    <n v="16"/>
    <n v="52"/>
  </r>
  <r>
    <s v="2016-11-21 18"/>
    <x v="5"/>
    <x v="6"/>
    <s v="2016-11-21 "/>
    <x v="6"/>
    <n v="9"/>
    <n v="56"/>
    <n v="86"/>
    <n v="81"/>
    <n v="30"/>
    <n v="16"/>
    <n v="14"/>
    <n v="0.4"/>
    <n v="1.03"/>
    <n v="31"/>
    <n v="65"/>
  </r>
  <r>
    <s v="2016-11-21 17"/>
    <x v="6"/>
    <x v="6"/>
    <s v="2016-11-21 "/>
    <x v="6"/>
    <n v="0"/>
    <n v="30"/>
    <n v="100"/>
    <n v="77"/>
    <n v="30"/>
    <n v="4"/>
    <n v="25"/>
    <n v="0.4"/>
    <n v="0.33"/>
    <n v="10"/>
    <n v="30"/>
  </r>
  <r>
    <s v="2016-11-21 16"/>
    <x v="7"/>
    <x v="6"/>
    <s v="2016-11-21 "/>
    <x v="6"/>
    <n v="2"/>
    <n v="21"/>
    <n v="91"/>
    <n v="75"/>
    <n v="26"/>
    <n v="3"/>
    <n v="23"/>
    <n v="0.3"/>
    <n v="0.23"/>
    <n v="6"/>
    <n v="23"/>
  </r>
  <r>
    <s v="2016-11-21 15"/>
    <x v="8"/>
    <x v="6"/>
    <s v="2016-11-21 "/>
    <x v="6"/>
    <n v="5"/>
    <n v="19"/>
    <n v="79"/>
    <n v="65"/>
    <n v="22"/>
    <n v="4"/>
    <n v="18"/>
    <n v="0.3"/>
    <n v="0.27"/>
    <n v="6"/>
    <n v="24"/>
  </r>
  <r>
    <s v="2016-11-21 14"/>
    <x v="9"/>
    <x v="6"/>
    <s v="2016-11-21 "/>
    <x v="6"/>
    <n v="4"/>
    <n v="21"/>
    <n v="84"/>
    <n v="62"/>
    <n v="17"/>
    <n v="1"/>
    <n v="16"/>
    <n v="0.3"/>
    <n v="0.35"/>
    <n v="6"/>
    <n v="25"/>
  </r>
  <r>
    <s v="2016-11-21 13"/>
    <x v="10"/>
    <x v="6"/>
    <s v="2016-11-21 "/>
    <x v="6"/>
    <n v="3"/>
    <n v="15"/>
    <n v="83"/>
    <n v="53"/>
    <n v="19"/>
    <n v="4"/>
    <n v="15"/>
    <n v="0.4"/>
    <n v="0.37"/>
    <n v="7"/>
    <n v="18"/>
  </r>
  <r>
    <s v="2016-11-21 12"/>
    <x v="11"/>
    <x v="6"/>
    <s v="2016-11-21 "/>
    <x v="6"/>
    <n v="4"/>
    <n v="27"/>
    <n v="87"/>
    <n v="61"/>
    <n v="20"/>
    <n v="4"/>
    <n v="16"/>
    <n v="0.3"/>
    <n v="0.45"/>
    <n v="9"/>
    <n v="31"/>
  </r>
  <r>
    <s v="2016-11-21 11"/>
    <x v="12"/>
    <x v="6"/>
    <s v="2016-11-21 "/>
    <x v="6"/>
    <n v="0"/>
    <n v="25"/>
    <n v="100"/>
    <n v="54"/>
    <n v="23"/>
    <n v="4"/>
    <n v="19"/>
    <n v="0.4"/>
    <n v="0.26"/>
    <n v="6"/>
    <n v="25"/>
  </r>
  <r>
    <s v="2016-11-21 10"/>
    <x v="13"/>
    <x v="6"/>
    <s v="2016-11-21 "/>
    <x v="6"/>
    <n v="16"/>
    <n v="46"/>
    <n v="74"/>
    <n v="63"/>
    <n v="26"/>
    <n v="8"/>
    <n v="18"/>
    <n v="0.4"/>
    <n v="0.65"/>
    <n v="17"/>
    <n v="62"/>
  </r>
  <r>
    <s v="2016-11-21 09"/>
    <x v="14"/>
    <x v="6"/>
    <s v="2016-11-21 "/>
    <x v="6"/>
    <n v="32"/>
    <n v="48"/>
    <n v="60"/>
    <n v="53"/>
    <n v="22"/>
    <n v="13"/>
    <n v="9"/>
    <n v="0.4"/>
    <n v="1.18"/>
    <n v="26"/>
    <n v="80"/>
  </r>
  <r>
    <s v="2016-11-21 08"/>
    <x v="15"/>
    <x v="6"/>
    <s v="2016-11-21 "/>
    <x v="6"/>
    <n v="50"/>
    <n v="37"/>
    <n v="43"/>
    <n v="42"/>
    <n v="16"/>
    <n v="11"/>
    <n v="4"/>
    <n v="0.4"/>
    <n v="1.25"/>
    <n v="20"/>
    <n v="87"/>
  </r>
  <r>
    <s v="2016-11-21 07"/>
    <x v="16"/>
    <x v="6"/>
    <s v="2016-11-21 "/>
    <x v="6"/>
    <n v="22"/>
    <n v="17"/>
    <n v="44"/>
    <n v="34"/>
    <n v="10"/>
    <n v="6"/>
    <n v="4"/>
    <n v="0.3"/>
    <n v="1.1000000000000001"/>
    <n v="11"/>
    <n v="39"/>
  </r>
  <r>
    <s v="2016-11-21 06"/>
    <x v="17"/>
    <x v="6"/>
    <s v="2016-11-21 "/>
    <x v="6"/>
    <n v="8"/>
    <n v="5"/>
    <n v="38"/>
    <n v="17"/>
    <n v="4"/>
    <n v="0"/>
    <n v="4"/>
    <n v="0.2"/>
    <n v="0.25"/>
    <n v="1"/>
    <n v="13"/>
  </r>
  <r>
    <s v="2016-11-21 05"/>
    <x v="18"/>
    <x v="6"/>
    <s v="2016-11-21 "/>
    <x v="6"/>
    <n v="2"/>
    <n v="3"/>
    <n v="60"/>
    <n v="13"/>
    <n v="4"/>
    <n v="1"/>
    <n v="3"/>
    <n v="0.3"/>
    <n v="0.25"/>
    <n v="1"/>
    <n v="5"/>
  </r>
  <r>
    <s v="2016-11-21 04"/>
    <x v="19"/>
    <x v="6"/>
    <s v="2016-11-21 "/>
    <x v="6"/>
    <n v="2"/>
    <n v="5"/>
    <n v="71"/>
    <n v="12"/>
    <n v="6"/>
    <n v="1"/>
    <n v="5"/>
    <n v="0.5"/>
    <n v="0.5"/>
    <n v="3"/>
    <n v="7"/>
  </r>
  <r>
    <s v="2016-11-21 03"/>
    <x v="20"/>
    <x v="6"/>
    <s v="2016-11-21 "/>
    <x v="6"/>
    <n v="6"/>
    <n v="4"/>
    <n v="40"/>
    <n v="15"/>
    <n v="5"/>
    <n v="1"/>
    <n v="4"/>
    <n v="0.3"/>
    <n v="0.2"/>
    <n v="1"/>
    <n v="10"/>
  </r>
  <r>
    <s v="2016-11-21 02"/>
    <x v="21"/>
    <x v="6"/>
    <s v="2016-11-21 "/>
    <x v="6"/>
    <n v="4"/>
    <n v="10"/>
    <n v="71"/>
    <n v="20"/>
    <n v="7"/>
    <n v="1"/>
    <n v="6"/>
    <n v="0.3"/>
    <n v="0.56999999999999995"/>
    <n v="4"/>
    <n v="14"/>
  </r>
  <r>
    <s v="2016-11-21 01"/>
    <x v="22"/>
    <x v="6"/>
    <s v="2016-11-21 "/>
    <x v="6"/>
    <n v="4"/>
    <n v="11"/>
    <n v="73"/>
    <n v="28"/>
    <n v="10"/>
    <n v="2"/>
    <n v="9"/>
    <n v="0.4"/>
    <n v="0.3"/>
    <n v="3"/>
    <n v="15"/>
  </r>
  <r>
    <s v="2016-11-21 00"/>
    <x v="23"/>
    <x v="6"/>
    <s v="2016-11-21 "/>
    <x v="6"/>
    <n v="6"/>
    <n v="22"/>
    <n v="79"/>
    <n v="41"/>
    <n v="16"/>
    <n v="2"/>
    <n v="13"/>
    <n v="0.4"/>
    <n v="0.38"/>
    <n v="6"/>
    <n v="28"/>
  </r>
  <r>
    <s v="2016-11-20 23"/>
    <x v="0"/>
    <x v="0"/>
    <s v="2016-11-20 "/>
    <x v="0"/>
    <n v="0"/>
    <n v="41"/>
    <n v="100"/>
    <n v="54"/>
    <n v="20"/>
    <n v="5"/>
    <n v="16"/>
    <n v="0.4"/>
    <n v="0.5"/>
    <n v="10"/>
    <n v="41"/>
  </r>
  <r>
    <s v="2016-11-20 22"/>
    <x v="1"/>
    <x v="0"/>
    <s v="2016-11-20 "/>
    <x v="0"/>
    <n v="3"/>
    <n v="40"/>
    <n v="93"/>
    <n v="68"/>
    <n v="23"/>
    <n v="3"/>
    <n v="20"/>
    <n v="0.3"/>
    <n v="0.43"/>
    <n v="10"/>
    <n v="43"/>
  </r>
  <r>
    <s v="2016-11-20 21"/>
    <x v="2"/>
    <x v="0"/>
    <s v="2016-11-20 "/>
    <x v="0"/>
    <n v="1"/>
    <n v="25"/>
    <n v="96"/>
    <n v="77"/>
    <n v="27"/>
    <n v="3"/>
    <n v="25"/>
    <n v="0.4"/>
    <n v="0.37"/>
    <n v="10"/>
    <n v="26"/>
  </r>
  <r>
    <s v="2016-11-20 20"/>
    <x v="3"/>
    <x v="0"/>
    <s v="2016-11-20 "/>
    <x v="0"/>
    <n v="3"/>
    <n v="43"/>
    <n v="93"/>
    <n v="87"/>
    <n v="39"/>
    <n v="6"/>
    <n v="34"/>
    <n v="0.4"/>
    <n v="0.31"/>
    <n v="12"/>
    <n v="46"/>
  </r>
  <r>
    <s v="2016-11-20 19"/>
    <x v="4"/>
    <x v="0"/>
    <s v="2016-11-20 "/>
    <x v="0"/>
    <n v="1"/>
    <n v="37"/>
    <n v="97"/>
    <n v="87"/>
    <n v="32"/>
    <n v="5"/>
    <n v="27"/>
    <n v="0.4"/>
    <n v="0.5"/>
    <n v="16"/>
    <n v="38"/>
  </r>
  <r>
    <s v="2016-11-20 18"/>
    <x v="5"/>
    <x v="0"/>
    <s v="2016-11-20 "/>
    <x v="0"/>
    <n v="1"/>
    <n v="43"/>
    <n v="98"/>
    <n v="83"/>
    <n v="30"/>
    <n v="7"/>
    <n v="23"/>
    <n v="0.4"/>
    <n v="0.53"/>
    <n v="16"/>
    <n v="44"/>
  </r>
  <r>
    <s v="2016-11-20 17"/>
    <x v="6"/>
    <x v="0"/>
    <s v="2016-11-20 "/>
    <x v="0"/>
    <n v="2"/>
    <n v="27"/>
    <n v="93"/>
    <n v="80"/>
    <n v="28"/>
    <n v="4"/>
    <n v="24"/>
    <n v="0.3"/>
    <n v="0.46"/>
    <n v="13"/>
    <n v="29"/>
  </r>
  <r>
    <s v="2016-11-20 16"/>
    <x v="7"/>
    <x v="0"/>
    <s v="2016-11-20 "/>
    <x v="0"/>
    <n v="4"/>
    <n v="31"/>
    <n v="89"/>
    <n v="62"/>
    <n v="23"/>
    <n v="4"/>
    <n v="19"/>
    <n v="0.4"/>
    <n v="0.61"/>
    <n v="14"/>
    <n v="35"/>
  </r>
  <r>
    <s v="2016-11-20 15"/>
    <x v="8"/>
    <x v="0"/>
    <s v="2016-11-20 "/>
    <x v="0"/>
    <n v="3"/>
    <n v="36"/>
    <n v="92"/>
    <n v="62"/>
    <n v="22"/>
    <n v="3"/>
    <n v="19"/>
    <n v="0.4"/>
    <n v="0.32"/>
    <n v="7"/>
    <n v="39"/>
  </r>
  <r>
    <s v="2016-11-20 14"/>
    <x v="9"/>
    <x v="0"/>
    <s v="2016-11-20 "/>
    <x v="0"/>
    <n v="2"/>
    <n v="25"/>
    <n v="93"/>
    <n v="54"/>
    <n v="19"/>
    <n v="3"/>
    <n v="17"/>
    <n v="0.4"/>
    <n v="0.21"/>
    <n v="4"/>
    <n v="27"/>
  </r>
  <r>
    <s v="2016-11-20 13"/>
    <x v="10"/>
    <x v="0"/>
    <s v="2016-11-20 "/>
    <x v="0"/>
    <n v="6"/>
    <n v="21"/>
    <n v="78"/>
    <n v="53"/>
    <n v="18"/>
    <n v="2"/>
    <n v="17"/>
    <n v="0.3"/>
    <n v="0.39"/>
    <n v="7"/>
    <n v="27"/>
  </r>
  <r>
    <s v="2016-11-20 12"/>
    <x v="11"/>
    <x v="0"/>
    <s v="2016-11-20 "/>
    <x v="0"/>
    <n v="5"/>
    <n v="32"/>
    <n v="86"/>
    <n v="43"/>
    <n v="19"/>
    <n v="2"/>
    <n v="16"/>
    <n v="0.4"/>
    <n v="0.26"/>
    <n v="5"/>
    <n v="37"/>
  </r>
  <r>
    <s v="2016-11-20 11"/>
    <x v="12"/>
    <x v="0"/>
    <s v="2016-11-20 "/>
    <x v="0"/>
    <n v="8"/>
    <n v="18"/>
    <n v="69"/>
    <n v="42"/>
    <n v="15"/>
    <n v="3"/>
    <n v="13"/>
    <n v="0.4"/>
    <n v="0.47"/>
    <n v="7"/>
    <n v="26"/>
  </r>
  <r>
    <s v="2016-11-20 10"/>
    <x v="13"/>
    <x v="0"/>
    <s v="2016-11-20 "/>
    <x v="0"/>
    <n v="5"/>
    <n v="13"/>
    <n v="72"/>
    <n v="40"/>
    <n v="14"/>
    <n v="2"/>
    <n v="12"/>
    <n v="0.3"/>
    <n v="0.36"/>
    <n v="5"/>
    <n v="18"/>
  </r>
  <r>
    <s v="2016-11-20 09"/>
    <x v="14"/>
    <x v="0"/>
    <s v="2016-11-20 "/>
    <x v="0"/>
    <n v="7"/>
    <n v="18"/>
    <n v="72"/>
    <n v="37"/>
    <n v="10"/>
    <n v="1"/>
    <n v="8"/>
    <n v="0.3"/>
    <n v="0.3"/>
    <n v="3"/>
    <n v="25"/>
  </r>
  <r>
    <s v="2016-11-20 08"/>
    <x v="15"/>
    <x v="0"/>
    <s v="2016-11-20 "/>
    <x v="0"/>
    <n v="6"/>
    <n v="12"/>
    <n v="67"/>
    <n v="26"/>
    <n v="6"/>
    <n v="2"/>
    <n v="5"/>
    <n v="0.2"/>
    <n v="0.5"/>
    <n v="3"/>
    <n v="18"/>
  </r>
  <r>
    <s v="2016-11-20 07"/>
    <x v="16"/>
    <x v="0"/>
    <s v="2016-11-20 "/>
    <x v="0"/>
    <n v="2"/>
    <n v="8"/>
    <n v="80"/>
    <n v="27"/>
    <n v="8"/>
    <n v="1"/>
    <n v="7"/>
    <n v="0.3"/>
    <n v="0.25"/>
    <n v="2"/>
    <n v="10"/>
  </r>
  <r>
    <s v="2016-11-20 06"/>
    <x v="17"/>
    <x v="0"/>
    <s v="2016-11-20 "/>
    <x v="0"/>
    <n v="3"/>
    <n v="10"/>
    <n v="77"/>
    <n v="34"/>
    <n v="13"/>
    <n v="2"/>
    <n v="11"/>
    <n v="0.4"/>
    <n v="0.31"/>
    <n v="4"/>
    <n v="13"/>
  </r>
  <r>
    <s v="2016-11-20 05"/>
    <x v="18"/>
    <x v="0"/>
    <s v="2016-11-20 "/>
    <x v="0"/>
    <n v="1"/>
    <n v="10"/>
    <n v="91"/>
    <n v="48"/>
    <n v="18"/>
    <n v="1"/>
    <n v="16"/>
    <n v="0.4"/>
    <n v="0.22"/>
    <n v="4"/>
    <n v="11"/>
  </r>
  <r>
    <s v="2016-11-20 04"/>
    <x v="19"/>
    <x v="0"/>
    <s v="2016-11-20 "/>
    <x v="0"/>
    <n v="4"/>
    <n v="23"/>
    <n v="85"/>
    <n v="51"/>
    <n v="20"/>
    <n v="6"/>
    <n v="14"/>
    <n v="0.4"/>
    <n v="0.65"/>
    <n v="13"/>
    <n v="27"/>
  </r>
  <r>
    <s v="2016-11-20 03"/>
    <x v="20"/>
    <x v="0"/>
    <s v="2016-11-20 "/>
    <x v="0"/>
    <n v="3"/>
    <n v="32"/>
    <n v="91"/>
    <n v="56"/>
    <n v="25"/>
    <n v="6"/>
    <n v="20"/>
    <n v="0.4"/>
    <n v="0.68"/>
    <n v="17"/>
    <n v="35"/>
  </r>
  <r>
    <s v="2016-11-20 02"/>
    <x v="21"/>
    <x v="0"/>
    <s v="2016-11-20 "/>
    <x v="0"/>
    <n v="6"/>
    <n v="36"/>
    <n v="86"/>
    <n v="64"/>
    <n v="27"/>
    <n v="7"/>
    <n v="20"/>
    <n v="0.4"/>
    <n v="0.48"/>
    <n v="13"/>
    <n v="42"/>
  </r>
  <r>
    <s v="2016-11-20 01"/>
    <x v="22"/>
    <x v="0"/>
    <s v="2016-11-20 "/>
    <x v="0"/>
    <n v="1"/>
    <n v="48"/>
    <n v="98"/>
    <n v="74"/>
    <n v="33"/>
    <n v="8"/>
    <n v="25"/>
    <n v="0.4"/>
    <n v="0.61"/>
    <n v="20"/>
    <n v="49"/>
  </r>
  <r>
    <s v="2016-11-20 00"/>
    <x v="23"/>
    <x v="0"/>
    <s v="2016-11-20 "/>
    <x v="0"/>
    <n v="1"/>
    <n v="53"/>
    <n v="98"/>
    <n v="83"/>
    <n v="29"/>
    <n v="10"/>
    <n v="19"/>
    <n v="0.3"/>
    <n v="1.03"/>
    <n v="30"/>
    <n v="54"/>
  </r>
  <r>
    <s v="2016-11-19 23"/>
    <x v="0"/>
    <x v="1"/>
    <s v="2016-11-19 "/>
    <x v="1"/>
    <n v="0"/>
    <n v="59"/>
    <n v="100"/>
    <n v="90"/>
    <n v="32"/>
    <n v="7"/>
    <n v="25"/>
    <n v="0.4"/>
    <n v="0.63"/>
    <n v="20"/>
    <n v="59"/>
  </r>
  <r>
    <s v="2016-11-19 22"/>
    <x v="1"/>
    <x v="1"/>
    <s v="2016-11-19 "/>
    <x v="1"/>
    <n v="2"/>
    <n v="46"/>
    <n v="96"/>
    <n v="91"/>
    <n v="36"/>
    <n v="5"/>
    <n v="31"/>
    <n v="0.4"/>
    <n v="0.47"/>
    <n v="17"/>
    <n v="48"/>
  </r>
  <r>
    <s v="2016-11-19 21"/>
    <x v="2"/>
    <x v="1"/>
    <s v="2016-11-19 "/>
    <x v="1"/>
    <n v="1"/>
    <n v="37"/>
    <n v="97"/>
    <n v="93"/>
    <n v="45"/>
    <n v="5"/>
    <n v="40"/>
    <n v="0.5"/>
    <n v="0.24"/>
    <n v="11"/>
    <n v="38"/>
  </r>
  <r>
    <s v="2016-11-19 20"/>
    <x v="3"/>
    <x v="1"/>
    <s v="2016-11-19 "/>
    <x v="1"/>
    <n v="9"/>
    <n v="35"/>
    <n v="80"/>
    <n v="83"/>
    <n v="35"/>
    <n v="6"/>
    <n v="29"/>
    <n v="0.4"/>
    <n v="0.49"/>
    <n v="17"/>
    <n v="44"/>
  </r>
  <r>
    <s v="2016-11-19 19"/>
    <x v="4"/>
    <x v="1"/>
    <s v="2016-11-19 "/>
    <x v="1"/>
    <n v="8"/>
    <n v="45"/>
    <n v="85"/>
    <n v="86"/>
    <n v="34"/>
    <n v="6"/>
    <n v="29"/>
    <n v="0.4"/>
    <n v="0.47"/>
    <n v="16"/>
    <n v="53"/>
  </r>
  <r>
    <s v="2016-11-19 18"/>
    <x v="5"/>
    <x v="1"/>
    <s v="2016-11-19 "/>
    <x v="1"/>
    <n v="6"/>
    <n v="43"/>
    <n v="88"/>
    <n v="81"/>
    <n v="31"/>
    <n v="7"/>
    <n v="25"/>
    <n v="0.4"/>
    <n v="0.52"/>
    <n v="16"/>
    <n v="49"/>
  </r>
  <r>
    <s v="2016-11-19 17"/>
    <x v="6"/>
    <x v="1"/>
    <s v="2016-11-19 "/>
    <x v="1"/>
    <n v="5"/>
    <n v="38"/>
    <n v="88"/>
    <n v="77"/>
    <n v="28"/>
    <n v="4"/>
    <n v="24"/>
    <n v="0.4"/>
    <n v="0.39"/>
    <n v="11"/>
    <n v="43"/>
  </r>
  <r>
    <s v="2016-11-19 16"/>
    <x v="7"/>
    <x v="1"/>
    <s v="2016-11-19 "/>
    <x v="1"/>
    <n v="7"/>
    <n v="36"/>
    <n v="84"/>
    <n v="67"/>
    <n v="22"/>
    <n v="3"/>
    <n v="19"/>
    <n v="0.3"/>
    <n v="0.32"/>
    <n v="7"/>
    <n v="43"/>
  </r>
  <r>
    <s v="2016-11-19 15"/>
    <x v="8"/>
    <x v="1"/>
    <s v="2016-11-19 "/>
    <x v="1"/>
    <n v="7"/>
    <n v="33"/>
    <n v="83"/>
    <n v="69"/>
    <n v="23"/>
    <n v="3"/>
    <n v="20"/>
    <n v="0.3"/>
    <n v="0.26"/>
    <n v="6"/>
    <n v="40"/>
  </r>
  <r>
    <s v="2016-11-19 14"/>
    <x v="9"/>
    <x v="1"/>
    <s v="2016-11-19 "/>
    <x v="1"/>
    <n v="5"/>
    <n v="32"/>
    <n v="86"/>
    <n v="52"/>
    <n v="21"/>
    <n v="5"/>
    <n v="16"/>
    <n v="0.4"/>
    <n v="0.38"/>
    <n v="8"/>
    <n v="37"/>
  </r>
  <r>
    <s v="2016-11-19 13"/>
    <x v="10"/>
    <x v="1"/>
    <s v="2016-11-19 "/>
    <x v="1"/>
    <n v="6"/>
    <n v="28"/>
    <n v="82"/>
    <n v="53"/>
    <n v="18"/>
    <n v="4"/>
    <n v="14"/>
    <n v="0.3"/>
    <n v="0.56000000000000005"/>
    <n v="10"/>
    <n v="34"/>
  </r>
  <r>
    <s v="2016-11-19 12"/>
    <x v="11"/>
    <x v="1"/>
    <s v="2016-11-19 "/>
    <x v="1"/>
    <n v="7"/>
    <n v="28"/>
    <n v="80"/>
    <n v="51"/>
    <n v="17"/>
    <n v="2"/>
    <n v="15"/>
    <n v="0.3"/>
    <n v="0.41"/>
    <n v="7"/>
    <n v="35"/>
  </r>
  <r>
    <s v="2016-11-19 11"/>
    <x v="12"/>
    <x v="1"/>
    <s v="2016-11-19 "/>
    <x v="1"/>
    <n v="12"/>
    <n v="28"/>
    <n v="70"/>
    <n v="43"/>
    <n v="18"/>
    <n v="5"/>
    <n v="12"/>
    <n v="0.4"/>
    <n v="0.44"/>
    <n v="8"/>
    <n v="40"/>
  </r>
  <r>
    <s v="2016-11-19 10"/>
    <x v="13"/>
    <x v="1"/>
    <s v="2016-11-19 "/>
    <x v="1"/>
    <n v="10"/>
    <n v="29"/>
    <n v="74"/>
    <n v="41"/>
    <n v="16"/>
    <n v="4"/>
    <n v="12"/>
    <n v="0.4"/>
    <n v="0.81"/>
    <n v="13"/>
    <n v="39"/>
  </r>
  <r>
    <s v="2016-11-19 09"/>
    <x v="14"/>
    <x v="1"/>
    <s v="2016-11-19 "/>
    <x v="1"/>
    <n v="16"/>
    <n v="18"/>
    <n v="53"/>
    <n v="37"/>
    <n v="12"/>
    <n v="3"/>
    <n v="9"/>
    <n v="0.3"/>
    <n v="0.67"/>
    <n v="8"/>
    <n v="34"/>
  </r>
  <r>
    <s v="2016-11-19 08"/>
    <x v="15"/>
    <x v="1"/>
    <s v="2016-11-19 "/>
    <x v="1"/>
    <n v="12"/>
    <n v="10"/>
    <n v="45"/>
    <n v="27"/>
    <n v="7"/>
    <n v="2"/>
    <n v="5"/>
    <n v="0.3"/>
    <n v="0.56999999999999995"/>
    <n v="4"/>
    <n v="22"/>
  </r>
  <r>
    <s v="2016-11-19 07"/>
    <x v="16"/>
    <x v="1"/>
    <s v="2016-11-19 "/>
    <x v="1"/>
    <n v="20"/>
    <n v="10"/>
    <n v="33"/>
    <n v="18"/>
    <n v="5"/>
    <n v="1"/>
    <n v="5"/>
    <n v="0.3"/>
    <n v="0.4"/>
    <n v="2"/>
    <n v="30"/>
  </r>
  <r>
    <s v="2016-11-19 06"/>
    <x v="17"/>
    <x v="1"/>
    <s v="2016-11-19 "/>
    <x v="1"/>
    <n v="3"/>
    <n v="5"/>
    <n v="63"/>
    <n v="24"/>
    <n v="9"/>
    <n v="1"/>
    <n v="7"/>
    <n v="0.4"/>
    <n v="0.33"/>
    <n v="3"/>
    <n v="8"/>
  </r>
  <r>
    <s v="2016-11-19 05"/>
    <x v="18"/>
    <x v="1"/>
    <s v="2016-11-19 "/>
    <x v="1"/>
    <n v="2"/>
    <n v="13"/>
    <n v="87"/>
    <n v="34"/>
    <n v="14"/>
    <n v="4"/>
    <n v="11"/>
    <n v="0.4"/>
    <n v="0.71"/>
    <n v="10"/>
    <n v="15"/>
  </r>
  <r>
    <s v="2016-11-19 04"/>
    <x v="19"/>
    <x v="1"/>
    <s v="2016-11-19 "/>
    <x v="1"/>
    <n v="8"/>
    <n v="22"/>
    <n v="73"/>
    <n v="40"/>
    <n v="19"/>
    <n v="5"/>
    <n v="13"/>
    <n v="0.5"/>
    <n v="0.68"/>
    <n v="13"/>
    <n v="30"/>
  </r>
  <r>
    <s v="2016-11-19 03"/>
    <x v="20"/>
    <x v="1"/>
    <s v="2016-11-19 "/>
    <x v="1"/>
    <n v="4"/>
    <n v="38"/>
    <n v="90"/>
    <n v="47"/>
    <n v="24"/>
    <n v="7"/>
    <n v="17"/>
    <n v="0.5"/>
    <n v="0.79"/>
    <n v="19"/>
    <n v="42"/>
  </r>
  <r>
    <s v="2016-11-19 02"/>
    <x v="21"/>
    <x v="1"/>
    <s v="2016-11-19 "/>
    <x v="1"/>
    <n v="2"/>
    <n v="33"/>
    <n v="94"/>
    <n v="59"/>
    <n v="26"/>
    <n v="5"/>
    <n v="21"/>
    <n v="0.4"/>
    <n v="0.57999999999999996"/>
    <n v="15"/>
    <n v="35"/>
  </r>
  <r>
    <s v="2016-11-19 01"/>
    <x v="22"/>
    <x v="1"/>
    <s v="2016-11-19 "/>
    <x v="1"/>
    <n v="3"/>
    <n v="41"/>
    <n v="93"/>
    <n v="74"/>
    <n v="30"/>
    <n v="8"/>
    <n v="22"/>
    <n v="0.4"/>
    <n v="0.7"/>
    <n v="21"/>
    <n v="44"/>
  </r>
  <r>
    <s v="2016-11-19 00"/>
    <x v="23"/>
    <x v="1"/>
    <s v="2016-11-19 "/>
    <x v="1"/>
    <n v="3"/>
    <n v="59"/>
    <n v="95"/>
    <n v="88"/>
    <n v="35"/>
    <n v="10"/>
    <n v="25"/>
    <n v="0.4"/>
    <n v="0.77"/>
    <n v="27"/>
    <n v="62"/>
  </r>
  <r>
    <s v="2016-11-18 23"/>
    <x v="0"/>
    <x v="2"/>
    <s v="2016-11-18 "/>
    <x v="2"/>
    <n v="6"/>
    <n v="59"/>
    <n v="91"/>
    <n v="95"/>
    <n v="40"/>
    <n v="9"/>
    <n v="31"/>
    <n v="0.4"/>
    <n v="0.7"/>
    <n v="28"/>
    <n v="65"/>
  </r>
  <r>
    <s v="2016-11-18 22"/>
    <x v="1"/>
    <x v="2"/>
    <s v="2016-11-18 "/>
    <x v="2"/>
    <n v="6"/>
    <n v="40"/>
    <n v="87"/>
    <n v="106"/>
    <n v="46"/>
    <n v="4"/>
    <n v="42"/>
    <n v="0.4"/>
    <n v="0.28000000000000003"/>
    <n v="13"/>
    <n v="46"/>
  </r>
  <r>
    <s v="2016-11-18 21"/>
    <x v="2"/>
    <x v="2"/>
    <s v="2016-11-18 "/>
    <x v="2"/>
    <n v="6"/>
    <n v="49"/>
    <n v="89"/>
    <n v="108"/>
    <n v="44"/>
    <n v="7"/>
    <n v="36"/>
    <n v="0.4"/>
    <n v="0.41"/>
    <n v="18"/>
    <n v="55"/>
  </r>
  <r>
    <s v="2016-11-18 20"/>
    <x v="3"/>
    <x v="2"/>
    <s v="2016-11-18 "/>
    <x v="2"/>
    <n v="7"/>
    <n v="52"/>
    <n v="88"/>
    <n v="108"/>
    <n v="42"/>
    <n v="12"/>
    <n v="31"/>
    <n v="0.4"/>
    <n v="0.55000000000000004"/>
    <n v="23"/>
    <n v="59"/>
  </r>
  <r>
    <s v="2016-11-18 19"/>
    <x v="4"/>
    <x v="2"/>
    <s v="2016-11-18 "/>
    <x v="2"/>
    <n v="10"/>
    <n v="76"/>
    <n v="88"/>
    <n v="102"/>
    <n v="40"/>
    <n v="15"/>
    <n v="24"/>
    <n v="0.4"/>
    <n v="0.68"/>
    <n v="27"/>
    <n v="86"/>
  </r>
  <r>
    <s v="2016-11-18 18"/>
    <x v="5"/>
    <x v="2"/>
    <s v="2016-11-18 "/>
    <x v="2"/>
    <n v="16"/>
    <n v="66"/>
    <n v="80"/>
    <n v="83"/>
    <n v="37"/>
    <n v="22"/>
    <n v="15"/>
    <n v="0.4"/>
    <n v="0.78"/>
    <n v="29"/>
    <n v="82"/>
  </r>
  <r>
    <s v="2016-11-18 17"/>
    <x v="6"/>
    <x v="2"/>
    <s v="2016-11-18 "/>
    <x v="2"/>
    <n v="11"/>
    <n v="51"/>
    <n v="82"/>
    <n v="82"/>
    <n v="25"/>
    <n v="11"/>
    <n v="14"/>
    <n v="0.3"/>
    <n v="1"/>
    <n v="25"/>
    <n v="62"/>
  </r>
  <r>
    <s v="2016-11-18 16"/>
    <x v="7"/>
    <x v="2"/>
    <s v="2016-11-18 "/>
    <x v="2"/>
    <n v="17"/>
    <n v="32"/>
    <n v="65"/>
    <n v="63"/>
    <n v="22"/>
    <n v="10"/>
    <n v="11"/>
    <n v="0.3"/>
    <n v="0.68"/>
    <n v="15"/>
    <n v="49"/>
  </r>
  <r>
    <s v="2016-11-18 15"/>
    <x v="8"/>
    <x v="2"/>
    <s v="2016-11-18 "/>
    <x v="2"/>
    <n v="38"/>
    <n v="46"/>
    <n v="55"/>
    <n v="62"/>
    <n v="22"/>
    <n v="10"/>
    <n v="11"/>
    <n v="0.4"/>
    <n v="0.86"/>
    <n v="19"/>
    <n v="84"/>
  </r>
  <r>
    <s v="2016-11-18 14"/>
    <x v="9"/>
    <x v="2"/>
    <s v="2016-11-18 "/>
    <x v="2"/>
    <n v="12"/>
    <n v="38"/>
    <n v="76"/>
    <n v="65"/>
    <n v="21"/>
    <n v="6"/>
    <n v="15"/>
    <n v="0.3"/>
    <n v="0.56999999999999995"/>
    <n v="12"/>
    <n v="50"/>
  </r>
  <r>
    <s v="2016-11-18 13"/>
    <x v="10"/>
    <x v="2"/>
    <s v="2016-11-18 "/>
    <x v="2"/>
    <n v="10"/>
    <n v="34"/>
    <n v="77"/>
    <n v="65"/>
    <n v="23"/>
    <n v="4"/>
    <n v="18"/>
    <n v="0.4"/>
    <n v="0.39"/>
    <n v="9"/>
    <n v="44"/>
  </r>
  <r>
    <s v="2016-11-18 12"/>
    <x v="11"/>
    <x v="2"/>
    <s v="2016-11-18 "/>
    <x v="2"/>
    <n v="15"/>
    <n v="30"/>
    <n v="67"/>
    <n v="58"/>
    <n v="22"/>
    <n v="6"/>
    <n v="16"/>
    <n v="0.4"/>
    <n v="0.45"/>
    <n v="10"/>
    <n v="45"/>
  </r>
  <r>
    <s v="2016-11-18 11"/>
    <x v="12"/>
    <x v="2"/>
    <s v="2016-11-18 "/>
    <x v="2"/>
    <n v="9"/>
    <n v="30"/>
    <n v="77"/>
    <n v="56"/>
    <n v="23"/>
    <n v="5"/>
    <n v="18"/>
    <n v="0.4"/>
    <n v="0.39"/>
    <n v="9"/>
    <n v="39"/>
  </r>
  <r>
    <s v="2016-11-18 10"/>
    <x v="13"/>
    <x v="2"/>
    <s v="2016-11-18 "/>
    <x v="2"/>
    <n v="14"/>
    <n v="50"/>
    <n v="78"/>
    <n v="67"/>
    <n v="27"/>
    <n v="10"/>
    <n v="17"/>
    <n v="0.4"/>
    <n v="0.67"/>
    <n v="18"/>
    <n v="64"/>
  </r>
  <r>
    <s v="2016-11-18 09"/>
    <x v="14"/>
    <x v="2"/>
    <s v="2016-11-18 "/>
    <x v="2"/>
    <n v="25"/>
    <n v="48"/>
    <n v="66"/>
    <n v="58"/>
    <n v="24"/>
    <n v="12"/>
    <n v="12"/>
    <n v="0.4"/>
    <n v="1.04"/>
    <n v="25"/>
    <n v="73"/>
  </r>
  <r>
    <s v="2016-11-18 08"/>
    <x v="15"/>
    <x v="2"/>
    <s v="2016-11-18 "/>
    <x v="2"/>
    <n v="26"/>
    <n v="34"/>
    <n v="57"/>
    <n v="48"/>
    <n v="16"/>
    <n v="8"/>
    <n v="8"/>
    <n v="0.3"/>
    <n v="1"/>
    <n v="16"/>
    <n v="60"/>
  </r>
  <r>
    <s v="2016-11-18 07"/>
    <x v="16"/>
    <x v="2"/>
    <s v="2016-11-18 "/>
    <x v="2"/>
    <n v="18"/>
    <n v="26"/>
    <n v="59"/>
    <n v="38"/>
    <n v="9"/>
    <n v="3"/>
    <n v="6"/>
    <n v="0.2"/>
    <n v="1.22"/>
    <n v="11"/>
    <n v="44"/>
  </r>
  <r>
    <s v="2016-11-18 06"/>
    <x v="17"/>
    <x v="2"/>
    <s v="2016-11-18 "/>
    <x v="2"/>
    <n v="7"/>
    <n v="2"/>
    <n v="22"/>
    <n v="19"/>
    <n v="5"/>
    <n v="1"/>
    <n v="4"/>
    <n v="0.3"/>
    <n v="0.2"/>
    <n v="1"/>
    <n v="9"/>
  </r>
  <r>
    <s v="2016-11-18 05"/>
    <x v="18"/>
    <x v="2"/>
    <s v="2016-11-18 "/>
    <x v="2"/>
    <n v="9"/>
    <n v="3"/>
    <n v="25"/>
    <n v="20"/>
    <n v="7"/>
    <n v="1"/>
    <n v="5"/>
    <n v="0.3"/>
    <n v="0.28999999999999998"/>
    <n v="2"/>
    <n v="12"/>
  </r>
  <r>
    <s v="2016-11-18 04"/>
    <x v="19"/>
    <x v="2"/>
    <s v="2016-11-18 "/>
    <x v="2"/>
    <n v="12"/>
    <n v="20"/>
    <n v="63"/>
    <n v="27"/>
    <n v="12"/>
    <n v="4"/>
    <n v="8"/>
    <n v="0.4"/>
    <n v="0.75"/>
    <n v="9"/>
    <n v="32"/>
  </r>
  <r>
    <s v="2016-11-18 03"/>
    <x v="20"/>
    <x v="2"/>
    <s v="2016-11-18 "/>
    <x v="2"/>
    <n v="7"/>
    <n v="30"/>
    <n v="81"/>
    <n v="40"/>
    <n v="20"/>
    <n v="4"/>
    <n v="16"/>
    <n v="0.5"/>
    <n v="0.6"/>
    <n v="12"/>
    <n v="37"/>
  </r>
  <r>
    <s v="2016-11-18 02"/>
    <x v="21"/>
    <x v="2"/>
    <s v="2016-11-18 "/>
    <x v="2"/>
    <n v="1"/>
    <n v="19"/>
    <n v="95"/>
    <n v="45"/>
    <n v="24"/>
    <n v="1"/>
    <n v="23"/>
    <n v="0.5"/>
    <n v="0.17"/>
    <n v="4"/>
    <n v="20"/>
  </r>
  <r>
    <s v="2016-11-18 01"/>
    <x v="22"/>
    <x v="2"/>
    <s v="2016-11-18 "/>
    <x v="2"/>
    <n v="3"/>
    <n v="31"/>
    <n v="91"/>
    <n v="61"/>
    <n v="28"/>
    <n v="5"/>
    <n v="23"/>
    <n v="0.5"/>
    <n v="0.56999999999999995"/>
    <n v="16"/>
    <n v="34"/>
  </r>
  <r>
    <s v="2016-11-18 00"/>
    <x v="23"/>
    <x v="2"/>
    <s v="2016-11-18 "/>
    <x v="2"/>
    <n v="5"/>
    <n v="44"/>
    <n v="90"/>
    <n v="62"/>
    <n v="30"/>
    <n v="8"/>
    <n v="22"/>
    <n v="0.5"/>
    <n v="0.8"/>
    <n v="24"/>
    <n v="49"/>
  </r>
  <r>
    <s v="2016-11-17 23"/>
    <x v="0"/>
    <x v="3"/>
    <s v="2016-11-17 "/>
    <x v="3"/>
    <n v="11"/>
    <n v="66"/>
    <n v="86"/>
    <n v="68"/>
    <n v="30"/>
    <n v="11"/>
    <n v="19"/>
    <n v="0.4"/>
    <n v="0.83"/>
    <n v="25"/>
    <n v="77"/>
  </r>
  <r>
    <s v="2016-11-17 22"/>
    <x v="1"/>
    <x v="3"/>
    <s v="2016-11-17 "/>
    <x v="3"/>
    <n v="5"/>
    <n v="78"/>
    <n v="94"/>
    <n v="77"/>
    <n v="34"/>
    <n v="13"/>
    <n v="21"/>
    <n v="0.4"/>
    <n v="1.1200000000000001"/>
    <n v="38"/>
    <n v="83"/>
  </r>
  <r>
    <s v="2016-11-17 21"/>
    <x v="2"/>
    <x v="3"/>
    <s v="2016-11-17 "/>
    <x v="3"/>
    <n v="6"/>
    <n v="77"/>
    <n v="93"/>
    <n v="95"/>
    <n v="38"/>
    <n v="11"/>
    <n v="27"/>
    <n v="0.4"/>
    <n v="0.76"/>
    <n v="29"/>
    <n v="83"/>
  </r>
  <r>
    <s v="2016-11-17 20"/>
    <x v="3"/>
    <x v="3"/>
    <s v="2016-11-17 "/>
    <x v="3"/>
    <n v="8"/>
    <n v="70"/>
    <n v="90"/>
    <n v="97"/>
    <n v="42"/>
    <n v="9"/>
    <n v="33"/>
    <n v="0.4"/>
    <n v="0.55000000000000004"/>
    <n v="23"/>
    <n v="78"/>
  </r>
  <r>
    <s v="2016-11-17 19"/>
    <x v="4"/>
    <x v="3"/>
    <s v="2016-11-17 "/>
    <x v="3"/>
    <n v="15"/>
    <n v="76"/>
    <n v="84"/>
    <n v="87"/>
    <n v="38"/>
    <n v="14"/>
    <n v="24"/>
    <n v="0.4"/>
    <n v="0.45"/>
    <n v="17"/>
    <n v="91"/>
  </r>
  <r>
    <s v="2016-11-17 18"/>
    <x v="5"/>
    <x v="3"/>
    <s v="2016-11-17 "/>
    <x v="3"/>
    <n v="34"/>
    <n v="93"/>
    <n v="73"/>
    <n v="83"/>
    <n v="31"/>
    <n v="18"/>
    <n v="13"/>
    <n v="0.4"/>
    <n v="1"/>
    <n v="31"/>
    <n v="127"/>
  </r>
  <r>
    <s v="2016-11-17 17"/>
    <x v="6"/>
    <x v="3"/>
    <s v="2016-11-17 "/>
    <x v="3"/>
    <n v="22"/>
    <n v="61"/>
    <n v="73"/>
    <n v="82"/>
    <n v="26"/>
    <n v="9"/>
    <n v="17"/>
    <n v="0.3"/>
    <n v="0.69"/>
    <n v="18"/>
    <n v="83"/>
  </r>
  <r>
    <s v="2016-11-17 16"/>
    <x v="7"/>
    <x v="3"/>
    <s v="2016-11-17 "/>
    <x v="3"/>
    <n v="21"/>
    <n v="41"/>
    <n v="66"/>
    <n v="71"/>
    <n v="22"/>
    <n v="6"/>
    <n v="17"/>
    <n v="0.3"/>
    <n v="0.59"/>
    <n v="13"/>
    <n v="62"/>
  </r>
  <r>
    <s v="2016-11-17 15"/>
    <x v="8"/>
    <x v="3"/>
    <s v="2016-11-17 "/>
    <x v="3"/>
    <n v="17"/>
    <n v="40"/>
    <n v="70"/>
    <n v="63"/>
    <n v="19"/>
    <n v="4"/>
    <n v="15"/>
    <n v="0.3"/>
    <n v="0.37"/>
    <n v="7"/>
    <n v="57"/>
  </r>
  <r>
    <s v="2016-11-17 14"/>
    <x v="9"/>
    <x v="3"/>
    <s v="2016-11-17 "/>
    <x v="3"/>
    <n v="8"/>
    <n v="24"/>
    <n v="75"/>
    <n v="60"/>
    <n v="21"/>
    <n v="2"/>
    <n v="19"/>
    <n v="0.3"/>
    <n v="0.19"/>
    <n v="4"/>
    <n v="32"/>
  </r>
  <r>
    <s v="2016-11-17 13"/>
    <x v="10"/>
    <x v="3"/>
    <s v="2016-11-17 "/>
    <x v="3"/>
    <n v="16"/>
    <n v="19"/>
    <n v="54"/>
    <n v="51"/>
    <n v="19"/>
    <n v="4"/>
    <n v="15"/>
    <n v="0.4"/>
    <n v="0.32"/>
    <n v="6"/>
    <n v="35"/>
  </r>
  <r>
    <s v="2016-11-17 12"/>
    <x v="11"/>
    <x v="3"/>
    <s v="2016-11-17 "/>
    <x v="3"/>
    <n v="10"/>
    <n v="29"/>
    <n v="74"/>
    <n v="71"/>
    <n v="24"/>
    <n v="4"/>
    <n v="21"/>
    <n v="0.3"/>
    <n v="0.46"/>
    <n v="11"/>
    <n v="39"/>
  </r>
  <r>
    <s v="2016-11-17 11"/>
    <x v="12"/>
    <x v="3"/>
    <s v="2016-11-17 "/>
    <x v="3"/>
    <n v="8"/>
    <n v="32"/>
    <n v="80"/>
    <n v="74"/>
    <n v="26"/>
    <n v="4"/>
    <n v="22"/>
    <n v="0.4"/>
    <n v="0.23"/>
    <n v="6"/>
    <n v="40"/>
  </r>
  <r>
    <s v="2016-11-17 10"/>
    <x v="13"/>
    <x v="3"/>
    <s v="2016-11-17 "/>
    <x v="3"/>
    <n v="17"/>
    <n v="49"/>
    <n v="74"/>
    <n v="78"/>
    <n v="35"/>
    <n v="12"/>
    <n v="23"/>
    <n v="0.4"/>
    <n v="0.56999999999999995"/>
    <n v="20"/>
    <n v="66"/>
  </r>
  <r>
    <s v="2016-11-17 09"/>
    <x v="14"/>
    <x v="3"/>
    <s v="2016-11-17 "/>
    <x v="3"/>
    <n v="33"/>
    <n v="56"/>
    <n v="63"/>
    <n v="74"/>
    <n v="32"/>
    <n v="18"/>
    <n v="14"/>
    <n v="0.4"/>
    <n v="0.94"/>
    <n v="30"/>
    <n v="89"/>
  </r>
  <r>
    <s v="2016-11-17 08"/>
    <x v="15"/>
    <x v="3"/>
    <s v="2016-11-17 "/>
    <x v="3"/>
    <n v="23"/>
    <n v="45"/>
    <n v="66"/>
    <n v="59"/>
    <n v="23"/>
    <n v="11"/>
    <n v="13"/>
    <n v="0.4"/>
    <n v="0.96"/>
    <n v="22"/>
    <n v="68"/>
  </r>
  <r>
    <s v="2016-11-17 07"/>
    <x v="16"/>
    <x v="3"/>
    <s v="2016-11-17 "/>
    <x v="3"/>
    <n v="22"/>
    <n v="16"/>
    <n v="42"/>
    <n v="34"/>
    <n v="9"/>
    <n v="4"/>
    <n v="5"/>
    <n v="0.3"/>
    <n v="1.1100000000000001"/>
    <n v="10"/>
    <n v="38"/>
  </r>
  <r>
    <s v="2016-11-17 06"/>
    <x v="17"/>
    <x v="3"/>
    <s v="2016-11-17 "/>
    <x v="3"/>
    <n v="6"/>
    <n v="3"/>
    <n v="33"/>
    <n v="29"/>
    <n v="7"/>
    <n v="0"/>
    <n v="7"/>
    <n v="0.2"/>
    <n v="0.28999999999999998"/>
    <n v="2"/>
    <n v="9"/>
  </r>
  <r>
    <s v="2016-11-17 05"/>
    <x v="18"/>
    <x v="3"/>
    <s v="2016-11-17 "/>
    <x v="3"/>
    <n v="1"/>
    <n v="3"/>
    <n v="75"/>
    <n v="28"/>
    <n v="10"/>
    <n v="1"/>
    <n v="9"/>
    <n v="0.4"/>
    <n v="0"/>
    <n v="0"/>
    <n v="4"/>
  </r>
  <r>
    <s v="2016-11-17 04"/>
    <x v="19"/>
    <x v="3"/>
    <s v="2016-11-17 "/>
    <x v="3"/>
    <n v="6"/>
    <n v="9"/>
    <n v="60"/>
    <n v="30"/>
    <n v="12"/>
    <n v="2"/>
    <n v="11"/>
    <n v="0.4"/>
    <n v="0.25"/>
    <n v="3"/>
    <n v="15"/>
  </r>
  <r>
    <s v="2016-11-17 03"/>
    <x v="20"/>
    <x v="3"/>
    <s v="2016-11-17 "/>
    <x v="3"/>
    <n v="16"/>
    <n v="19"/>
    <n v="54"/>
    <n v="37"/>
    <n v="16"/>
    <n v="4"/>
    <n v="12"/>
    <n v="0.4"/>
    <n v="0.5"/>
    <n v="8"/>
    <n v="35"/>
  </r>
  <r>
    <s v="2016-11-17 02"/>
    <x v="21"/>
    <x v="3"/>
    <s v="2016-11-17 "/>
    <x v="3"/>
    <n v="4"/>
    <n v="22"/>
    <n v="85"/>
    <n v="40"/>
    <n v="21"/>
    <n v="3"/>
    <n v="18"/>
    <n v="0.5"/>
    <n v="0.24"/>
    <n v="5"/>
    <n v="26"/>
  </r>
  <r>
    <s v="2016-11-17 01"/>
    <x v="22"/>
    <x v="3"/>
    <s v="2016-11-17 "/>
    <x v="3"/>
    <n v="4"/>
    <n v="19"/>
    <n v="83"/>
    <n v="55"/>
    <n v="25"/>
    <n v="2"/>
    <n v="23"/>
    <n v="0.5"/>
    <n v="0.32"/>
    <n v="8"/>
    <n v="23"/>
  </r>
  <r>
    <s v="2016-11-17 00"/>
    <x v="23"/>
    <x v="3"/>
    <s v="2016-11-17 "/>
    <x v="3"/>
    <n v="3"/>
    <n v="37"/>
    <n v="93"/>
    <n v="65"/>
    <n v="32"/>
    <n v="5"/>
    <n v="27"/>
    <n v="0.5"/>
    <n v="0.28000000000000003"/>
    <n v="9"/>
    <n v="40"/>
  </r>
  <r>
    <s v="2016-11-16 23"/>
    <x v="0"/>
    <x v="4"/>
    <s v="2016-11-16 "/>
    <x v="4"/>
    <n v="3"/>
    <n v="57"/>
    <n v="95"/>
    <n v="76"/>
    <n v="33"/>
    <n v="9"/>
    <n v="24"/>
    <n v="0.4"/>
    <n v="0.73"/>
    <n v="24"/>
    <n v="60"/>
  </r>
  <r>
    <s v="2016-11-16 22"/>
    <x v="1"/>
    <x v="4"/>
    <s v="2016-11-16 "/>
    <x v="4"/>
    <n v="18"/>
    <n v="65"/>
    <n v="78"/>
    <n v="84"/>
    <n v="35"/>
    <n v="11"/>
    <n v="23"/>
    <n v="0.4"/>
    <n v="0.94"/>
    <n v="33"/>
    <n v="83"/>
  </r>
  <r>
    <s v="2016-11-16 21"/>
    <x v="2"/>
    <x v="4"/>
    <s v="2016-11-16 "/>
    <x v="4"/>
    <n v="3"/>
    <n v="50"/>
    <n v="94"/>
    <n v="104"/>
    <n v="43"/>
    <n v="6"/>
    <n v="36"/>
    <n v="0.4"/>
    <n v="0.44"/>
    <n v="19"/>
    <n v="53"/>
  </r>
  <r>
    <s v="2016-11-16 20"/>
    <x v="3"/>
    <x v="4"/>
    <s v="2016-11-16 "/>
    <x v="4"/>
    <n v="4"/>
    <n v="52"/>
    <n v="93"/>
    <n v="103"/>
    <n v="46"/>
    <n v="7"/>
    <n v="39"/>
    <n v="0.4"/>
    <n v="0.41"/>
    <n v="19"/>
    <n v="56"/>
  </r>
  <r>
    <s v="2016-11-16 19"/>
    <x v="4"/>
    <x v="4"/>
    <s v="2016-11-16 "/>
    <x v="4"/>
    <n v="14"/>
    <n v="86"/>
    <n v="86"/>
    <n v="98"/>
    <n v="38"/>
    <n v="17"/>
    <n v="21"/>
    <n v="0.4"/>
    <n v="1.05"/>
    <n v="40"/>
    <n v="100"/>
  </r>
  <r>
    <s v="2016-11-16 18"/>
    <x v="5"/>
    <x v="4"/>
    <s v="2016-11-16 "/>
    <x v="4"/>
    <n v="16"/>
    <n v="71"/>
    <n v="82"/>
    <n v="92"/>
    <n v="31"/>
    <n v="16"/>
    <n v="15"/>
    <n v="0.3"/>
    <n v="0.94"/>
    <n v="29"/>
    <n v="87"/>
  </r>
  <r>
    <s v="2016-11-16 17"/>
    <x v="6"/>
    <x v="4"/>
    <s v="2016-11-16 "/>
    <x v="4"/>
    <n v="15"/>
    <n v="58"/>
    <n v="79"/>
    <n v="85"/>
    <n v="30"/>
    <n v="9"/>
    <n v="21"/>
    <n v="0.4"/>
    <n v="0.67"/>
    <n v="20"/>
    <n v="73"/>
  </r>
  <r>
    <s v="2016-11-16 16"/>
    <x v="7"/>
    <x v="4"/>
    <s v="2016-11-16 "/>
    <x v="4"/>
    <n v="6"/>
    <n v="23"/>
    <n v="79"/>
    <n v="94"/>
    <n v="25"/>
    <n v="2"/>
    <n v="23"/>
    <n v="0.3"/>
    <n v="0.2"/>
    <n v="5"/>
    <n v="29"/>
  </r>
  <r>
    <s v="2016-11-16 15"/>
    <x v="8"/>
    <x v="4"/>
    <s v="2016-11-16 "/>
    <x v="4"/>
    <n v="3"/>
    <n v="24"/>
    <n v="89"/>
    <n v="85"/>
    <n v="29"/>
    <n v="3"/>
    <n v="26"/>
    <n v="0.3"/>
    <n v="0.21"/>
    <n v="6"/>
    <n v="27"/>
  </r>
  <r>
    <s v="2016-11-16 14"/>
    <x v="9"/>
    <x v="4"/>
    <s v="2016-11-16 "/>
    <x v="4"/>
    <n v="4"/>
    <n v="26"/>
    <n v="87"/>
    <n v="76"/>
    <n v="29"/>
    <n v="3"/>
    <n v="26"/>
    <n v="0.4"/>
    <n v="0.1"/>
    <n v="3"/>
    <n v="30"/>
  </r>
  <r>
    <s v="2016-11-16 13"/>
    <x v="10"/>
    <x v="4"/>
    <s v="2016-11-16 "/>
    <x v="4"/>
    <n v="6"/>
    <n v="31"/>
    <n v="84"/>
    <n v="66"/>
    <n v="25"/>
    <n v="4"/>
    <n v="20"/>
    <n v="0.4"/>
    <n v="0.36"/>
    <n v="9"/>
    <n v="37"/>
  </r>
  <r>
    <s v="2016-11-16 12"/>
    <x v="11"/>
    <x v="4"/>
    <s v="2016-11-16 "/>
    <x v="4"/>
    <n v="5"/>
    <n v="31"/>
    <n v="86"/>
    <n v="70"/>
    <n v="26"/>
    <n v="6"/>
    <n v="20"/>
    <n v="0.4"/>
    <n v="0.38"/>
    <n v="10"/>
    <n v="36"/>
  </r>
  <r>
    <s v="2016-11-16 11"/>
    <x v="12"/>
    <x v="4"/>
    <s v="2016-11-16 "/>
    <x v="4"/>
    <n v="5"/>
    <n v="30"/>
    <n v="86"/>
    <n v="68"/>
    <n v="25"/>
    <n v="4"/>
    <n v="20"/>
    <n v="0.4"/>
    <n v="0.32"/>
    <n v="8"/>
    <n v="35"/>
  </r>
  <r>
    <s v="2016-11-16 10"/>
    <x v="13"/>
    <x v="4"/>
    <s v="2016-11-16 "/>
    <x v="4"/>
    <n v="5"/>
    <n v="49"/>
    <n v="91"/>
    <n v="84"/>
    <n v="34"/>
    <n v="8"/>
    <n v="26"/>
    <n v="0.4"/>
    <n v="0.5"/>
    <n v="17"/>
    <n v="54"/>
  </r>
  <r>
    <s v="2016-11-16 09"/>
    <x v="14"/>
    <x v="4"/>
    <s v="2016-11-16 "/>
    <x v="4"/>
    <n v="24"/>
    <n v="67"/>
    <n v="74"/>
    <n v="71"/>
    <n v="30"/>
    <n v="16"/>
    <n v="14"/>
    <n v="0.4"/>
    <n v="1.07"/>
    <n v="32"/>
    <n v="91"/>
  </r>
  <r>
    <s v="2016-11-16 08"/>
    <x v="15"/>
    <x v="4"/>
    <s v="2016-11-16 "/>
    <x v="4"/>
    <n v="33"/>
    <n v="53"/>
    <n v="62"/>
    <n v="55"/>
    <n v="20"/>
    <n v="9"/>
    <n v="11"/>
    <n v="0.4"/>
    <n v="1"/>
    <n v="20"/>
    <n v="86"/>
  </r>
  <r>
    <s v="2016-11-16 07"/>
    <x v="16"/>
    <x v="4"/>
    <s v="2016-11-16 "/>
    <x v="4"/>
    <n v="16"/>
    <n v="19"/>
    <n v="54"/>
    <n v="38"/>
    <n v="12"/>
    <n v="4"/>
    <n v="8"/>
    <n v="0.3"/>
    <n v="0.75"/>
    <n v="9"/>
    <n v="35"/>
  </r>
  <r>
    <s v="2016-11-16 06"/>
    <x v="17"/>
    <x v="4"/>
    <s v="2016-11-16 "/>
    <x v="4"/>
    <n v="2"/>
    <n v="4"/>
    <n v="67"/>
    <n v="30"/>
    <n v="9"/>
    <n v="0"/>
    <n v="9"/>
    <n v="0.3"/>
    <n v="0"/>
    <n v="0"/>
    <n v="6"/>
  </r>
  <r>
    <s v="2016-11-16 05"/>
    <x v="18"/>
    <x v="4"/>
    <s v="2016-11-16 "/>
    <x v="4"/>
    <n v="0"/>
    <n v="2"/>
    <n v="100"/>
    <n v="25"/>
    <n v="9"/>
    <n v="0"/>
    <n v="9"/>
    <n v="0.4"/>
    <n v="0"/>
    <n v="0"/>
    <n v="2"/>
  </r>
  <r>
    <s v="2016-11-16 04"/>
    <x v="19"/>
    <x v="4"/>
    <s v="2016-11-16 "/>
    <x v="4"/>
    <n v="2"/>
    <n v="3"/>
    <n v="60"/>
    <n v="27"/>
    <n v="11"/>
    <n v="0"/>
    <n v="11"/>
    <n v="0.4"/>
    <n v="0.09"/>
    <n v="1"/>
    <n v="5"/>
  </r>
  <r>
    <s v="2016-11-16 03"/>
    <x v="20"/>
    <x v="4"/>
    <s v="2016-11-16 "/>
    <x v="4"/>
    <n v="1"/>
    <n v="6"/>
    <n v="86"/>
    <n v="26"/>
    <n v="13"/>
    <n v="1"/>
    <n v="12"/>
    <n v="0.5"/>
    <n v="0.15"/>
    <n v="2"/>
    <n v="7"/>
  </r>
  <r>
    <s v="2016-11-16 02"/>
    <x v="21"/>
    <x v="4"/>
    <s v="2016-11-16 "/>
    <x v="4"/>
    <n v="1"/>
    <n v="4"/>
    <n v="80"/>
    <n v="34"/>
    <n v="13"/>
    <n v="1"/>
    <n v="12"/>
    <n v="0.4"/>
    <n v="0.15"/>
    <n v="2"/>
    <n v="5"/>
  </r>
  <r>
    <s v="2016-11-16 01"/>
    <x v="22"/>
    <x v="4"/>
    <s v="2016-11-16 "/>
    <x v="4"/>
    <n v="2"/>
    <n v="19"/>
    <n v="90"/>
    <n v="46"/>
    <n v="19"/>
    <n v="2"/>
    <n v="17"/>
    <n v="0.4"/>
    <n v="0.37"/>
    <n v="7"/>
    <n v="21"/>
  </r>
  <r>
    <s v="2016-11-16 00"/>
    <x v="23"/>
    <x v="4"/>
    <s v="2016-11-16 "/>
    <x v="4"/>
    <n v="6"/>
    <n v="39"/>
    <n v="87"/>
    <n v="54"/>
    <n v="24"/>
    <n v="5"/>
    <n v="19"/>
    <n v="0.4"/>
    <n v="0.5"/>
    <n v="12"/>
    <n v="45"/>
  </r>
  <r>
    <s v="2016-11-15 23"/>
    <x v="0"/>
    <x v="5"/>
    <s v="2016-11-15 "/>
    <x v="5"/>
    <n v="0"/>
    <n v="43"/>
    <n v="100"/>
    <n v="63"/>
    <n v="24"/>
    <n v="5"/>
    <n v="19"/>
    <n v="0.4"/>
    <n v="0.63"/>
    <n v="15"/>
    <n v="43"/>
  </r>
  <r>
    <s v="2016-11-15 22"/>
    <x v="1"/>
    <x v="5"/>
    <s v="2016-11-15 "/>
    <x v="5"/>
    <n v="11"/>
    <n v="51"/>
    <n v="82"/>
    <n v="68"/>
    <n v="28"/>
    <n v="8"/>
    <n v="20"/>
    <n v="0.4"/>
    <n v="0.71"/>
    <n v="20"/>
    <n v="62"/>
  </r>
  <r>
    <s v="2016-11-15 21"/>
    <x v="2"/>
    <x v="5"/>
    <s v="2016-11-15 "/>
    <x v="5"/>
    <n v="6"/>
    <n v="44"/>
    <n v="88"/>
    <n v="69"/>
    <n v="31"/>
    <n v="5"/>
    <n v="26"/>
    <n v="0.4"/>
    <n v="0.57999999999999996"/>
    <n v="18"/>
    <n v="50"/>
  </r>
  <r>
    <s v="2016-11-15 20"/>
    <x v="3"/>
    <x v="5"/>
    <s v="2016-11-15 "/>
    <x v="5"/>
    <n v="13"/>
    <n v="49"/>
    <n v="79"/>
    <n v="84"/>
    <n v="33"/>
    <n v="11"/>
    <n v="22"/>
    <n v="0.4"/>
    <n v="0.55000000000000004"/>
    <n v="18"/>
    <n v="62"/>
  </r>
  <r>
    <s v="2016-11-15 19"/>
    <x v="4"/>
    <x v="5"/>
    <s v="2016-11-15 "/>
    <x v="5"/>
    <n v="17"/>
    <n v="75"/>
    <n v="82"/>
    <n v="85"/>
    <n v="31"/>
    <n v="14"/>
    <n v="17"/>
    <n v="0.4"/>
    <n v="1"/>
    <n v="31"/>
    <n v="92"/>
  </r>
  <r>
    <s v="2016-11-15 18"/>
    <x v="5"/>
    <x v="5"/>
    <s v="2016-11-15 "/>
    <x v="5"/>
    <n v="13"/>
    <n v="60"/>
    <n v="82"/>
    <n v="78"/>
    <n v="29"/>
    <n v="13"/>
    <n v="16"/>
    <n v="0.4"/>
    <n v="0.93"/>
    <n v="27"/>
    <n v="73"/>
  </r>
  <r>
    <s v="2016-11-15 17"/>
    <x v="6"/>
    <x v="5"/>
    <s v="2016-11-15 "/>
    <x v="5"/>
    <n v="15"/>
    <n v="50"/>
    <n v="77"/>
    <n v="83"/>
    <n v="23"/>
    <n v="8"/>
    <n v="15"/>
    <n v="0.3"/>
    <n v="0.65"/>
    <n v="15"/>
    <n v="65"/>
  </r>
  <r>
    <s v="2016-11-15 16"/>
    <x v="7"/>
    <x v="5"/>
    <s v="2016-11-15 "/>
    <x v="5"/>
    <n v="6"/>
    <n v="37"/>
    <n v="86"/>
    <n v="80"/>
    <n v="25"/>
    <n v="3"/>
    <n v="23"/>
    <n v="0.3"/>
    <n v="0.32"/>
    <n v="8"/>
    <n v="43"/>
  </r>
  <r>
    <s v="2016-11-15 15"/>
    <x v="8"/>
    <x v="5"/>
    <s v="2016-11-15 "/>
    <x v="5"/>
    <n v="5"/>
    <n v="16"/>
    <n v="76"/>
    <n v="76"/>
    <n v="20"/>
    <n v="1"/>
    <n v="19"/>
    <n v="0.3"/>
    <n v="0.2"/>
    <n v="4"/>
    <n v="21"/>
  </r>
  <r>
    <s v="2016-11-15 14"/>
    <x v="9"/>
    <x v="5"/>
    <s v="2016-11-15 "/>
    <x v="5"/>
    <n v="5"/>
    <n v="21"/>
    <n v="81"/>
    <n v="66"/>
    <n v="19"/>
    <n v="3"/>
    <n v="16"/>
    <n v="0.3"/>
    <n v="0.21"/>
    <n v="4"/>
    <n v="26"/>
  </r>
  <r>
    <s v="2016-11-15 13"/>
    <x v="10"/>
    <x v="5"/>
    <s v="2016-11-15 "/>
    <x v="5"/>
    <n v="3"/>
    <n v="22"/>
    <n v="88"/>
    <n v="61"/>
    <n v="22"/>
    <n v="3"/>
    <n v="20"/>
    <n v="0.4"/>
    <n v="0.27"/>
    <n v="6"/>
    <n v="25"/>
  </r>
  <r>
    <s v="2016-11-15 12"/>
    <x v="11"/>
    <x v="5"/>
    <s v="2016-11-15 "/>
    <x v="5"/>
    <n v="7"/>
    <n v="34"/>
    <n v="83"/>
    <n v="63"/>
    <n v="19"/>
    <n v="3"/>
    <n v="15"/>
    <n v="0.3"/>
    <n v="0.42"/>
    <n v="8"/>
    <n v="41"/>
  </r>
  <r>
    <s v="2016-11-15 11"/>
    <x v="12"/>
    <x v="5"/>
    <s v="2016-11-15 "/>
    <x v="5"/>
    <n v="2"/>
    <n v="24"/>
    <n v="92"/>
    <n v="67"/>
    <n v="22"/>
    <n v="3"/>
    <n v="19"/>
    <n v="0.3"/>
    <n v="0.32"/>
    <n v="7"/>
    <n v="26"/>
  </r>
  <r>
    <s v="2016-11-15 10"/>
    <x v="13"/>
    <x v="5"/>
    <s v="2016-11-15 "/>
    <x v="5"/>
    <n v="13"/>
    <n v="34"/>
    <n v="72"/>
    <n v="66"/>
    <n v="27"/>
    <n v="8"/>
    <n v="19"/>
    <n v="0.4"/>
    <n v="0.44"/>
    <n v="12"/>
    <n v="47"/>
  </r>
  <r>
    <s v="2016-11-15 09"/>
    <x v="14"/>
    <x v="5"/>
    <s v="2016-11-15 "/>
    <x v="5"/>
    <n v="41"/>
    <n v="52"/>
    <n v="56"/>
    <n v="59"/>
    <n v="24"/>
    <n v="15"/>
    <n v="9"/>
    <n v="0.4"/>
    <n v="1.21"/>
    <n v="29"/>
    <n v="93"/>
  </r>
  <r>
    <s v="2016-11-15 08"/>
    <x v="15"/>
    <x v="5"/>
    <s v="2016-11-15 "/>
    <x v="5"/>
    <n v="58"/>
    <n v="35"/>
    <n v="38"/>
    <n v="44"/>
    <n v="14"/>
    <n v="8"/>
    <n v="7"/>
    <n v="0.3"/>
    <n v="1.07"/>
    <n v="15"/>
    <n v="93"/>
  </r>
  <r>
    <s v="2016-11-15 07"/>
    <x v="16"/>
    <x v="5"/>
    <s v="2016-11-15 "/>
    <x v="5"/>
    <n v="27"/>
    <n v="14"/>
    <n v="34"/>
    <n v="32"/>
    <n v="10"/>
    <n v="3"/>
    <n v="7"/>
    <n v="0.3"/>
    <n v="0.6"/>
    <n v="6"/>
    <n v="41"/>
  </r>
  <r>
    <s v="2016-11-15 06"/>
    <x v="17"/>
    <x v="5"/>
    <s v="2016-11-15 "/>
    <x v="5"/>
    <n v="2"/>
    <n v="4"/>
    <n v="67"/>
    <n v="25"/>
    <n v="11"/>
    <n v="1"/>
    <n v="11"/>
    <n v="0.4"/>
    <n v="0.36"/>
    <n v="4"/>
    <n v="6"/>
  </r>
  <r>
    <s v="2016-11-15 05"/>
    <x v="18"/>
    <x v="5"/>
    <s v="2016-11-15 "/>
    <x v="5"/>
    <n v="2"/>
    <n v="1"/>
    <n v="33"/>
    <n v="23"/>
    <n v="10"/>
    <n v="0"/>
    <n v="10"/>
    <n v="0.4"/>
    <n v="0"/>
    <n v="0"/>
    <n v="3"/>
  </r>
  <r>
    <s v="2016-11-15 04"/>
    <x v="19"/>
    <x v="5"/>
    <s v="2016-11-15 "/>
    <x v="5"/>
    <n v="1"/>
    <n v="1"/>
    <n v="50"/>
    <n v="22"/>
    <n v="10"/>
    <n v="0"/>
    <n v="10"/>
    <n v="0.5"/>
    <n v="0"/>
    <n v="0"/>
    <n v="2"/>
  </r>
  <r>
    <s v="2016-11-15 03"/>
    <x v="20"/>
    <x v="5"/>
    <s v="2016-11-15 "/>
    <x v="5"/>
    <n v="1"/>
    <n v="2"/>
    <n v="67"/>
    <n v="25"/>
    <n v="12"/>
    <n v="0"/>
    <n v="12"/>
    <n v="0.5"/>
    <n v="0"/>
    <n v="0"/>
    <n v="3"/>
  </r>
  <r>
    <s v="2016-11-15 02"/>
    <x v="21"/>
    <x v="5"/>
    <s v="2016-11-15 "/>
    <x v="5"/>
    <n v="0"/>
    <n v="5"/>
    <n v="100"/>
    <n v="26"/>
    <n v="14"/>
    <n v="1"/>
    <n v="14"/>
    <n v="0.5"/>
    <n v="0.14000000000000001"/>
    <n v="2"/>
    <n v="5"/>
  </r>
  <r>
    <s v="2016-11-15 01"/>
    <x v="22"/>
    <x v="5"/>
    <s v="2016-11-15 "/>
    <x v="5"/>
    <n v="1"/>
    <n v="4"/>
    <n v="80"/>
    <n v="39"/>
    <n v="15"/>
    <n v="0"/>
    <n v="15"/>
    <n v="0.4"/>
    <n v="7.0000000000000007E-2"/>
    <n v="1"/>
    <n v="5"/>
  </r>
  <r>
    <s v="2016-11-15 00"/>
    <x v="23"/>
    <x v="5"/>
    <s v="2016-11-15 "/>
    <x v="5"/>
    <n v="4"/>
    <n v="23"/>
    <n v="85"/>
    <n v="46"/>
    <n v="21"/>
    <n v="4"/>
    <n v="17"/>
    <n v="0.5"/>
    <n v="0.43"/>
    <n v="9"/>
    <n v="27"/>
  </r>
  <r>
    <s v="2016-11-14 23"/>
    <x v="0"/>
    <x v="6"/>
    <s v="2016-11-14 "/>
    <x v="6"/>
    <n v="10"/>
    <n v="26"/>
    <n v="72"/>
    <n v="52"/>
    <n v="21"/>
    <n v="6"/>
    <n v="16"/>
    <n v="0.4"/>
    <n v="0.71"/>
    <n v="15"/>
    <n v="36"/>
  </r>
  <r>
    <s v="2016-11-14 22"/>
    <x v="1"/>
    <x v="6"/>
    <s v="2016-11-14 "/>
    <x v="6"/>
    <n v="7"/>
    <n v="31"/>
    <n v="82"/>
    <n v="65"/>
    <n v="27"/>
    <n v="5"/>
    <n v="22"/>
    <n v="0.4"/>
    <n v="0.48"/>
    <n v="13"/>
    <n v="38"/>
  </r>
  <r>
    <s v="2016-11-14 21"/>
    <x v="2"/>
    <x v="6"/>
    <s v="2016-11-14 "/>
    <x v="6"/>
    <n v="4"/>
    <n v="38"/>
    <n v="90"/>
    <n v="76"/>
    <n v="35"/>
    <n v="7"/>
    <n v="28"/>
    <n v="0.5"/>
    <n v="0.56999999999999995"/>
    <n v="20"/>
    <n v="42"/>
  </r>
  <r>
    <s v="2016-11-14 20"/>
    <x v="3"/>
    <x v="6"/>
    <s v="2016-11-14 "/>
    <x v="6"/>
    <n v="6"/>
    <n v="37"/>
    <n v="86"/>
    <n v="85"/>
    <n v="31"/>
    <n v="7"/>
    <n v="24"/>
    <n v="0.4"/>
    <n v="0.65"/>
    <n v="20"/>
    <n v="43"/>
  </r>
  <r>
    <s v="2016-11-14 19"/>
    <x v="4"/>
    <x v="6"/>
    <s v="2016-11-14 "/>
    <x v="6"/>
    <n v="10"/>
    <n v="54"/>
    <n v="84"/>
    <n v="94"/>
    <n v="33"/>
    <n v="9"/>
    <n v="24"/>
    <n v="0.4"/>
    <n v="0.48"/>
    <n v="16"/>
    <n v="64"/>
  </r>
  <r>
    <s v="2016-11-14 18"/>
    <x v="5"/>
    <x v="6"/>
    <s v="2016-11-14 "/>
    <x v="6"/>
    <n v="11"/>
    <n v="59"/>
    <n v="84"/>
    <n v="74"/>
    <n v="28"/>
    <n v="14"/>
    <n v="14"/>
    <n v="0.4"/>
    <n v="0.86"/>
    <n v="24"/>
    <n v="70"/>
  </r>
  <r>
    <s v="2016-11-14 17"/>
    <x v="6"/>
    <x v="6"/>
    <s v="2016-11-14 "/>
    <x v="6"/>
    <n v="0"/>
    <n v="37"/>
    <n v="100"/>
    <n v="71"/>
    <n v="31"/>
    <n v="7"/>
    <n v="25"/>
    <n v="0.4"/>
    <n v="0.52"/>
    <n v="16"/>
    <n v="37"/>
  </r>
  <r>
    <s v="2016-11-14 16"/>
    <x v="7"/>
    <x v="6"/>
    <s v="2016-11-14 "/>
    <x v="6"/>
    <n v="5"/>
    <n v="28"/>
    <n v="85"/>
    <n v="65"/>
    <n v="21"/>
    <n v="3"/>
    <n v="18"/>
    <n v="0.3"/>
    <n v="0.43"/>
    <n v="9"/>
    <n v="33"/>
  </r>
  <r>
    <s v="2016-11-14 15"/>
    <x v="8"/>
    <x v="6"/>
    <s v="2016-11-14 "/>
    <x v="6"/>
    <n v="2"/>
    <n v="23"/>
    <n v="92"/>
    <n v="68"/>
    <n v="27"/>
    <n v="2"/>
    <n v="24"/>
    <n v="0.4"/>
    <n v="0.11"/>
    <n v="3"/>
    <n v="25"/>
  </r>
  <r>
    <s v="2016-11-14 14"/>
    <x v="9"/>
    <x v="6"/>
    <s v="2016-11-14 "/>
    <x v="6"/>
    <n v="7"/>
    <n v="21"/>
    <n v="75"/>
    <n v="68"/>
    <n v="25"/>
    <n v="2"/>
    <n v="23"/>
    <n v="0.4"/>
    <n v="0.2"/>
    <n v="5"/>
    <n v="28"/>
  </r>
  <r>
    <s v="2016-11-14 13"/>
    <x v="10"/>
    <x v="6"/>
    <s v="2016-11-14 "/>
    <x v="6"/>
    <n v="4"/>
    <n v="25"/>
    <n v="86"/>
    <n v="68"/>
    <n v="25"/>
    <n v="2"/>
    <n v="23"/>
    <n v="0.4"/>
    <n v="0.16"/>
    <n v="4"/>
    <n v="29"/>
  </r>
  <r>
    <s v="2016-11-14 12"/>
    <x v="11"/>
    <x v="6"/>
    <s v="2016-11-14 "/>
    <x v="6"/>
    <n v="3"/>
    <n v="19"/>
    <n v="86"/>
    <n v="72"/>
    <n v="25"/>
    <n v="2"/>
    <n v="23"/>
    <n v="0.3"/>
    <n v="0.16"/>
    <n v="4"/>
    <n v="22"/>
  </r>
  <r>
    <s v="2016-11-14 11"/>
    <x v="12"/>
    <x v="6"/>
    <s v="2016-11-14 "/>
    <x v="6"/>
    <n v="5"/>
    <n v="22"/>
    <n v="81"/>
    <n v="69"/>
    <n v="27"/>
    <n v="4"/>
    <n v="23"/>
    <n v="0.4"/>
    <n v="0.3"/>
    <n v="8"/>
    <n v="27"/>
  </r>
  <r>
    <s v="2016-11-14 10"/>
    <x v="13"/>
    <x v="6"/>
    <s v="2016-11-14 "/>
    <x v="6"/>
    <n v="12"/>
    <n v="43"/>
    <n v="78"/>
    <n v="65"/>
    <n v="24"/>
    <n v="7"/>
    <n v="17"/>
    <n v="0.4"/>
    <n v="0.54"/>
    <n v="13"/>
    <n v="55"/>
  </r>
  <r>
    <s v="2016-11-14 09"/>
    <x v="14"/>
    <x v="6"/>
    <s v="2016-11-14 "/>
    <x v="6"/>
    <n v="43"/>
    <n v="42"/>
    <n v="49"/>
    <n v="55"/>
    <n v="20"/>
    <n v="12"/>
    <n v="7"/>
    <n v="0.4"/>
    <n v="0.95"/>
    <n v="19"/>
    <n v="85"/>
  </r>
  <r>
    <s v="2016-11-14 08"/>
    <x v="15"/>
    <x v="6"/>
    <s v="2016-11-14 "/>
    <x v="6"/>
    <n v="38"/>
    <n v="39"/>
    <n v="51"/>
    <n v="47"/>
    <n v="16"/>
    <n v="9"/>
    <n v="7"/>
    <n v="0.3"/>
    <n v="1.19"/>
    <n v="19"/>
    <n v="77"/>
  </r>
  <r>
    <s v="2016-11-14 07"/>
    <x v="16"/>
    <x v="6"/>
    <s v="2016-11-14 "/>
    <x v="6"/>
    <n v="22"/>
    <n v="25"/>
    <n v="53"/>
    <n v="37"/>
    <n v="9"/>
    <n v="4"/>
    <n v="6"/>
    <n v="0.2"/>
    <n v="1.1100000000000001"/>
    <n v="10"/>
    <n v="47"/>
  </r>
  <r>
    <s v="2016-11-14 06"/>
    <x v="17"/>
    <x v="6"/>
    <s v="2016-11-14 "/>
    <x v="6"/>
    <n v="1"/>
    <n v="5"/>
    <n v="83"/>
    <n v="23"/>
    <n v="7"/>
    <n v="1"/>
    <n v="6"/>
    <n v="0.3"/>
    <n v="0.14000000000000001"/>
    <n v="1"/>
    <n v="6"/>
  </r>
  <r>
    <s v="2016-11-14 05"/>
    <x v="18"/>
    <x v="6"/>
    <s v="2016-11-14 "/>
    <x v="6"/>
    <n v="4"/>
    <n v="4"/>
    <n v="50"/>
    <n v="16"/>
    <n v="6"/>
    <n v="1"/>
    <n v="5"/>
    <n v="0.4"/>
    <n v="0.5"/>
    <n v="3"/>
    <n v="8"/>
  </r>
  <r>
    <s v="2016-11-14 04"/>
    <x v="19"/>
    <x v="6"/>
    <s v="2016-11-14 "/>
    <x v="6"/>
    <n v="4"/>
    <n v="4"/>
    <n v="50"/>
    <n v="15"/>
    <n v="6"/>
    <n v="0"/>
    <n v="6"/>
    <n v="0.4"/>
    <n v="0"/>
    <n v="0"/>
    <n v="8"/>
  </r>
  <r>
    <s v="2016-11-14 03"/>
    <x v="20"/>
    <x v="6"/>
    <s v="2016-11-14 "/>
    <x v="6"/>
    <n v="1"/>
    <n v="2"/>
    <n v="67"/>
    <n v="18"/>
    <n v="7"/>
    <n v="0"/>
    <n v="7"/>
    <n v="0.4"/>
    <n v="0"/>
    <n v="0"/>
    <n v="3"/>
  </r>
  <r>
    <s v="2016-11-14 02"/>
    <x v="21"/>
    <x v="6"/>
    <s v="2016-11-14 "/>
    <x v="6"/>
    <n v="3"/>
    <n v="6"/>
    <n v="67"/>
    <n v="21"/>
    <n v="7"/>
    <n v="0"/>
    <n v="7"/>
    <n v="0.3"/>
    <n v="0.14000000000000001"/>
    <n v="1"/>
    <n v="9"/>
  </r>
  <r>
    <s v="2016-11-14 01"/>
    <x v="22"/>
    <x v="6"/>
    <s v="2016-11-14 "/>
    <x v="6"/>
    <n v="8"/>
    <n v="8"/>
    <n v="50"/>
    <n v="29"/>
    <n v="9"/>
    <n v="1"/>
    <n v="8"/>
    <n v="0.3"/>
    <n v="0.22"/>
    <n v="2"/>
    <n v="16"/>
  </r>
  <r>
    <s v="2016-11-14 00"/>
    <x v="23"/>
    <x v="6"/>
    <s v="2016-11-14 "/>
    <x v="6"/>
    <n v="9"/>
    <n v="15"/>
    <n v="63"/>
    <n v="38"/>
    <n v="14"/>
    <n v="3"/>
    <n v="11"/>
    <n v="0.4"/>
    <n v="0.43"/>
    <n v="6"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2016-12-18 09"/>
    <s v=" 09"/>
    <x v="0"/>
    <s v="2016-12-18 "/>
    <s v="Saturday"/>
    <n v="7"/>
    <n v="5"/>
    <n v="42"/>
    <n v="22"/>
    <n v="7"/>
    <n v="1"/>
    <n v="6"/>
    <n v="0.3"/>
    <n v="0.14000000000000001"/>
    <n v="1"/>
    <n v="12"/>
  </r>
  <r>
    <s v="2016-12-17 09"/>
    <s v=" 09"/>
    <x v="1"/>
    <s v="2016-12-17 "/>
    <s v="Friday"/>
    <n v="37"/>
    <n v="25"/>
    <n v="40"/>
    <n v="23"/>
    <n v="7"/>
    <n v="4"/>
    <n v="2"/>
    <n v="0.3"/>
    <n v="1.1399999999999999"/>
    <n v="8"/>
    <n v="62"/>
  </r>
  <r>
    <s v="2016-12-16 09"/>
    <s v=" 09"/>
    <x v="2"/>
    <s v="2016-12-16 "/>
    <s v="Thursday"/>
    <n v="90"/>
    <n v="73"/>
    <n v="45"/>
    <n v="47"/>
    <n v="22"/>
    <n v="17"/>
    <n v="5"/>
    <n v="0.5"/>
    <n v="1.59"/>
    <n v="35"/>
    <n v="163"/>
  </r>
  <r>
    <s v="2016-12-15 09"/>
    <s v=" 09"/>
    <x v="3"/>
    <s v="2016-12-15 "/>
    <s v="Wednesday"/>
    <n v="43"/>
    <n v="57"/>
    <n v="57"/>
    <n v="54"/>
    <n v="25"/>
    <n v="18"/>
    <n v="7"/>
    <n v="0.5"/>
    <n v="1.48"/>
    <n v="37"/>
    <n v="100"/>
  </r>
  <r>
    <s v="2016-12-14 09"/>
    <s v=" 09"/>
    <x v="4"/>
    <s v="2016-12-14 "/>
    <s v="Tuesday"/>
    <n v="61"/>
    <n v="64"/>
    <n v="51"/>
    <n v="57"/>
    <n v="22"/>
    <n v="17"/>
    <n v="6"/>
    <n v="0.4"/>
    <n v="1.5"/>
    <n v="33"/>
    <n v="125"/>
  </r>
  <r>
    <s v="2016-12-13 09"/>
    <s v=" 09"/>
    <x v="5"/>
    <s v="2016-12-13 "/>
    <s v="Monday"/>
    <n v="61"/>
    <n v="50"/>
    <n v="45"/>
    <n v="54"/>
    <n v="19"/>
    <n v="13"/>
    <n v="6"/>
    <n v="0.4"/>
    <n v="1.37"/>
    <n v="26"/>
    <n v="111"/>
  </r>
  <r>
    <s v="2016-12-12 09"/>
    <s v=" 09"/>
    <x v="6"/>
    <s v="2016-12-12 "/>
    <s v="Sunday"/>
    <n v="41"/>
    <n v="45"/>
    <n v="52"/>
    <n v="56"/>
    <n v="19"/>
    <n v="13"/>
    <n v="6"/>
    <n v="0.3"/>
    <n v="1.42"/>
    <n v="27"/>
    <n v="86"/>
  </r>
  <r>
    <s v="2016-12-11 09"/>
    <s v=" 09"/>
    <x v="0"/>
    <s v="2016-12-11 "/>
    <s v="Saturday"/>
    <n v="9"/>
    <n v="14"/>
    <n v="61"/>
    <n v="29"/>
    <n v="8"/>
    <n v="1"/>
    <n v="7"/>
    <n v="0.3"/>
    <n v="0.25"/>
    <n v="2"/>
    <n v="23"/>
  </r>
  <r>
    <s v="2016-12-10 09"/>
    <s v=" 09"/>
    <x v="1"/>
    <s v="2016-12-10 "/>
    <s v="Friday"/>
    <n v="9"/>
    <n v="17"/>
    <n v="65"/>
    <n v="42"/>
    <n v="11"/>
    <n v="3"/>
    <n v="8"/>
    <n v="0.3"/>
    <n v="0.64"/>
    <n v="7"/>
    <n v="26"/>
  </r>
  <r>
    <s v="2016-12-09 09"/>
    <s v=" 09"/>
    <x v="2"/>
    <s v="2016-12-09 "/>
    <s v="Thursday"/>
    <n v="62"/>
    <n v="73"/>
    <n v="54"/>
    <n v="59"/>
    <n v="22"/>
    <n v="17"/>
    <n v="5"/>
    <n v="0.4"/>
    <n v="1.68"/>
    <n v="37"/>
    <n v="135"/>
  </r>
  <r>
    <s v="2016-12-08 09"/>
    <s v=" 09"/>
    <x v="3"/>
    <s v="2016-12-08 "/>
    <s v="Wednesday"/>
    <n v="17"/>
    <n v="65"/>
    <n v="79"/>
    <n v="77"/>
    <n v="32"/>
    <n v="17"/>
    <n v="15"/>
    <n v="0.4"/>
    <n v="1.1299999999999999"/>
    <n v="36"/>
    <n v="82"/>
  </r>
  <r>
    <s v="2016-12-07 09"/>
    <s v=" 09"/>
    <x v="4"/>
    <s v="2016-12-07 "/>
    <s v="Tuesday"/>
    <n v="27"/>
    <n v="64"/>
    <n v="70"/>
    <n v="84"/>
    <n v="27"/>
    <n v="13"/>
    <n v="14"/>
    <n v="0.3"/>
    <n v="1"/>
    <n v="27"/>
    <n v="91"/>
  </r>
  <r>
    <s v="2016-12-06 09"/>
    <s v=" 09"/>
    <x v="5"/>
    <s v="2016-12-06 "/>
    <s v="Monday"/>
    <n v="39"/>
    <n v="66"/>
    <n v="63"/>
    <n v="75"/>
    <n v="30"/>
    <n v="16"/>
    <n v="14"/>
    <n v="0.4"/>
    <n v="0.97"/>
    <n v="29"/>
    <n v="105"/>
  </r>
  <r>
    <s v="2016-12-05 09"/>
    <s v=" 09"/>
    <x v="6"/>
    <s v="2016-12-05 "/>
    <s v="Sunday"/>
    <n v="32"/>
    <n v="66"/>
    <n v="67"/>
    <n v="75"/>
    <n v="27"/>
    <n v="15"/>
    <n v="12"/>
    <n v="0.4"/>
    <n v="1.07"/>
    <n v="29"/>
    <n v="98"/>
  </r>
  <r>
    <s v="2016-12-04 09"/>
    <s v=" 09"/>
    <x v="0"/>
    <s v="2016-12-04 "/>
    <s v="Saturday"/>
    <n v="3"/>
    <n v="15"/>
    <n v="83"/>
    <n v="39"/>
    <n v="14"/>
    <n v="0"/>
    <n v="14"/>
    <n v="0.4"/>
    <n v="0"/>
    <n v="0"/>
    <n v="18"/>
  </r>
  <r>
    <s v="2016-12-03 09"/>
    <s v=" 09"/>
    <x v="1"/>
    <s v="2016-12-03 "/>
    <s v="Friday"/>
    <n v="1"/>
    <n v="9"/>
    <n v="90"/>
    <n v="46"/>
    <n v="22"/>
    <n v="0"/>
    <n v="22"/>
    <n v="0.5"/>
    <n v="0"/>
    <n v="0"/>
    <n v="10"/>
  </r>
  <r>
    <s v="2016-12-02 09"/>
    <s v=" 09"/>
    <x v="2"/>
    <s v="2016-12-02 "/>
    <s v="Thursday"/>
    <n v="2"/>
    <n v="23"/>
    <n v="92"/>
    <n v="71"/>
    <n v="32"/>
    <n v="3"/>
    <n v="29"/>
    <n v="0.5"/>
    <n v="0.19"/>
    <n v="6"/>
    <n v="25"/>
  </r>
  <r>
    <s v="2016-12-01 09"/>
    <s v=" 09"/>
    <x v="3"/>
    <s v="2016-12-01 "/>
    <s v="Wednesday"/>
    <n v="1"/>
    <n v="21"/>
    <n v="95"/>
    <n v="47"/>
    <n v="21"/>
    <n v="2"/>
    <n v="19"/>
    <n v="0.4"/>
    <n v="0.28999999999999998"/>
    <n v="6"/>
    <n v="22"/>
  </r>
  <r>
    <s v="2016-11-30 09"/>
    <s v=" 09"/>
    <x v="4"/>
    <s v="2016-11-30 "/>
    <s v="Tuesday"/>
    <n v="7"/>
    <n v="19"/>
    <n v="73"/>
    <n v="67"/>
    <n v="26"/>
    <n v="3"/>
    <n v="23"/>
    <n v="0.4"/>
    <n v="0.31"/>
    <n v="8"/>
    <n v="26"/>
  </r>
  <r>
    <s v="2016-11-29 09"/>
    <s v=" 09"/>
    <x v="5"/>
    <s v="2016-11-29 "/>
    <s v="Monday"/>
    <n v="33"/>
    <n v="64"/>
    <n v="66"/>
    <n v="82"/>
    <n v="35"/>
    <n v="20"/>
    <n v="15"/>
    <n v="0.4"/>
    <n v="0.86"/>
    <n v="30"/>
    <n v="97"/>
  </r>
  <r>
    <s v="2016-11-28 09"/>
    <s v=" 09"/>
    <x v="6"/>
    <s v="2016-11-28 "/>
    <s v="Sunday"/>
    <n v="20"/>
    <n v="51"/>
    <n v="72"/>
    <n v="77"/>
    <n v="34"/>
    <n v="15"/>
    <n v="19"/>
    <n v="0.4"/>
    <n v="0.76"/>
    <n v="26"/>
    <n v="71"/>
  </r>
  <r>
    <s v="2016-11-27 09"/>
    <s v=" 09"/>
    <x v="0"/>
    <s v="2016-11-27 "/>
    <s v="Saturday"/>
    <n v="6"/>
    <n v="16"/>
    <n v="73"/>
    <n v="28"/>
    <n v="12"/>
    <n v="0"/>
    <n v="12"/>
    <n v="0.4"/>
    <n v="0.17"/>
    <n v="2"/>
    <n v="22"/>
  </r>
  <r>
    <s v="2016-11-26 09"/>
    <s v=" 09"/>
    <x v="1"/>
    <s v="2016-11-26 "/>
    <s v="Friday"/>
    <n v="6"/>
    <n v="23"/>
    <n v="79"/>
    <n v="45"/>
    <n v="17"/>
    <n v="2"/>
    <n v="15"/>
    <n v="0.4"/>
    <n v="0.28999999999999998"/>
    <n v="5"/>
    <n v="29"/>
  </r>
  <r>
    <s v="2016-11-25 09"/>
    <s v=" 09"/>
    <x v="2"/>
    <s v="2016-11-25 "/>
    <s v="Thursday"/>
    <n v="49"/>
    <n v="66"/>
    <n v="57"/>
    <n v="70"/>
    <n v="26"/>
    <n v="16"/>
    <n v="10"/>
    <n v="0.4"/>
    <n v="1.23"/>
    <n v="32"/>
    <n v="115"/>
  </r>
  <r>
    <s v="2016-11-24 09"/>
    <s v=" 09"/>
    <x v="3"/>
    <s v="2016-11-24 "/>
    <s v="Wednesday"/>
    <n v="38"/>
    <n v="72"/>
    <n v="65"/>
    <n v="73"/>
    <n v="31"/>
    <n v="17"/>
    <n v="14"/>
    <n v="0.4"/>
    <n v="1.03"/>
    <n v="32"/>
    <n v="110"/>
  </r>
  <r>
    <s v="2016-11-23 09"/>
    <s v=" 09"/>
    <x v="4"/>
    <s v="2016-11-23 "/>
    <s v="Tuesday"/>
    <n v="43"/>
    <n v="68"/>
    <n v="61"/>
    <n v="80"/>
    <n v="34"/>
    <n v="17"/>
    <n v="17"/>
    <n v="0.4"/>
    <n v="0.88"/>
    <n v="30"/>
    <n v="111"/>
  </r>
  <r>
    <s v="2016-11-22 09"/>
    <s v=" 09"/>
    <x v="5"/>
    <s v="2016-11-22 "/>
    <s v="Monday"/>
    <n v="9"/>
    <n v="49"/>
    <n v="84"/>
    <n v="76"/>
    <n v="31"/>
    <n v="11"/>
    <n v="20"/>
    <n v="0.4"/>
    <n v="0.74"/>
    <n v="23"/>
    <n v="58"/>
  </r>
  <r>
    <s v="2016-11-21 09"/>
    <s v=" 09"/>
    <x v="6"/>
    <s v="2016-11-21 "/>
    <s v="Sunday"/>
    <n v="32"/>
    <n v="48"/>
    <n v="60"/>
    <n v="53"/>
    <n v="22"/>
    <n v="13"/>
    <n v="9"/>
    <n v="0.4"/>
    <n v="1.18"/>
    <n v="26"/>
    <n v="80"/>
  </r>
  <r>
    <s v="2016-11-20 09"/>
    <s v=" 09"/>
    <x v="0"/>
    <s v="2016-11-20 "/>
    <s v="Saturday"/>
    <n v="7"/>
    <n v="18"/>
    <n v="72"/>
    <n v="37"/>
    <n v="10"/>
    <n v="1"/>
    <n v="8"/>
    <n v="0.3"/>
    <n v="0.3"/>
    <n v="3"/>
    <n v="25"/>
  </r>
  <r>
    <s v="2016-11-19 09"/>
    <s v=" 09"/>
    <x v="1"/>
    <s v="2016-11-19 "/>
    <s v="Friday"/>
    <n v="16"/>
    <n v="18"/>
    <n v="53"/>
    <n v="37"/>
    <n v="12"/>
    <n v="3"/>
    <n v="9"/>
    <n v="0.3"/>
    <n v="0.67"/>
    <n v="8"/>
    <n v="34"/>
  </r>
  <r>
    <s v="2016-11-18 09"/>
    <s v=" 09"/>
    <x v="2"/>
    <s v="2016-11-18 "/>
    <s v="Thursday"/>
    <n v="25"/>
    <n v="48"/>
    <n v="66"/>
    <n v="58"/>
    <n v="24"/>
    <n v="12"/>
    <n v="12"/>
    <n v="0.4"/>
    <n v="1.04"/>
    <n v="25"/>
    <n v="73"/>
  </r>
  <r>
    <s v="2016-11-17 09"/>
    <s v=" 09"/>
    <x v="3"/>
    <s v="2016-11-17 "/>
    <s v="Wednesday"/>
    <n v="33"/>
    <n v="56"/>
    <n v="63"/>
    <n v="74"/>
    <n v="32"/>
    <n v="18"/>
    <n v="14"/>
    <n v="0.4"/>
    <n v="0.94"/>
    <n v="30"/>
    <n v="89"/>
  </r>
  <r>
    <s v="2016-11-16 09"/>
    <s v=" 09"/>
    <x v="4"/>
    <s v="2016-11-16 "/>
    <s v="Tuesday"/>
    <n v="24"/>
    <n v="67"/>
    <n v="74"/>
    <n v="71"/>
    <n v="30"/>
    <n v="16"/>
    <n v="14"/>
    <n v="0.4"/>
    <n v="1.07"/>
    <n v="32"/>
    <n v="91"/>
  </r>
  <r>
    <s v="2016-11-15 09"/>
    <s v=" 09"/>
    <x v="5"/>
    <s v="2016-11-15 "/>
    <s v="Monday"/>
    <n v="41"/>
    <n v="52"/>
    <n v="56"/>
    <n v="59"/>
    <n v="24"/>
    <n v="15"/>
    <n v="9"/>
    <n v="0.4"/>
    <n v="1.21"/>
    <n v="29"/>
    <n v="93"/>
  </r>
  <r>
    <s v="2016-11-14 09"/>
    <s v=" 09"/>
    <x v="6"/>
    <s v="2016-11-14 "/>
    <s v="Sunday"/>
    <n v="43"/>
    <n v="42"/>
    <n v="49"/>
    <n v="55"/>
    <n v="20"/>
    <n v="12"/>
    <n v="7"/>
    <n v="0.4"/>
    <n v="0.95"/>
    <n v="19"/>
    <n v="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">
  <r>
    <x v="0"/>
    <x v="0"/>
    <n v="9"/>
    <n v="32"/>
    <n v="78"/>
    <n v="52"/>
    <n v="18"/>
    <n v="6"/>
    <n v="11"/>
    <n v="0.3"/>
    <n v="0.67"/>
    <n v="12"/>
    <x v="0"/>
  </r>
  <r>
    <x v="0"/>
    <x v="0"/>
    <n v="29"/>
    <n v="64"/>
    <n v="69"/>
    <n v="59"/>
    <n v="20"/>
    <n v="11"/>
    <n v="9"/>
    <n v="0.3"/>
    <n v="1.4"/>
    <n v="28"/>
    <x v="1"/>
  </r>
  <r>
    <x v="0"/>
    <x v="0"/>
    <n v="5"/>
    <n v="39"/>
    <n v="89"/>
    <n v="72"/>
    <n v="25"/>
    <n v="7"/>
    <n v="18"/>
    <n v="0.3"/>
    <n v="0.64"/>
    <n v="16"/>
    <x v="2"/>
  </r>
  <r>
    <x v="0"/>
    <x v="0"/>
    <n v="13"/>
    <n v="48"/>
    <n v="79"/>
    <n v="86"/>
    <n v="29"/>
    <n v="7"/>
    <n v="23"/>
    <n v="0.3"/>
    <n v="0.52"/>
    <n v="15"/>
    <x v="3"/>
  </r>
  <r>
    <x v="0"/>
    <x v="0"/>
    <n v="12"/>
    <n v="77"/>
    <n v="87"/>
    <n v="82"/>
    <n v="31"/>
    <n v="14"/>
    <n v="17"/>
    <n v="0.4"/>
    <n v="1.1599999999999999"/>
    <n v="36"/>
    <x v="4"/>
  </r>
  <r>
    <x v="0"/>
    <x v="0"/>
    <n v="13"/>
    <n v="62"/>
    <n v="83"/>
    <n v="81"/>
    <n v="32"/>
    <n v="14"/>
    <n v="18"/>
    <n v="0.4"/>
    <n v="1"/>
    <n v="32"/>
    <x v="5"/>
  </r>
  <r>
    <x v="0"/>
    <x v="0"/>
    <n v="9"/>
    <n v="61"/>
    <n v="87"/>
    <n v="72"/>
    <n v="30"/>
    <n v="13"/>
    <n v="17"/>
    <n v="0.4"/>
    <n v="0.87"/>
    <n v="26"/>
    <x v="6"/>
  </r>
  <r>
    <x v="0"/>
    <x v="0"/>
    <n v="20"/>
    <n v="60"/>
    <n v="75"/>
    <n v="68"/>
    <n v="23"/>
    <n v="9"/>
    <n v="13"/>
    <n v="0.3"/>
    <n v="1.04"/>
    <n v="24"/>
    <x v="7"/>
  </r>
  <r>
    <x v="0"/>
    <x v="0"/>
    <n v="7"/>
    <n v="37"/>
    <n v="84"/>
    <n v="65"/>
    <n v="24"/>
    <n v="5"/>
    <n v="19"/>
    <n v="0.4"/>
    <n v="0.5"/>
    <n v="12"/>
    <x v="2"/>
  </r>
  <r>
    <x v="0"/>
    <x v="0"/>
    <n v="16"/>
    <n v="43"/>
    <n v="73"/>
    <n v="50"/>
    <n v="17"/>
    <n v="7"/>
    <n v="10"/>
    <n v="0.3"/>
    <n v="0.82"/>
    <n v="14"/>
    <x v="8"/>
  </r>
  <r>
    <x v="0"/>
    <x v="0"/>
    <n v="19"/>
    <n v="46"/>
    <n v="71"/>
    <n v="44"/>
    <n v="15"/>
    <n v="7"/>
    <n v="7"/>
    <n v="0.3"/>
    <n v="1.47"/>
    <n v="22"/>
    <x v="9"/>
  </r>
  <r>
    <x v="0"/>
    <x v="0"/>
    <n v="9"/>
    <n v="35"/>
    <n v="80"/>
    <n v="40"/>
    <n v="15"/>
    <n v="3"/>
    <n v="11"/>
    <n v="0.4"/>
    <n v="0.67"/>
    <n v="10"/>
    <x v="2"/>
  </r>
  <r>
    <x v="0"/>
    <x v="0"/>
    <n v="9"/>
    <n v="20"/>
    <n v="69"/>
    <n v="38"/>
    <n v="10"/>
    <n v="2"/>
    <n v="8"/>
    <n v="0.3"/>
    <n v="0.5"/>
    <n v="5"/>
    <x v="10"/>
  </r>
  <r>
    <x v="0"/>
    <x v="0"/>
    <n v="7"/>
    <n v="15"/>
    <n v="68"/>
    <n v="29"/>
    <n v="9"/>
    <n v="1"/>
    <n v="8"/>
    <n v="0.3"/>
    <n v="0.22"/>
    <n v="2"/>
    <x v="11"/>
  </r>
  <r>
    <x v="0"/>
    <x v="0"/>
    <n v="7"/>
    <n v="5"/>
    <n v="42"/>
    <n v="22"/>
    <n v="7"/>
    <n v="1"/>
    <n v="6"/>
    <n v="0.3"/>
    <n v="0.14000000000000001"/>
    <n v="1"/>
    <x v="12"/>
  </r>
  <r>
    <x v="0"/>
    <x v="0"/>
    <n v="0"/>
    <n v="10"/>
    <n v="100"/>
    <n v="24"/>
    <n v="7"/>
    <n v="1"/>
    <n v="6"/>
    <n v="0.3"/>
    <n v="0.28999999999999998"/>
    <n v="2"/>
    <x v="13"/>
  </r>
  <r>
    <x v="0"/>
    <x v="0"/>
    <n v="1"/>
    <n v="4"/>
    <n v="80"/>
    <n v="28"/>
    <n v="9"/>
    <n v="1"/>
    <n v="8"/>
    <n v="0.3"/>
    <n v="0"/>
    <n v="0"/>
    <x v="14"/>
  </r>
  <r>
    <x v="0"/>
    <x v="0"/>
    <n v="3"/>
    <n v="15"/>
    <n v="83"/>
    <n v="38"/>
    <n v="12"/>
    <n v="3"/>
    <n v="9"/>
    <n v="0.3"/>
    <n v="0.42"/>
    <n v="5"/>
    <x v="15"/>
  </r>
  <r>
    <x v="0"/>
    <x v="0"/>
    <n v="12"/>
    <n v="33"/>
    <n v="73"/>
    <n v="46"/>
    <n v="16"/>
    <n v="7"/>
    <n v="9"/>
    <n v="0.3"/>
    <n v="0.69"/>
    <n v="11"/>
    <x v="16"/>
  </r>
  <r>
    <x v="0"/>
    <x v="0"/>
    <n v="47"/>
    <n v="55"/>
    <n v="54"/>
    <n v="46"/>
    <n v="16"/>
    <n v="12"/>
    <n v="4"/>
    <n v="0.3"/>
    <n v="1.88"/>
    <n v="30"/>
    <x v="17"/>
  </r>
  <r>
    <x v="0"/>
    <x v="0"/>
    <n v="15"/>
    <n v="72"/>
    <n v="83"/>
    <n v="54"/>
    <n v="23"/>
    <n v="10"/>
    <n v="12"/>
    <n v="0.4"/>
    <n v="1.17"/>
    <n v="27"/>
    <x v="18"/>
  </r>
  <r>
    <x v="0"/>
    <x v="0"/>
    <n v="1"/>
    <n v="64"/>
    <n v="98"/>
    <n v="68"/>
    <n v="25"/>
    <n v="7"/>
    <n v="18"/>
    <n v="0.4"/>
    <n v="1"/>
    <n v="25"/>
    <x v="9"/>
  </r>
  <r>
    <x v="0"/>
    <x v="0"/>
    <n v="21"/>
    <n v="69"/>
    <n v="77"/>
    <n v="79"/>
    <n v="25"/>
    <n v="13"/>
    <n v="12"/>
    <n v="0.3"/>
    <n v="1.1599999999999999"/>
    <n v="29"/>
    <x v="19"/>
  </r>
  <r>
    <x v="0"/>
    <x v="0"/>
    <n v="7"/>
    <n v="81"/>
    <n v="92"/>
    <n v="89"/>
    <n v="35"/>
    <n v="11"/>
    <n v="24"/>
    <n v="0.4"/>
    <n v="1.03"/>
    <n v="36"/>
    <x v="20"/>
  </r>
  <r>
    <x v="1"/>
    <x v="1"/>
    <n v="10"/>
    <n v="79"/>
    <n v="89"/>
    <n v="100"/>
    <n v="38"/>
    <n v="12"/>
    <n v="27"/>
    <n v="0.4"/>
    <n v="0.82"/>
    <n v="31"/>
    <x v="4"/>
  </r>
  <r>
    <x v="1"/>
    <x v="1"/>
    <n v="5"/>
    <n v="83"/>
    <n v="94"/>
    <n v="114"/>
    <n v="44"/>
    <n v="14"/>
    <n v="31"/>
    <n v="0.4"/>
    <n v="0.73"/>
    <n v="32"/>
    <x v="20"/>
  </r>
  <r>
    <x v="1"/>
    <x v="1"/>
    <n v="25"/>
    <n v="96"/>
    <n v="79"/>
    <n v="103"/>
    <n v="39"/>
    <n v="18"/>
    <n v="21"/>
    <n v="0.4"/>
    <n v="1.21"/>
    <n v="47"/>
    <x v="21"/>
  </r>
  <r>
    <x v="1"/>
    <x v="1"/>
    <n v="48"/>
    <n v="84"/>
    <n v="64"/>
    <n v="88"/>
    <n v="32"/>
    <n v="19"/>
    <n v="13"/>
    <n v="0.4"/>
    <n v="1.5"/>
    <n v="48"/>
    <x v="22"/>
  </r>
  <r>
    <x v="1"/>
    <x v="1"/>
    <n v="34"/>
    <n v="89"/>
    <n v="72"/>
    <n v="84"/>
    <n v="28"/>
    <n v="16"/>
    <n v="13"/>
    <n v="0.3"/>
    <n v="1.36"/>
    <n v="38"/>
    <x v="23"/>
  </r>
  <r>
    <x v="1"/>
    <x v="1"/>
    <n v="17"/>
    <n v="54"/>
    <n v="76"/>
    <n v="82"/>
    <n v="30"/>
    <n v="7"/>
    <n v="23"/>
    <n v="0.4"/>
    <n v="0.67"/>
    <n v="20"/>
    <x v="24"/>
  </r>
  <r>
    <x v="1"/>
    <x v="1"/>
    <n v="24"/>
    <n v="63"/>
    <n v="72"/>
    <n v="69"/>
    <n v="23"/>
    <n v="10"/>
    <n v="14"/>
    <n v="0.3"/>
    <n v="0.91"/>
    <n v="21"/>
    <x v="18"/>
  </r>
  <r>
    <x v="1"/>
    <x v="1"/>
    <n v="7"/>
    <n v="44"/>
    <n v="86"/>
    <n v="70"/>
    <n v="22"/>
    <n v="7"/>
    <n v="14"/>
    <n v="0.3"/>
    <n v="0.91"/>
    <n v="20"/>
    <x v="25"/>
  </r>
  <r>
    <x v="1"/>
    <x v="1"/>
    <n v="14"/>
    <n v="39"/>
    <n v="74"/>
    <n v="62"/>
    <n v="21"/>
    <n v="6"/>
    <n v="15"/>
    <n v="0.3"/>
    <n v="0.67"/>
    <n v="14"/>
    <x v="26"/>
  </r>
  <r>
    <x v="1"/>
    <x v="1"/>
    <n v="23"/>
    <n v="51"/>
    <n v="69"/>
    <n v="49"/>
    <n v="14"/>
    <n v="7"/>
    <n v="7"/>
    <n v="0.3"/>
    <n v="1.21"/>
    <n v="17"/>
    <x v="27"/>
  </r>
  <r>
    <x v="1"/>
    <x v="1"/>
    <n v="16"/>
    <n v="32"/>
    <n v="67"/>
    <n v="40"/>
    <n v="13"/>
    <n v="4"/>
    <n v="9"/>
    <n v="0.3"/>
    <n v="0.69"/>
    <n v="9"/>
    <x v="28"/>
  </r>
  <r>
    <x v="1"/>
    <x v="1"/>
    <n v="16"/>
    <n v="42"/>
    <n v="72"/>
    <n v="41"/>
    <n v="15"/>
    <n v="3"/>
    <n v="12"/>
    <n v="0.4"/>
    <n v="0.4"/>
    <n v="6"/>
    <x v="29"/>
  </r>
  <r>
    <x v="1"/>
    <x v="1"/>
    <n v="30"/>
    <n v="25"/>
    <n v="45"/>
    <n v="34"/>
    <n v="12"/>
    <n v="5"/>
    <n v="7"/>
    <n v="0.4"/>
    <n v="1.08"/>
    <n v="13"/>
    <x v="30"/>
  </r>
  <r>
    <x v="1"/>
    <x v="1"/>
    <n v="36"/>
    <n v="18"/>
    <n v="33"/>
    <n v="28"/>
    <n v="6"/>
    <n v="2"/>
    <n v="3"/>
    <n v="0.2"/>
    <n v="1"/>
    <n v="6"/>
    <x v="31"/>
  </r>
  <r>
    <x v="1"/>
    <x v="1"/>
    <n v="37"/>
    <n v="25"/>
    <n v="40"/>
    <n v="23"/>
    <n v="7"/>
    <n v="4"/>
    <n v="2"/>
    <n v="0.3"/>
    <n v="1.1399999999999999"/>
    <n v="8"/>
    <x v="32"/>
  </r>
  <r>
    <x v="1"/>
    <x v="1"/>
    <n v="17"/>
    <n v="15"/>
    <n v="47"/>
    <n v="23"/>
    <n v="6"/>
    <n v="1"/>
    <n v="4"/>
    <n v="0.3"/>
    <n v="0.67"/>
    <n v="4"/>
    <x v="33"/>
  </r>
  <r>
    <x v="1"/>
    <x v="1"/>
    <n v="8"/>
    <n v="11"/>
    <n v="58"/>
    <n v="20"/>
    <n v="7"/>
    <n v="2"/>
    <n v="6"/>
    <n v="0.3"/>
    <n v="0.71"/>
    <n v="5"/>
    <x v="34"/>
  </r>
  <r>
    <x v="1"/>
    <x v="1"/>
    <n v="10"/>
    <n v="9"/>
    <n v="47"/>
    <n v="36"/>
    <n v="7"/>
    <n v="3"/>
    <n v="4"/>
    <n v="0.2"/>
    <n v="0.43"/>
    <n v="3"/>
    <x v="34"/>
  </r>
  <r>
    <x v="1"/>
    <x v="1"/>
    <n v="12"/>
    <n v="25"/>
    <n v="68"/>
    <n v="51"/>
    <n v="11"/>
    <n v="6"/>
    <n v="5"/>
    <n v="0.2"/>
    <n v="0.91"/>
    <n v="10"/>
    <x v="35"/>
  </r>
  <r>
    <x v="1"/>
    <x v="1"/>
    <n v="106"/>
    <n v="54"/>
    <n v="34"/>
    <n v="46"/>
    <n v="14"/>
    <n v="11"/>
    <n v="3"/>
    <n v="0.3"/>
    <n v="1.86"/>
    <n v="26"/>
    <x v="36"/>
  </r>
  <r>
    <x v="1"/>
    <x v="1"/>
    <n v="105"/>
    <n v="87"/>
    <n v="45"/>
    <n v="64"/>
    <n v="21"/>
    <n v="16"/>
    <n v="5"/>
    <n v="0.3"/>
    <n v="1.76"/>
    <n v="37"/>
    <x v="37"/>
  </r>
  <r>
    <x v="1"/>
    <x v="1"/>
    <n v="67"/>
    <n v="102"/>
    <n v="60"/>
    <n v="74"/>
    <n v="27"/>
    <n v="19"/>
    <n v="8"/>
    <n v="0.4"/>
    <n v="1.52"/>
    <n v="41"/>
    <x v="38"/>
  </r>
  <r>
    <x v="1"/>
    <x v="1"/>
    <n v="69"/>
    <n v="96"/>
    <n v="58"/>
    <n v="83"/>
    <n v="29"/>
    <n v="20"/>
    <n v="9"/>
    <n v="0.3"/>
    <n v="2.0299999999999998"/>
    <n v="59"/>
    <x v="39"/>
  </r>
  <r>
    <x v="1"/>
    <x v="1"/>
    <n v="51"/>
    <n v="115"/>
    <n v="69"/>
    <n v="95"/>
    <n v="34"/>
    <n v="22"/>
    <n v="12"/>
    <n v="0.4"/>
    <n v="1.38"/>
    <n v="47"/>
    <x v="40"/>
  </r>
  <r>
    <x v="2"/>
    <x v="2"/>
    <n v="5"/>
    <n v="107"/>
    <n v="96"/>
    <n v="119"/>
    <n v="43"/>
    <n v="17"/>
    <n v="26"/>
    <n v="0.4"/>
    <n v="1.1399999999999999"/>
    <n v="49"/>
    <x v="41"/>
  </r>
  <r>
    <x v="2"/>
    <x v="2"/>
    <n v="21"/>
    <n v="107"/>
    <n v="84"/>
    <n v="129"/>
    <n v="47"/>
    <n v="17"/>
    <n v="30"/>
    <n v="0.4"/>
    <n v="0.98"/>
    <n v="46"/>
    <x v="42"/>
  </r>
  <r>
    <x v="2"/>
    <x v="2"/>
    <n v="39"/>
    <n v="153"/>
    <n v="80"/>
    <n v="126"/>
    <n v="50"/>
    <n v="22"/>
    <n v="28"/>
    <n v="0.4"/>
    <n v="0.8"/>
    <n v="40"/>
    <x v="37"/>
  </r>
  <r>
    <x v="2"/>
    <x v="2"/>
    <n v="87"/>
    <n v="172"/>
    <n v="66"/>
    <n v="108"/>
    <n v="38"/>
    <n v="25"/>
    <n v="13"/>
    <n v="0.4"/>
    <n v="1.63"/>
    <n v="62"/>
    <x v="43"/>
  </r>
  <r>
    <x v="2"/>
    <x v="2"/>
    <n v="129"/>
    <n v="141"/>
    <n v="52"/>
    <n v="93"/>
    <n v="33"/>
    <n v="24"/>
    <n v="8"/>
    <n v="0.4"/>
    <n v="1.0900000000000001"/>
    <n v="36"/>
    <x v="44"/>
  </r>
  <r>
    <x v="2"/>
    <x v="2"/>
    <n v="62"/>
    <n v="169"/>
    <n v="73"/>
    <n v="92"/>
    <n v="41"/>
    <n v="29"/>
    <n v="11"/>
    <n v="0.4"/>
    <n v="1.1499999999999999"/>
    <n v="47"/>
    <x v="45"/>
  </r>
  <r>
    <x v="2"/>
    <x v="2"/>
    <n v="29"/>
    <n v="127"/>
    <n v="81"/>
    <n v="91"/>
    <n v="36"/>
    <n v="17"/>
    <n v="18"/>
    <n v="0.4"/>
    <n v="0.89"/>
    <n v="32"/>
    <x v="46"/>
  </r>
  <r>
    <x v="2"/>
    <x v="2"/>
    <n v="85"/>
    <n v="54"/>
    <n v="39"/>
    <n v="61"/>
    <n v="18"/>
    <n v="12"/>
    <n v="7"/>
    <n v="0.3"/>
    <n v="1"/>
    <n v="18"/>
    <x v="47"/>
  </r>
  <r>
    <x v="2"/>
    <x v="2"/>
    <n v="80"/>
    <n v="36"/>
    <n v="31"/>
    <n v="53"/>
    <n v="14"/>
    <n v="9"/>
    <n v="5"/>
    <n v="0.3"/>
    <n v="0.93"/>
    <n v="13"/>
    <x v="48"/>
  </r>
  <r>
    <x v="2"/>
    <x v="2"/>
    <n v="54"/>
    <n v="47"/>
    <n v="47"/>
    <n v="56"/>
    <n v="12"/>
    <n v="6"/>
    <n v="7"/>
    <n v="0.2"/>
    <n v="1"/>
    <n v="12"/>
    <x v="49"/>
  </r>
  <r>
    <x v="2"/>
    <x v="2"/>
    <n v="66"/>
    <n v="25"/>
    <n v="27"/>
    <n v="43"/>
    <n v="14"/>
    <n v="8"/>
    <n v="5"/>
    <n v="0.3"/>
    <n v="0.71"/>
    <n v="10"/>
    <x v="50"/>
  </r>
  <r>
    <x v="2"/>
    <x v="2"/>
    <n v="37"/>
    <n v="44"/>
    <n v="54"/>
    <n v="44"/>
    <n v="16"/>
    <n v="8"/>
    <n v="8"/>
    <n v="0.4"/>
    <n v="0.94"/>
    <n v="15"/>
    <x v="51"/>
  </r>
  <r>
    <x v="2"/>
    <x v="2"/>
    <n v="32"/>
    <n v="53"/>
    <n v="62"/>
    <n v="56"/>
    <n v="20"/>
    <n v="8"/>
    <n v="12"/>
    <n v="0.4"/>
    <n v="0.5"/>
    <n v="10"/>
    <x v="52"/>
  </r>
  <r>
    <x v="2"/>
    <x v="2"/>
    <n v="44"/>
    <n v="60"/>
    <n v="58"/>
    <n v="53"/>
    <n v="22"/>
    <n v="11"/>
    <n v="11"/>
    <n v="0.4"/>
    <n v="0.91"/>
    <n v="20"/>
    <x v="53"/>
  </r>
  <r>
    <x v="2"/>
    <x v="2"/>
    <n v="90"/>
    <n v="73"/>
    <n v="45"/>
    <n v="47"/>
    <n v="22"/>
    <n v="17"/>
    <n v="5"/>
    <n v="0.5"/>
    <n v="1.59"/>
    <n v="35"/>
    <x v="54"/>
  </r>
  <r>
    <x v="2"/>
    <x v="2"/>
    <n v="54"/>
    <n v="50"/>
    <n v="48"/>
    <n v="40"/>
    <n v="12"/>
    <n v="8"/>
    <n v="5"/>
    <n v="0.3"/>
    <n v="1.58"/>
    <n v="19"/>
    <x v="53"/>
  </r>
  <r>
    <x v="2"/>
    <x v="2"/>
    <n v="22"/>
    <n v="13"/>
    <n v="37"/>
    <n v="28"/>
    <n v="7"/>
    <n v="2"/>
    <n v="5"/>
    <n v="0.3"/>
    <n v="0.86"/>
    <n v="6"/>
    <x v="55"/>
  </r>
  <r>
    <x v="2"/>
    <x v="2"/>
    <n v="2"/>
    <n v="3"/>
    <n v="60"/>
    <n v="17"/>
    <n v="4"/>
    <n v="0"/>
    <n v="3"/>
    <n v="0.2"/>
    <n v="0"/>
    <n v="0"/>
    <x v="14"/>
  </r>
  <r>
    <x v="2"/>
    <x v="2"/>
    <n v="2"/>
    <n v="4"/>
    <n v="67"/>
    <n v="20"/>
    <n v="5"/>
    <n v="1"/>
    <n v="4"/>
    <n v="0.3"/>
    <n v="0.2"/>
    <n v="1"/>
    <x v="56"/>
  </r>
  <r>
    <x v="2"/>
    <x v="2"/>
    <n v="18"/>
    <n v="13"/>
    <n v="42"/>
    <n v="24"/>
    <n v="4"/>
    <n v="2"/>
    <n v="3"/>
    <n v="0.2"/>
    <n v="1.25"/>
    <n v="5"/>
    <x v="57"/>
  </r>
  <r>
    <x v="2"/>
    <x v="2"/>
    <n v="59"/>
    <n v="18"/>
    <n v="23"/>
    <n v="23"/>
    <n v="6"/>
    <n v="3"/>
    <n v="2"/>
    <n v="0.3"/>
    <n v="1"/>
    <n v="6"/>
    <x v="58"/>
  </r>
  <r>
    <x v="2"/>
    <x v="2"/>
    <n v="59"/>
    <n v="26"/>
    <n v="31"/>
    <n v="34"/>
    <n v="12"/>
    <n v="8"/>
    <n v="4"/>
    <n v="0.4"/>
    <n v="1.25"/>
    <n v="15"/>
    <x v="52"/>
  </r>
  <r>
    <x v="2"/>
    <x v="2"/>
    <n v="34"/>
    <n v="40"/>
    <n v="54"/>
    <n v="43"/>
    <n v="13"/>
    <n v="8"/>
    <n v="5"/>
    <n v="0.3"/>
    <n v="1.69"/>
    <n v="22"/>
    <x v="27"/>
  </r>
  <r>
    <x v="2"/>
    <x v="2"/>
    <n v="26"/>
    <n v="60"/>
    <n v="70"/>
    <n v="57"/>
    <n v="22"/>
    <n v="11"/>
    <n v="11"/>
    <n v="0.4"/>
    <n v="1.18"/>
    <n v="26"/>
    <x v="59"/>
  </r>
  <r>
    <x v="3"/>
    <x v="3"/>
    <n v="34"/>
    <n v="89"/>
    <n v="72"/>
    <n v="67"/>
    <n v="33"/>
    <n v="21"/>
    <n v="12"/>
    <n v="0.5"/>
    <n v="1.55"/>
    <n v="51"/>
    <x v="23"/>
  </r>
  <r>
    <x v="3"/>
    <x v="3"/>
    <n v="2"/>
    <n v="91"/>
    <n v="98"/>
    <n v="90"/>
    <n v="36"/>
    <n v="16"/>
    <n v="20"/>
    <n v="0.4"/>
    <n v="1.19"/>
    <n v="43"/>
    <x v="1"/>
  </r>
  <r>
    <x v="3"/>
    <x v="3"/>
    <n v="16"/>
    <n v="97"/>
    <n v="86"/>
    <n v="95"/>
    <n v="35"/>
    <n v="17"/>
    <n v="18"/>
    <n v="0.4"/>
    <n v="1.29"/>
    <n v="45"/>
    <x v="60"/>
  </r>
  <r>
    <x v="3"/>
    <x v="3"/>
    <n v="66"/>
    <n v="105"/>
    <n v="61"/>
    <n v="78"/>
    <n v="33"/>
    <n v="24"/>
    <n v="9"/>
    <n v="0.4"/>
    <n v="1.52"/>
    <n v="50"/>
    <x v="61"/>
  </r>
  <r>
    <x v="3"/>
    <x v="3"/>
    <n v="105"/>
    <n v="81"/>
    <n v="44"/>
    <n v="70"/>
    <n v="30"/>
    <n v="26"/>
    <n v="4"/>
    <n v="0.4"/>
    <n v="1.47"/>
    <n v="44"/>
    <x v="62"/>
  </r>
  <r>
    <x v="3"/>
    <x v="3"/>
    <n v="124"/>
    <n v="72"/>
    <n v="37"/>
    <n v="59"/>
    <n v="25"/>
    <n v="21"/>
    <n v="4"/>
    <n v="0.4"/>
    <n v="1.72"/>
    <n v="43"/>
    <x v="63"/>
  </r>
  <r>
    <x v="3"/>
    <x v="3"/>
    <n v="51"/>
    <n v="66"/>
    <n v="56"/>
    <n v="63"/>
    <n v="18"/>
    <n v="12"/>
    <n v="7"/>
    <n v="0.3"/>
    <n v="1.33"/>
    <n v="24"/>
    <x v="64"/>
  </r>
  <r>
    <x v="3"/>
    <x v="3"/>
    <n v="20"/>
    <n v="46"/>
    <n v="70"/>
    <n v="64"/>
    <n v="18"/>
    <n v="7"/>
    <n v="11"/>
    <n v="0.3"/>
    <n v="0.89"/>
    <n v="16"/>
    <x v="65"/>
  </r>
  <r>
    <x v="3"/>
    <x v="3"/>
    <n v="18"/>
    <n v="25"/>
    <n v="58"/>
    <n v="61"/>
    <n v="12"/>
    <n v="3"/>
    <n v="9"/>
    <n v="0.2"/>
    <n v="0.5"/>
    <n v="6"/>
    <x v="66"/>
  </r>
  <r>
    <x v="3"/>
    <x v="3"/>
    <n v="28"/>
    <n v="32"/>
    <n v="53"/>
    <n v="58"/>
    <n v="14"/>
    <n v="5"/>
    <n v="9"/>
    <n v="0.2"/>
    <n v="0.64"/>
    <n v="9"/>
    <x v="67"/>
  </r>
  <r>
    <x v="3"/>
    <x v="3"/>
    <n v="31"/>
    <n v="32"/>
    <n v="51"/>
    <n v="50"/>
    <n v="9"/>
    <n v="3"/>
    <n v="5"/>
    <n v="0.2"/>
    <n v="0.67"/>
    <n v="6"/>
    <x v="68"/>
  </r>
  <r>
    <x v="3"/>
    <x v="3"/>
    <n v="18"/>
    <n v="32"/>
    <n v="64"/>
    <n v="56"/>
    <n v="18"/>
    <n v="8"/>
    <n v="10"/>
    <n v="0.3"/>
    <n v="0.44"/>
    <n v="8"/>
    <x v="69"/>
  </r>
  <r>
    <x v="3"/>
    <x v="3"/>
    <n v="20"/>
    <n v="46"/>
    <n v="70"/>
    <n v="63"/>
    <n v="22"/>
    <n v="8"/>
    <n v="14"/>
    <n v="0.3"/>
    <n v="0.91"/>
    <n v="20"/>
    <x v="65"/>
  </r>
  <r>
    <x v="3"/>
    <x v="3"/>
    <n v="27"/>
    <n v="47"/>
    <n v="64"/>
    <n v="69"/>
    <n v="26"/>
    <n v="13"/>
    <n v="13"/>
    <n v="0.4"/>
    <n v="0.85"/>
    <n v="22"/>
    <x v="27"/>
  </r>
  <r>
    <x v="3"/>
    <x v="3"/>
    <n v="43"/>
    <n v="57"/>
    <n v="57"/>
    <n v="54"/>
    <n v="25"/>
    <n v="18"/>
    <n v="7"/>
    <n v="0.5"/>
    <n v="1.48"/>
    <n v="37"/>
    <x v="70"/>
  </r>
  <r>
    <x v="3"/>
    <x v="3"/>
    <n v="57"/>
    <n v="37"/>
    <n v="39"/>
    <n v="45"/>
    <n v="15"/>
    <n v="8"/>
    <n v="7"/>
    <n v="0.3"/>
    <n v="1.47"/>
    <n v="22"/>
    <x v="71"/>
  </r>
  <r>
    <x v="3"/>
    <x v="3"/>
    <n v="17"/>
    <n v="14"/>
    <n v="45"/>
    <n v="35"/>
    <n v="9"/>
    <n v="3"/>
    <n v="7"/>
    <n v="0.3"/>
    <n v="0.78"/>
    <n v="7"/>
    <x v="57"/>
  </r>
  <r>
    <x v="3"/>
    <x v="3"/>
    <n v="2"/>
    <n v="2"/>
    <n v="50"/>
    <n v="23"/>
    <n v="9"/>
    <n v="0"/>
    <n v="9"/>
    <n v="0.4"/>
    <n v="0.11"/>
    <n v="1"/>
    <x v="72"/>
  </r>
  <r>
    <x v="3"/>
    <x v="3"/>
    <n v="0"/>
    <n v="3"/>
    <n v="100"/>
    <n v="14"/>
    <n v="7"/>
    <n v="1"/>
    <n v="7"/>
    <n v="0.5"/>
    <n v="0.43"/>
    <n v="3"/>
    <x v="73"/>
  </r>
  <r>
    <x v="3"/>
    <x v="3"/>
    <n v="5"/>
    <n v="3"/>
    <n v="38"/>
    <n v="21"/>
    <n v="6"/>
    <n v="1"/>
    <n v="5"/>
    <n v="0.3"/>
    <n v="0"/>
    <n v="0"/>
    <x v="74"/>
  </r>
  <r>
    <x v="3"/>
    <x v="3"/>
    <n v="13"/>
    <n v="9"/>
    <n v="41"/>
    <n v="22"/>
    <n v="7"/>
    <n v="2"/>
    <n v="5"/>
    <n v="0.3"/>
    <n v="0.71"/>
    <n v="5"/>
    <x v="11"/>
  </r>
  <r>
    <x v="3"/>
    <x v="3"/>
    <n v="16"/>
    <n v="20"/>
    <n v="56"/>
    <n v="27"/>
    <n v="9"/>
    <n v="4"/>
    <n v="5"/>
    <n v="0.3"/>
    <n v="0.89"/>
    <n v="8"/>
    <x v="75"/>
  </r>
  <r>
    <x v="3"/>
    <x v="3"/>
    <n v="7"/>
    <n v="30"/>
    <n v="81"/>
    <n v="43"/>
    <n v="16"/>
    <n v="7"/>
    <n v="9"/>
    <n v="0.4"/>
    <n v="0.81"/>
    <n v="13"/>
    <x v="35"/>
  </r>
  <r>
    <x v="3"/>
    <x v="3"/>
    <n v="29"/>
    <n v="62"/>
    <n v="68"/>
    <n v="52"/>
    <n v="21"/>
    <n v="12"/>
    <n v="9"/>
    <n v="0.4"/>
    <n v="1.48"/>
    <n v="31"/>
    <x v="50"/>
  </r>
  <r>
    <x v="4"/>
    <x v="4"/>
    <n v="13"/>
    <n v="71"/>
    <n v="85"/>
    <n v="71"/>
    <n v="28"/>
    <n v="12"/>
    <n v="15"/>
    <n v="0.4"/>
    <n v="1.25"/>
    <n v="35"/>
    <x v="76"/>
  </r>
  <r>
    <x v="4"/>
    <x v="4"/>
    <n v="14"/>
    <n v="71"/>
    <n v="84"/>
    <n v="80"/>
    <n v="28"/>
    <n v="12"/>
    <n v="16"/>
    <n v="0.3"/>
    <n v="1.1100000000000001"/>
    <n v="31"/>
    <x v="52"/>
  </r>
  <r>
    <x v="4"/>
    <x v="4"/>
    <n v="12"/>
    <n v="68"/>
    <n v="85"/>
    <n v="85"/>
    <n v="29"/>
    <n v="12"/>
    <n v="18"/>
    <n v="0.3"/>
    <n v="1.28"/>
    <n v="37"/>
    <x v="7"/>
  </r>
  <r>
    <x v="4"/>
    <x v="4"/>
    <n v="22"/>
    <n v="83"/>
    <n v="79"/>
    <n v="89"/>
    <n v="37"/>
    <n v="21"/>
    <n v="16"/>
    <n v="0.4"/>
    <n v="0.92"/>
    <n v="34"/>
    <x v="77"/>
  </r>
  <r>
    <x v="4"/>
    <x v="4"/>
    <n v="75"/>
    <n v="79"/>
    <n v="51"/>
    <n v="80"/>
    <n v="30"/>
    <n v="22"/>
    <n v="9"/>
    <n v="0.4"/>
    <n v="1.43"/>
    <n v="43"/>
    <x v="78"/>
  </r>
  <r>
    <x v="4"/>
    <x v="4"/>
    <n v="96"/>
    <n v="66"/>
    <n v="41"/>
    <n v="69"/>
    <n v="27"/>
    <n v="21"/>
    <n v="6"/>
    <n v="0.4"/>
    <n v="1.1100000000000001"/>
    <n v="30"/>
    <x v="79"/>
  </r>
  <r>
    <x v="4"/>
    <x v="4"/>
    <n v="43"/>
    <n v="66"/>
    <n v="61"/>
    <n v="76"/>
    <n v="22"/>
    <n v="12"/>
    <n v="10"/>
    <n v="0.3"/>
    <n v="1.0900000000000001"/>
    <n v="24"/>
    <x v="80"/>
  </r>
  <r>
    <x v="4"/>
    <x v="4"/>
    <n v="14"/>
    <n v="48"/>
    <n v="77"/>
    <n v="67"/>
    <n v="20"/>
    <n v="7"/>
    <n v="13"/>
    <n v="0.3"/>
    <n v="0.75"/>
    <n v="15"/>
    <x v="32"/>
  </r>
  <r>
    <x v="4"/>
    <x v="4"/>
    <n v="11"/>
    <n v="42"/>
    <n v="79"/>
    <n v="62"/>
    <n v="19"/>
    <n v="5"/>
    <n v="14"/>
    <n v="0.3"/>
    <n v="0.57999999999999996"/>
    <n v="11"/>
    <x v="26"/>
  </r>
  <r>
    <x v="4"/>
    <x v="4"/>
    <n v="10"/>
    <n v="21"/>
    <n v="68"/>
    <n v="62"/>
    <n v="13"/>
    <n v="3"/>
    <n v="10"/>
    <n v="0.2"/>
    <n v="0.54"/>
    <n v="7"/>
    <x v="57"/>
  </r>
  <r>
    <x v="4"/>
    <x v="4"/>
    <n v="2"/>
    <n v="36"/>
    <n v="95"/>
    <n v="71"/>
    <n v="19"/>
    <n v="6"/>
    <n v="13"/>
    <n v="0.3"/>
    <n v="0.37"/>
    <n v="7"/>
    <x v="81"/>
  </r>
  <r>
    <x v="4"/>
    <x v="4"/>
    <n v="9"/>
    <n v="28"/>
    <n v="76"/>
    <n v="69"/>
    <n v="19"/>
    <n v="5"/>
    <n v="15"/>
    <n v="0.3"/>
    <n v="0.68"/>
    <n v="13"/>
    <x v="35"/>
  </r>
  <r>
    <x v="4"/>
    <x v="4"/>
    <n v="2"/>
    <n v="27"/>
    <n v="93"/>
    <n v="71"/>
    <n v="28"/>
    <n v="5"/>
    <n v="23"/>
    <n v="0.4"/>
    <n v="0.39"/>
    <n v="11"/>
    <x v="10"/>
  </r>
  <r>
    <x v="4"/>
    <x v="4"/>
    <n v="19"/>
    <n v="52"/>
    <n v="73"/>
    <n v="80"/>
    <n v="33"/>
    <n v="12"/>
    <n v="21"/>
    <n v="0.4"/>
    <n v="0.48"/>
    <n v="16"/>
    <x v="24"/>
  </r>
  <r>
    <x v="4"/>
    <x v="4"/>
    <n v="61"/>
    <n v="64"/>
    <n v="51"/>
    <n v="57"/>
    <n v="22"/>
    <n v="17"/>
    <n v="6"/>
    <n v="0.4"/>
    <n v="1.5"/>
    <n v="33"/>
    <x v="82"/>
  </r>
  <r>
    <x v="4"/>
    <x v="4"/>
    <n v="51"/>
    <n v="44"/>
    <n v="46"/>
    <n v="49"/>
    <n v="18"/>
    <n v="10"/>
    <n v="8"/>
    <n v="0.4"/>
    <n v="1"/>
    <n v="18"/>
    <x v="83"/>
  </r>
  <r>
    <x v="4"/>
    <x v="4"/>
    <n v="17"/>
    <n v="22"/>
    <n v="56"/>
    <n v="42"/>
    <n v="14"/>
    <n v="3"/>
    <n v="11"/>
    <n v="0.3"/>
    <n v="0.56999999999999995"/>
    <n v="8"/>
    <x v="84"/>
  </r>
  <r>
    <x v="4"/>
    <x v="4"/>
    <n v="1"/>
    <n v="3"/>
    <n v="75"/>
    <n v="24"/>
    <n v="6"/>
    <n v="0"/>
    <n v="6"/>
    <n v="0.3"/>
    <n v="0.33"/>
    <n v="2"/>
    <x v="72"/>
  </r>
  <r>
    <x v="4"/>
    <x v="4"/>
    <n v="2"/>
    <n v="3"/>
    <n v="60"/>
    <n v="17"/>
    <n v="6"/>
    <n v="0"/>
    <n v="6"/>
    <n v="0.4"/>
    <n v="0"/>
    <n v="0"/>
    <x v="14"/>
  </r>
  <r>
    <x v="4"/>
    <x v="4"/>
    <n v="3"/>
    <n v="3"/>
    <n v="50"/>
    <n v="14"/>
    <n v="5"/>
    <n v="1"/>
    <n v="4"/>
    <n v="0.4"/>
    <n v="0"/>
    <n v="0"/>
    <x v="56"/>
  </r>
  <r>
    <x v="4"/>
    <x v="4"/>
    <n v="12"/>
    <n v="3"/>
    <n v="20"/>
    <n v="12"/>
    <n v="2"/>
    <n v="0"/>
    <n v="2"/>
    <n v="0.2"/>
    <n v="0.5"/>
    <n v="1"/>
    <x v="85"/>
  </r>
  <r>
    <x v="4"/>
    <x v="4"/>
    <n v="10"/>
    <n v="11"/>
    <n v="52"/>
    <n v="24"/>
    <n v="4"/>
    <n v="2"/>
    <n v="2"/>
    <n v="0.2"/>
    <n v="1"/>
    <n v="4"/>
    <x v="86"/>
  </r>
  <r>
    <x v="4"/>
    <x v="4"/>
    <n v="13"/>
    <n v="16"/>
    <n v="55"/>
    <n v="35"/>
    <n v="11"/>
    <n v="3"/>
    <n v="9"/>
    <n v="0.3"/>
    <n v="0.73"/>
    <n v="8"/>
    <x v="10"/>
  </r>
  <r>
    <x v="4"/>
    <x v="4"/>
    <n v="7"/>
    <n v="28"/>
    <n v="80"/>
    <n v="45"/>
    <n v="18"/>
    <n v="6"/>
    <n v="12"/>
    <n v="0.4"/>
    <n v="0.56000000000000005"/>
    <n v="10"/>
    <x v="55"/>
  </r>
  <r>
    <x v="5"/>
    <x v="5"/>
    <n v="11"/>
    <n v="52"/>
    <n v="83"/>
    <n v="60"/>
    <n v="20"/>
    <n v="6"/>
    <n v="14"/>
    <n v="0.3"/>
    <n v="0.95"/>
    <n v="19"/>
    <x v="68"/>
  </r>
  <r>
    <x v="5"/>
    <x v="5"/>
    <n v="13"/>
    <n v="63"/>
    <n v="83"/>
    <n v="83"/>
    <n v="32"/>
    <n v="12"/>
    <n v="20"/>
    <n v="0.4"/>
    <n v="0.75"/>
    <n v="24"/>
    <x v="87"/>
  </r>
  <r>
    <x v="5"/>
    <x v="5"/>
    <n v="9"/>
    <n v="83"/>
    <n v="90"/>
    <n v="99"/>
    <n v="33"/>
    <n v="14"/>
    <n v="18"/>
    <n v="0.3"/>
    <n v="1.3"/>
    <n v="43"/>
    <x v="88"/>
  </r>
  <r>
    <x v="5"/>
    <x v="5"/>
    <n v="3"/>
    <n v="62"/>
    <n v="95"/>
    <n v="106"/>
    <n v="40"/>
    <n v="14"/>
    <n v="26"/>
    <n v="0.4"/>
    <n v="0.7"/>
    <n v="28"/>
    <x v="9"/>
  </r>
  <r>
    <x v="5"/>
    <x v="5"/>
    <n v="30"/>
    <n v="83"/>
    <n v="73"/>
    <n v="98"/>
    <n v="36"/>
    <n v="21"/>
    <n v="16"/>
    <n v="0.4"/>
    <n v="1.17"/>
    <n v="42"/>
    <x v="60"/>
  </r>
  <r>
    <x v="5"/>
    <x v="5"/>
    <n v="58"/>
    <n v="76"/>
    <n v="57"/>
    <n v="75"/>
    <n v="25"/>
    <n v="18"/>
    <n v="7"/>
    <n v="0.3"/>
    <n v="1.2"/>
    <n v="30"/>
    <x v="89"/>
  </r>
  <r>
    <x v="5"/>
    <x v="5"/>
    <n v="30"/>
    <n v="52"/>
    <n v="63"/>
    <n v="72"/>
    <n v="22"/>
    <n v="11"/>
    <n v="11"/>
    <n v="0.3"/>
    <n v="1.18"/>
    <n v="26"/>
    <x v="90"/>
  </r>
  <r>
    <x v="5"/>
    <x v="5"/>
    <n v="15"/>
    <n v="29"/>
    <n v="66"/>
    <n v="56"/>
    <n v="15"/>
    <n v="4"/>
    <n v="12"/>
    <n v="0.3"/>
    <n v="0.53"/>
    <n v="8"/>
    <x v="2"/>
  </r>
  <r>
    <x v="5"/>
    <x v="5"/>
    <n v="10"/>
    <n v="20"/>
    <n v="67"/>
    <n v="53"/>
    <n v="17"/>
    <n v="5"/>
    <n v="12"/>
    <n v="0.3"/>
    <n v="0.47"/>
    <n v="8"/>
    <x v="91"/>
  </r>
  <r>
    <x v="5"/>
    <x v="5"/>
    <n v="9"/>
    <n v="26"/>
    <n v="74"/>
    <n v="55"/>
    <n v="14"/>
    <n v="4"/>
    <n v="11"/>
    <n v="0.3"/>
    <n v="0.56999999999999995"/>
    <n v="8"/>
    <x v="55"/>
  </r>
  <r>
    <x v="5"/>
    <x v="5"/>
    <n v="11"/>
    <n v="25"/>
    <n v="69"/>
    <n v="56"/>
    <n v="15"/>
    <n v="3"/>
    <n v="12"/>
    <n v="0.3"/>
    <n v="0.6"/>
    <n v="9"/>
    <x v="75"/>
  </r>
  <r>
    <x v="5"/>
    <x v="5"/>
    <n v="15"/>
    <n v="31"/>
    <n v="67"/>
    <n v="58"/>
    <n v="17"/>
    <n v="4"/>
    <n v="13"/>
    <n v="0.3"/>
    <n v="0.47"/>
    <n v="8"/>
    <x v="92"/>
  </r>
  <r>
    <x v="5"/>
    <x v="5"/>
    <n v="9"/>
    <n v="33"/>
    <n v="79"/>
    <n v="64"/>
    <n v="25"/>
    <n v="8"/>
    <n v="17"/>
    <n v="0.4"/>
    <n v="0.6"/>
    <n v="15"/>
    <x v="93"/>
  </r>
  <r>
    <x v="5"/>
    <x v="5"/>
    <n v="14"/>
    <n v="33"/>
    <n v="70"/>
    <n v="80"/>
    <n v="26"/>
    <n v="8"/>
    <n v="18"/>
    <n v="0.3"/>
    <n v="0.5"/>
    <n v="13"/>
    <x v="94"/>
  </r>
  <r>
    <x v="5"/>
    <x v="5"/>
    <n v="61"/>
    <n v="50"/>
    <n v="45"/>
    <n v="54"/>
    <n v="19"/>
    <n v="13"/>
    <n v="6"/>
    <n v="0.4"/>
    <n v="1.37"/>
    <n v="26"/>
    <x v="95"/>
  </r>
  <r>
    <x v="5"/>
    <x v="5"/>
    <n v="80"/>
    <n v="32"/>
    <n v="29"/>
    <n v="40"/>
    <n v="13"/>
    <n v="11"/>
    <n v="2"/>
    <n v="0.3"/>
    <n v="1.31"/>
    <n v="17"/>
    <x v="41"/>
  </r>
  <r>
    <x v="5"/>
    <x v="5"/>
    <n v="24"/>
    <n v="14"/>
    <n v="37"/>
    <n v="39"/>
    <n v="8"/>
    <n v="4"/>
    <n v="4"/>
    <n v="0.2"/>
    <n v="1.1299999999999999"/>
    <n v="9"/>
    <x v="81"/>
  </r>
  <r>
    <x v="5"/>
    <x v="5"/>
    <n v="8"/>
    <n v="7"/>
    <n v="47"/>
    <n v="26"/>
    <n v="6"/>
    <n v="1"/>
    <n v="5"/>
    <n v="0.2"/>
    <n v="0.5"/>
    <n v="3"/>
    <x v="85"/>
  </r>
  <r>
    <x v="5"/>
    <x v="5"/>
    <n v="1"/>
    <n v="3"/>
    <n v="75"/>
    <n v="13"/>
    <n v="4"/>
    <n v="0"/>
    <n v="4"/>
    <n v="0.3"/>
    <n v="0"/>
    <n v="0"/>
    <x v="72"/>
  </r>
  <r>
    <x v="5"/>
    <x v="5"/>
    <n v="0"/>
    <n v="1"/>
    <n v="100"/>
    <n v="16"/>
    <n v="5"/>
    <n v="0"/>
    <n v="5"/>
    <n v="0.3"/>
    <n v="0"/>
    <n v="0"/>
    <x v="96"/>
  </r>
  <r>
    <x v="5"/>
    <x v="5"/>
    <n v="1"/>
    <n v="2"/>
    <n v="67"/>
    <n v="14"/>
    <n v="5"/>
    <n v="0"/>
    <n v="4"/>
    <n v="0.4"/>
    <n v="0"/>
    <n v="0"/>
    <x v="73"/>
  </r>
  <r>
    <x v="5"/>
    <x v="5"/>
    <n v="1"/>
    <n v="7"/>
    <n v="88"/>
    <n v="18"/>
    <n v="7"/>
    <n v="1"/>
    <n v="7"/>
    <n v="0.4"/>
    <n v="0.56999999999999995"/>
    <n v="4"/>
    <x v="74"/>
  </r>
  <r>
    <x v="5"/>
    <x v="5"/>
    <n v="7"/>
    <n v="10"/>
    <n v="59"/>
    <n v="29"/>
    <n v="10"/>
    <n v="1"/>
    <n v="9"/>
    <n v="0.3"/>
    <n v="0.1"/>
    <n v="1"/>
    <x v="97"/>
  </r>
  <r>
    <x v="5"/>
    <x v="5"/>
    <n v="17"/>
    <n v="25"/>
    <n v="60"/>
    <n v="35"/>
    <n v="16"/>
    <n v="5"/>
    <n v="11"/>
    <n v="0.5"/>
    <n v="0.75"/>
    <n v="12"/>
    <x v="93"/>
  </r>
  <r>
    <x v="6"/>
    <x v="6"/>
    <n v="6"/>
    <n v="29"/>
    <n v="83"/>
    <n v="50"/>
    <n v="16"/>
    <n v="3"/>
    <n v="13"/>
    <n v="0.3"/>
    <n v="0.81"/>
    <n v="13"/>
    <x v="55"/>
  </r>
  <r>
    <x v="6"/>
    <x v="6"/>
    <n v="12"/>
    <n v="41"/>
    <n v="77"/>
    <n v="59"/>
    <n v="24"/>
    <n v="9"/>
    <n v="16"/>
    <n v="0.4"/>
    <n v="0.79"/>
    <n v="19"/>
    <x v="26"/>
  </r>
  <r>
    <x v="6"/>
    <x v="6"/>
    <n v="17"/>
    <n v="33"/>
    <n v="66"/>
    <n v="73"/>
    <n v="24"/>
    <n v="5"/>
    <n v="19"/>
    <n v="0.3"/>
    <n v="0.67"/>
    <n v="16"/>
    <x v="69"/>
  </r>
  <r>
    <x v="6"/>
    <x v="6"/>
    <n v="1"/>
    <n v="45"/>
    <n v="98"/>
    <n v="76"/>
    <n v="33"/>
    <n v="6"/>
    <n v="27"/>
    <n v="0.4"/>
    <n v="0.39"/>
    <n v="13"/>
    <x v="92"/>
  </r>
  <r>
    <x v="6"/>
    <x v="6"/>
    <n v="12"/>
    <n v="52"/>
    <n v="81"/>
    <n v="90"/>
    <n v="32"/>
    <n v="13"/>
    <n v="19"/>
    <n v="0.4"/>
    <n v="0.81"/>
    <n v="26"/>
    <x v="98"/>
  </r>
  <r>
    <x v="6"/>
    <x v="6"/>
    <n v="9"/>
    <n v="52"/>
    <n v="85"/>
    <n v="78"/>
    <n v="30"/>
    <n v="15"/>
    <n v="15"/>
    <n v="0.4"/>
    <n v="0.63"/>
    <n v="19"/>
    <x v="3"/>
  </r>
  <r>
    <x v="6"/>
    <x v="6"/>
    <n v="9"/>
    <n v="46"/>
    <n v="84"/>
    <n v="83"/>
    <n v="34"/>
    <n v="7"/>
    <n v="27"/>
    <n v="0.4"/>
    <n v="0.59"/>
    <n v="20"/>
    <x v="30"/>
  </r>
  <r>
    <x v="6"/>
    <x v="6"/>
    <n v="8"/>
    <n v="30"/>
    <n v="79"/>
    <n v="80"/>
    <n v="22"/>
    <n v="6"/>
    <n v="17"/>
    <n v="0.3"/>
    <n v="0.64"/>
    <n v="14"/>
    <x v="81"/>
  </r>
  <r>
    <x v="6"/>
    <x v="6"/>
    <n v="5"/>
    <n v="17"/>
    <n v="77"/>
    <n v="67"/>
    <n v="21"/>
    <n v="2"/>
    <n v="19"/>
    <n v="0.3"/>
    <n v="0.28999999999999998"/>
    <n v="6"/>
    <x v="11"/>
  </r>
  <r>
    <x v="6"/>
    <x v="6"/>
    <n v="4"/>
    <n v="24"/>
    <n v="86"/>
    <n v="62"/>
    <n v="21"/>
    <n v="4"/>
    <n v="17"/>
    <n v="0.3"/>
    <n v="0.43"/>
    <n v="9"/>
    <x v="99"/>
  </r>
  <r>
    <x v="6"/>
    <x v="6"/>
    <n v="8"/>
    <n v="26"/>
    <n v="76"/>
    <n v="63"/>
    <n v="18"/>
    <n v="4"/>
    <n v="14"/>
    <n v="0.3"/>
    <n v="0.44"/>
    <n v="8"/>
    <x v="100"/>
  </r>
  <r>
    <x v="6"/>
    <x v="6"/>
    <n v="4"/>
    <n v="27"/>
    <n v="87"/>
    <n v="62"/>
    <n v="19"/>
    <n v="5"/>
    <n v="14"/>
    <n v="0.3"/>
    <n v="0.47"/>
    <n v="9"/>
    <x v="57"/>
  </r>
  <r>
    <x v="6"/>
    <x v="6"/>
    <n v="4"/>
    <n v="30"/>
    <n v="88"/>
    <n v="65"/>
    <n v="26"/>
    <n v="4"/>
    <n v="22"/>
    <n v="0.4"/>
    <n v="0.42"/>
    <n v="11"/>
    <x v="100"/>
  </r>
  <r>
    <x v="6"/>
    <x v="6"/>
    <n v="23"/>
    <n v="36"/>
    <n v="61"/>
    <n v="58"/>
    <n v="22"/>
    <n v="8"/>
    <n v="14"/>
    <n v="0.4"/>
    <n v="0.32"/>
    <n v="7"/>
    <x v="8"/>
  </r>
  <r>
    <x v="6"/>
    <x v="6"/>
    <n v="41"/>
    <n v="45"/>
    <n v="52"/>
    <n v="56"/>
    <n v="19"/>
    <n v="13"/>
    <n v="6"/>
    <n v="0.3"/>
    <n v="1.42"/>
    <n v="27"/>
    <x v="59"/>
  </r>
  <r>
    <x v="6"/>
    <x v="6"/>
    <n v="42"/>
    <n v="29"/>
    <n v="41"/>
    <n v="45"/>
    <n v="14"/>
    <n v="8"/>
    <n v="7"/>
    <n v="0.3"/>
    <n v="1.29"/>
    <n v="18"/>
    <x v="24"/>
  </r>
  <r>
    <x v="6"/>
    <x v="6"/>
    <n v="21"/>
    <n v="13"/>
    <n v="38"/>
    <n v="32"/>
    <n v="8"/>
    <n v="2"/>
    <n v="5"/>
    <n v="0.3"/>
    <n v="0.75"/>
    <n v="6"/>
    <x v="100"/>
  </r>
  <r>
    <x v="6"/>
    <x v="6"/>
    <n v="10"/>
    <n v="2"/>
    <n v="17"/>
    <n v="17"/>
    <n v="4"/>
    <n v="1"/>
    <n v="4"/>
    <n v="0.2"/>
    <n v="0.25"/>
    <n v="1"/>
    <x v="12"/>
  </r>
  <r>
    <x v="6"/>
    <x v="6"/>
    <n v="2"/>
    <n v="0"/>
    <n v="0"/>
    <n v="14"/>
    <n v="2"/>
    <n v="0"/>
    <n v="2"/>
    <n v="0.1"/>
    <n v="0"/>
    <n v="0"/>
    <x v="101"/>
  </r>
  <r>
    <x v="6"/>
    <x v="6"/>
    <n v="6"/>
    <n v="0"/>
    <n v="0"/>
    <n v="9"/>
    <n v="2"/>
    <n v="0"/>
    <n v="2"/>
    <n v="0.2"/>
    <n v="0"/>
    <n v="0"/>
    <x v="56"/>
  </r>
  <r>
    <x v="6"/>
    <x v="6"/>
    <n v="5"/>
    <n v="2"/>
    <n v="29"/>
    <n v="12"/>
    <n v="3"/>
    <n v="0"/>
    <n v="3"/>
    <n v="0.3"/>
    <n v="0"/>
    <n v="0"/>
    <x v="102"/>
  </r>
  <r>
    <x v="6"/>
    <x v="6"/>
    <n v="5"/>
    <n v="5"/>
    <n v="50"/>
    <n v="20"/>
    <n v="6"/>
    <n v="0"/>
    <n v="6"/>
    <n v="0.3"/>
    <n v="0.17"/>
    <n v="1"/>
    <x v="13"/>
  </r>
  <r>
    <x v="6"/>
    <x v="6"/>
    <n v="9"/>
    <n v="19"/>
    <n v="68"/>
    <n v="29"/>
    <n v="11"/>
    <n v="3"/>
    <n v="8"/>
    <n v="0.4"/>
    <n v="0.64"/>
    <n v="7"/>
    <x v="99"/>
  </r>
  <r>
    <x v="6"/>
    <x v="6"/>
    <n v="17"/>
    <n v="43"/>
    <n v="72"/>
    <n v="40"/>
    <n v="13"/>
    <n v="6"/>
    <n v="7"/>
    <n v="0.3"/>
    <n v="1.23"/>
    <n v="16"/>
    <x v="67"/>
  </r>
  <r>
    <x v="7"/>
    <x v="0"/>
    <n v="37"/>
    <n v="39"/>
    <n v="51"/>
    <n v="53"/>
    <n v="16"/>
    <n v="7"/>
    <n v="9"/>
    <n v="0.3"/>
    <n v="1.31"/>
    <n v="21"/>
    <x v="87"/>
  </r>
  <r>
    <x v="7"/>
    <x v="0"/>
    <n v="10"/>
    <n v="48"/>
    <n v="83"/>
    <n v="64"/>
    <n v="21"/>
    <n v="8"/>
    <n v="13"/>
    <n v="0.3"/>
    <n v="0.81"/>
    <n v="17"/>
    <x v="29"/>
  </r>
  <r>
    <x v="7"/>
    <x v="0"/>
    <n v="12"/>
    <n v="41"/>
    <n v="77"/>
    <n v="60"/>
    <n v="15"/>
    <n v="7"/>
    <n v="8"/>
    <n v="0.3"/>
    <n v="1.27"/>
    <n v="19"/>
    <x v="26"/>
  </r>
  <r>
    <x v="7"/>
    <x v="0"/>
    <n v="9"/>
    <n v="54"/>
    <n v="86"/>
    <n v="66"/>
    <n v="22"/>
    <n v="9"/>
    <n v="13"/>
    <n v="0.3"/>
    <n v="0.95"/>
    <n v="21"/>
    <x v="68"/>
  </r>
  <r>
    <x v="7"/>
    <x v="0"/>
    <n v="23"/>
    <n v="53"/>
    <n v="70"/>
    <n v="66"/>
    <n v="24"/>
    <n v="12"/>
    <n v="12"/>
    <n v="0.4"/>
    <n v="0.83"/>
    <n v="20"/>
    <x v="87"/>
  </r>
  <r>
    <x v="7"/>
    <x v="0"/>
    <n v="24"/>
    <n v="67"/>
    <n v="74"/>
    <n v="61"/>
    <n v="25"/>
    <n v="12"/>
    <n v="13"/>
    <n v="0.4"/>
    <n v="1.1200000000000001"/>
    <n v="28"/>
    <x v="50"/>
  </r>
  <r>
    <x v="7"/>
    <x v="0"/>
    <n v="25"/>
    <n v="47"/>
    <n v="65"/>
    <n v="64"/>
    <n v="21"/>
    <n v="9"/>
    <n v="12"/>
    <n v="0.3"/>
    <n v="1"/>
    <n v="21"/>
    <x v="103"/>
  </r>
  <r>
    <x v="7"/>
    <x v="0"/>
    <n v="14"/>
    <n v="34"/>
    <n v="71"/>
    <n v="55"/>
    <n v="17"/>
    <n v="5"/>
    <n v="12"/>
    <n v="0.3"/>
    <n v="0.82"/>
    <n v="14"/>
    <x v="28"/>
  </r>
  <r>
    <x v="7"/>
    <x v="0"/>
    <n v="10"/>
    <n v="35"/>
    <n v="78"/>
    <n v="51"/>
    <n v="19"/>
    <n v="6"/>
    <n v="13"/>
    <n v="0.4"/>
    <n v="0.47"/>
    <n v="9"/>
    <x v="16"/>
  </r>
  <r>
    <x v="7"/>
    <x v="0"/>
    <n v="26"/>
    <n v="41"/>
    <n v="61"/>
    <n v="51"/>
    <n v="18"/>
    <n v="7"/>
    <n v="11"/>
    <n v="0.4"/>
    <n v="1.1100000000000001"/>
    <n v="20"/>
    <x v="104"/>
  </r>
  <r>
    <x v="7"/>
    <x v="0"/>
    <n v="20"/>
    <n v="32"/>
    <n v="62"/>
    <n v="45"/>
    <n v="13"/>
    <n v="4"/>
    <n v="9"/>
    <n v="0.3"/>
    <n v="0.69"/>
    <n v="9"/>
    <x v="105"/>
  </r>
  <r>
    <x v="7"/>
    <x v="0"/>
    <n v="32"/>
    <n v="30"/>
    <n v="48"/>
    <n v="36"/>
    <n v="11"/>
    <n v="4"/>
    <n v="7"/>
    <n v="0.3"/>
    <n v="1"/>
    <n v="11"/>
    <x v="32"/>
  </r>
  <r>
    <x v="7"/>
    <x v="0"/>
    <n v="23"/>
    <n v="19"/>
    <n v="45"/>
    <n v="32"/>
    <n v="9"/>
    <n v="1"/>
    <n v="8"/>
    <n v="0.3"/>
    <n v="0.67"/>
    <n v="6"/>
    <x v="93"/>
  </r>
  <r>
    <x v="7"/>
    <x v="0"/>
    <n v="10"/>
    <n v="14"/>
    <n v="58"/>
    <n v="31"/>
    <n v="7"/>
    <n v="1"/>
    <n v="6"/>
    <n v="0.2"/>
    <n v="0.28999999999999998"/>
    <n v="2"/>
    <x v="106"/>
  </r>
  <r>
    <x v="7"/>
    <x v="0"/>
    <n v="9"/>
    <n v="14"/>
    <n v="61"/>
    <n v="29"/>
    <n v="8"/>
    <n v="1"/>
    <n v="7"/>
    <n v="0.3"/>
    <n v="0.25"/>
    <n v="2"/>
    <x v="107"/>
  </r>
  <r>
    <x v="7"/>
    <x v="0"/>
    <n v="10"/>
    <n v="8"/>
    <n v="44"/>
    <n v="27"/>
    <n v="7"/>
    <n v="1"/>
    <n v="6"/>
    <n v="0.3"/>
    <n v="0.56999999999999995"/>
    <n v="4"/>
    <x v="15"/>
  </r>
  <r>
    <x v="7"/>
    <x v="0"/>
    <n v="3"/>
    <n v="5"/>
    <n v="63"/>
    <n v="25"/>
    <n v="11"/>
    <n v="1"/>
    <n v="10"/>
    <n v="0.4"/>
    <n v="0"/>
    <n v="0"/>
    <x v="74"/>
  </r>
  <r>
    <x v="7"/>
    <x v="0"/>
    <n v="4"/>
    <n v="5"/>
    <n v="56"/>
    <n v="28"/>
    <n v="8"/>
    <n v="2"/>
    <n v="6"/>
    <n v="0.3"/>
    <n v="0.75"/>
    <n v="6"/>
    <x v="108"/>
  </r>
  <r>
    <x v="7"/>
    <x v="0"/>
    <n v="20"/>
    <n v="14"/>
    <n v="41"/>
    <n v="28"/>
    <n v="6"/>
    <n v="2"/>
    <n v="4"/>
    <n v="0.2"/>
    <n v="1"/>
    <n v="6"/>
    <x v="100"/>
  </r>
  <r>
    <x v="7"/>
    <x v="0"/>
    <n v="27"/>
    <n v="17"/>
    <n v="39"/>
    <n v="34"/>
    <n v="10"/>
    <n v="5"/>
    <n v="5"/>
    <n v="0.3"/>
    <n v="0.8"/>
    <n v="8"/>
    <x v="2"/>
  </r>
  <r>
    <x v="7"/>
    <x v="0"/>
    <n v="18"/>
    <n v="48"/>
    <n v="73"/>
    <n v="53"/>
    <n v="19"/>
    <n v="9"/>
    <n v="10"/>
    <n v="0.4"/>
    <n v="1.26"/>
    <n v="24"/>
    <x v="65"/>
  </r>
  <r>
    <x v="7"/>
    <x v="0"/>
    <n v="15"/>
    <n v="49"/>
    <n v="77"/>
    <n v="63"/>
    <n v="22"/>
    <n v="11"/>
    <n v="11"/>
    <n v="0.3"/>
    <n v="1.27"/>
    <n v="28"/>
    <x v="98"/>
  </r>
  <r>
    <x v="7"/>
    <x v="0"/>
    <n v="4"/>
    <n v="76"/>
    <n v="95"/>
    <n v="65"/>
    <n v="29"/>
    <n v="14"/>
    <n v="14"/>
    <n v="0.4"/>
    <n v="1.41"/>
    <n v="41"/>
    <x v="7"/>
  </r>
  <r>
    <x v="7"/>
    <x v="0"/>
    <n v="10"/>
    <n v="73"/>
    <n v="88"/>
    <n v="75"/>
    <n v="30"/>
    <n v="14"/>
    <n v="16"/>
    <n v="0.4"/>
    <n v="1.33"/>
    <n v="40"/>
    <x v="109"/>
  </r>
  <r>
    <x v="8"/>
    <x v="1"/>
    <n v="10"/>
    <n v="67"/>
    <n v="87"/>
    <n v="86"/>
    <n v="34"/>
    <n v="11"/>
    <n v="23"/>
    <n v="0.4"/>
    <n v="0.88"/>
    <n v="30"/>
    <x v="58"/>
  </r>
  <r>
    <x v="8"/>
    <x v="1"/>
    <n v="6"/>
    <n v="59"/>
    <n v="91"/>
    <n v="104"/>
    <n v="38"/>
    <n v="9"/>
    <n v="29"/>
    <n v="0.4"/>
    <n v="0.71"/>
    <n v="27"/>
    <x v="9"/>
  </r>
  <r>
    <x v="8"/>
    <x v="1"/>
    <n v="0"/>
    <n v="69"/>
    <n v="100"/>
    <n v="97"/>
    <n v="38"/>
    <n v="10"/>
    <n v="28"/>
    <n v="0.4"/>
    <n v="0.61"/>
    <n v="23"/>
    <x v="110"/>
  </r>
  <r>
    <x v="8"/>
    <x v="1"/>
    <n v="15"/>
    <n v="83"/>
    <n v="85"/>
    <n v="96"/>
    <n v="37"/>
    <n v="15"/>
    <n v="23"/>
    <n v="0.4"/>
    <n v="0.95"/>
    <n v="35"/>
    <x v="111"/>
  </r>
  <r>
    <x v="8"/>
    <x v="1"/>
    <n v="18"/>
    <n v="63"/>
    <n v="78"/>
    <n v="90"/>
    <n v="36"/>
    <n v="13"/>
    <n v="23"/>
    <n v="0.4"/>
    <n v="0.78"/>
    <n v="28"/>
    <x v="51"/>
  </r>
  <r>
    <x v="8"/>
    <x v="1"/>
    <n v="11"/>
    <n v="47"/>
    <n v="81"/>
    <n v="75"/>
    <n v="29"/>
    <n v="6"/>
    <n v="23"/>
    <n v="0.4"/>
    <n v="0.62"/>
    <n v="18"/>
    <x v="29"/>
  </r>
  <r>
    <x v="8"/>
    <x v="1"/>
    <n v="3"/>
    <n v="40"/>
    <n v="93"/>
    <n v="62"/>
    <n v="25"/>
    <n v="6"/>
    <n v="19"/>
    <n v="0.4"/>
    <n v="0.56000000000000005"/>
    <n v="14"/>
    <x v="66"/>
  </r>
  <r>
    <x v="8"/>
    <x v="1"/>
    <n v="9"/>
    <n v="38"/>
    <n v="81"/>
    <n v="52"/>
    <n v="21"/>
    <n v="8"/>
    <n v="14"/>
    <n v="0.4"/>
    <n v="0.76"/>
    <n v="16"/>
    <x v="94"/>
  </r>
  <r>
    <x v="8"/>
    <x v="1"/>
    <n v="6"/>
    <n v="29"/>
    <n v="83"/>
    <n v="45"/>
    <n v="16"/>
    <n v="4"/>
    <n v="12"/>
    <n v="0.4"/>
    <n v="0.63"/>
    <n v="10"/>
    <x v="55"/>
  </r>
  <r>
    <x v="8"/>
    <x v="1"/>
    <n v="12"/>
    <n v="37"/>
    <n v="76"/>
    <n v="47"/>
    <n v="16"/>
    <n v="4"/>
    <n v="12"/>
    <n v="0.3"/>
    <n v="0.69"/>
    <n v="11"/>
    <x v="112"/>
  </r>
  <r>
    <x v="8"/>
    <x v="1"/>
    <n v="6"/>
    <n v="22"/>
    <n v="79"/>
    <n v="45"/>
    <n v="18"/>
    <n v="4"/>
    <n v="13"/>
    <n v="0.4"/>
    <n v="0.5"/>
    <n v="9"/>
    <x v="99"/>
  </r>
  <r>
    <x v="8"/>
    <x v="1"/>
    <n v="15"/>
    <n v="31"/>
    <n v="67"/>
    <n v="43"/>
    <n v="14"/>
    <n v="4"/>
    <n v="10"/>
    <n v="0.3"/>
    <n v="0.64"/>
    <n v="9"/>
    <x v="92"/>
  </r>
  <r>
    <x v="8"/>
    <x v="1"/>
    <n v="7"/>
    <n v="34"/>
    <n v="83"/>
    <n v="40"/>
    <n v="16"/>
    <n v="3"/>
    <n v="13"/>
    <n v="0.4"/>
    <n v="0.31"/>
    <n v="5"/>
    <x v="0"/>
  </r>
  <r>
    <x v="8"/>
    <x v="1"/>
    <n v="3"/>
    <n v="27"/>
    <n v="90"/>
    <n v="46"/>
    <n v="19"/>
    <n v="3"/>
    <n v="16"/>
    <n v="0.4"/>
    <n v="0.47"/>
    <n v="9"/>
    <x v="91"/>
  </r>
  <r>
    <x v="8"/>
    <x v="1"/>
    <n v="9"/>
    <n v="17"/>
    <n v="65"/>
    <n v="42"/>
    <n v="11"/>
    <n v="3"/>
    <n v="8"/>
    <n v="0.3"/>
    <n v="0.64"/>
    <n v="7"/>
    <x v="113"/>
  </r>
  <r>
    <x v="8"/>
    <x v="1"/>
    <n v="12"/>
    <n v="13"/>
    <n v="52"/>
    <n v="39"/>
    <n v="12"/>
    <n v="3"/>
    <n v="9"/>
    <n v="0.3"/>
    <n v="0.5"/>
    <n v="6"/>
    <x v="114"/>
  </r>
  <r>
    <x v="8"/>
    <x v="1"/>
    <n v="3"/>
    <n v="9"/>
    <n v="75"/>
    <n v="35"/>
    <n v="12"/>
    <n v="0"/>
    <n v="11"/>
    <n v="0.3"/>
    <n v="0.08"/>
    <n v="1"/>
    <x v="12"/>
  </r>
  <r>
    <x v="8"/>
    <x v="1"/>
    <n v="6"/>
    <n v="12"/>
    <n v="67"/>
    <n v="30"/>
    <n v="10"/>
    <n v="2"/>
    <n v="8"/>
    <n v="0.3"/>
    <n v="0.4"/>
    <n v="4"/>
    <x v="15"/>
  </r>
  <r>
    <x v="8"/>
    <x v="1"/>
    <n v="18"/>
    <n v="24"/>
    <n v="57"/>
    <n v="36"/>
    <n v="11"/>
    <n v="5"/>
    <n v="6"/>
    <n v="0.3"/>
    <n v="1"/>
    <n v="11"/>
    <x v="93"/>
  </r>
  <r>
    <x v="8"/>
    <x v="1"/>
    <n v="69"/>
    <n v="37"/>
    <n v="35"/>
    <n v="37"/>
    <n v="11"/>
    <n v="7"/>
    <n v="4"/>
    <n v="0.3"/>
    <n v="1.82"/>
    <n v="20"/>
    <x v="115"/>
  </r>
  <r>
    <x v="8"/>
    <x v="1"/>
    <n v="63"/>
    <n v="46"/>
    <n v="42"/>
    <n v="42"/>
    <n v="17"/>
    <n v="11"/>
    <n v="6"/>
    <n v="0.4"/>
    <n v="1.47"/>
    <n v="25"/>
    <x v="80"/>
  </r>
  <r>
    <x v="8"/>
    <x v="1"/>
    <n v="34"/>
    <n v="71"/>
    <n v="68"/>
    <n v="59"/>
    <n v="24"/>
    <n v="15"/>
    <n v="9"/>
    <n v="0.4"/>
    <n v="1.46"/>
    <n v="35"/>
    <x v="77"/>
  </r>
  <r>
    <x v="8"/>
    <x v="1"/>
    <n v="10"/>
    <n v="87"/>
    <n v="90"/>
    <n v="71"/>
    <n v="31"/>
    <n v="17"/>
    <n v="14"/>
    <n v="0.4"/>
    <n v="1.55"/>
    <n v="48"/>
    <x v="116"/>
  </r>
  <r>
    <x v="8"/>
    <x v="1"/>
    <n v="10"/>
    <n v="78"/>
    <n v="89"/>
    <n v="81"/>
    <n v="33"/>
    <n v="15"/>
    <n v="18"/>
    <n v="0.4"/>
    <n v="1.24"/>
    <n v="41"/>
    <x v="20"/>
  </r>
  <r>
    <x v="9"/>
    <x v="2"/>
    <n v="4"/>
    <n v="74"/>
    <n v="95"/>
    <n v="98"/>
    <n v="39"/>
    <n v="9"/>
    <n v="30"/>
    <n v="0.4"/>
    <n v="0.82"/>
    <n v="32"/>
    <x v="117"/>
  </r>
  <r>
    <x v="9"/>
    <x v="2"/>
    <n v="37"/>
    <n v="80"/>
    <n v="68"/>
    <n v="104"/>
    <n v="45"/>
    <n v="21"/>
    <n v="24"/>
    <n v="0.4"/>
    <n v="0.78"/>
    <n v="35"/>
    <x v="64"/>
  </r>
  <r>
    <x v="9"/>
    <x v="2"/>
    <n v="64"/>
    <n v="102"/>
    <n v="61"/>
    <n v="96"/>
    <n v="35"/>
    <n v="22"/>
    <n v="13"/>
    <n v="0.4"/>
    <n v="1.6"/>
    <n v="56"/>
    <x v="40"/>
  </r>
  <r>
    <x v="9"/>
    <x v="2"/>
    <n v="43"/>
    <n v="97"/>
    <n v="69"/>
    <n v="109"/>
    <n v="38"/>
    <n v="24"/>
    <n v="14"/>
    <n v="0.3"/>
    <n v="1.5"/>
    <n v="57"/>
    <x v="118"/>
  </r>
  <r>
    <x v="9"/>
    <x v="2"/>
    <n v="27"/>
    <n v="106"/>
    <n v="80"/>
    <n v="96"/>
    <n v="37"/>
    <n v="20"/>
    <n v="18"/>
    <n v="0.4"/>
    <n v="1.05"/>
    <n v="39"/>
    <x v="119"/>
  </r>
  <r>
    <x v="9"/>
    <x v="2"/>
    <n v="51"/>
    <n v="75"/>
    <n v="60"/>
    <n v="81"/>
    <n v="33"/>
    <n v="22"/>
    <n v="11"/>
    <n v="0.4"/>
    <n v="1.1499999999999999"/>
    <n v="38"/>
    <x v="120"/>
  </r>
  <r>
    <x v="9"/>
    <x v="2"/>
    <n v="22"/>
    <n v="56"/>
    <n v="72"/>
    <n v="75"/>
    <n v="27"/>
    <n v="10"/>
    <n v="17"/>
    <n v="0.4"/>
    <n v="0.7"/>
    <n v="19"/>
    <x v="117"/>
  </r>
  <r>
    <x v="9"/>
    <x v="2"/>
    <n v="28"/>
    <n v="35"/>
    <n v="56"/>
    <n v="61"/>
    <n v="19"/>
    <n v="9"/>
    <n v="10"/>
    <n v="0.3"/>
    <n v="0.53"/>
    <n v="10"/>
    <x v="68"/>
  </r>
  <r>
    <x v="9"/>
    <x v="2"/>
    <n v="19"/>
    <n v="53"/>
    <n v="74"/>
    <n v="58"/>
    <n v="17"/>
    <n v="7"/>
    <n v="10"/>
    <n v="0.3"/>
    <n v="1.06"/>
    <n v="18"/>
    <x v="103"/>
  </r>
  <r>
    <x v="9"/>
    <x v="2"/>
    <n v="22"/>
    <n v="42"/>
    <n v="66"/>
    <n v="51"/>
    <n v="19"/>
    <n v="8"/>
    <n v="11"/>
    <n v="0.4"/>
    <n v="0.79"/>
    <n v="15"/>
    <x v="98"/>
  </r>
  <r>
    <x v="9"/>
    <x v="2"/>
    <n v="18"/>
    <n v="33"/>
    <n v="65"/>
    <n v="54"/>
    <n v="15"/>
    <n v="5"/>
    <n v="10"/>
    <n v="0.3"/>
    <n v="0.73"/>
    <n v="11"/>
    <x v="25"/>
  </r>
  <r>
    <x v="9"/>
    <x v="2"/>
    <n v="5"/>
    <n v="30"/>
    <n v="86"/>
    <n v="65"/>
    <n v="21"/>
    <n v="7"/>
    <n v="14"/>
    <n v="0.3"/>
    <n v="0.52"/>
    <n v="11"/>
    <x v="55"/>
  </r>
  <r>
    <x v="9"/>
    <x v="2"/>
    <n v="11"/>
    <n v="38"/>
    <n v="78"/>
    <n v="70"/>
    <n v="26"/>
    <n v="5"/>
    <n v="21"/>
    <n v="0.4"/>
    <n v="0.46"/>
    <n v="12"/>
    <x v="112"/>
  </r>
  <r>
    <x v="9"/>
    <x v="2"/>
    <n v="31"/>
    <n v="50"/>
    <n v="62"/>
    <n v="72"/>
    <n v="29"/>
    <n v="15"/>
    <n v="15"/>
    <n v="0.4"/>
    <n v="0.72"/>
    <n v="21"/>
    <x v="51"/>
  </r>
  <r>
    <x v="9"/>
    <x v="2"/>
    <n v="62"/>
    <n v="73"/>
    <n v="54"/>
    <n v="59"/>
    <n v="22"/>
    <n v="17"/>
    <n v="5"/>
    <n v="0.4"/>
    <n v="1.68"/>
    <n v="37"/>
    <x v="121"/>
  </r>
  <r>
    <x v="9"/>
    <x v="2"/>
    <n v="38"/>
    <n v="44"/>
    <n v="54"/>
    <n v="51"/>
    <n v="19"/>
    <n v="13"/>
    <n v="7"/>
    <n v="0.4"/>
    <n v="1.26"/>
    <n v="24"/>
    <x v="90"/>
  </r>
  <r>
    <x v="9"/>
    <x v="2"/>
    <n v="21"/>
    <n v="17"/>
    <n v="45"/>
    <n v="41"/>
    <n v="11"/>
    <n v="4"/>
    <n v="7"/>
    <n v="0.3"/>
    <n v="1.27"/>
    <n v="14"/>
    <x v="81"/>
  </r>
  <r>
    <x v="9"/>
    <x v="2"/>
    <n v="6"/>
    <n v="3"/>
    <n v="33"/>
    <n v="32"/>
    <n v="8"/>
    <n v="0"/>
    <n v="8"/>
    <n v="0.3"/>
    <n v="0.13"/>
    <n v="1"/>
    <x v="108"/>
  </r>
  <r>
    <x v="9"/>
    <x v="2"/>
    <n v="3"/>
    <n v="5"/>
    <n v="63"/>
    <n v="27"/>
    <n v="10"/>
    <n v="0"/>
    <n v="9"/>
    <n v="0.4"/>
    <n v="0.1"/>
    <n v="1"/>
    <x v="74"/>
  </r>
  <r>
    <x v="9"/>
    <x v="2"/>
    <n v="16"/>
    <n v="4"/>
    <n v="20"/>
    <n v="25"/>
    <n v="7"/>
    <n v="1"/>
    <n v="6"/>
    <n v="0.3"/>
    <n v="0.14000000000000001"/>
    <n v="1"/>
    <x v="122"/>
  </r>
  <r>
    <x v="9"/>
    <x v="2"/>
    <n v="12"/>
    <n v="17"/>
    <n v="59"/>
    <n v="28"/>
    <n v="11"/>
    <n v="4"/>
    <n v="7"/>
    <n v="0.4"/>
    <n v="1.0900000000000001"/>
    <n v="12"/>
    <x v="10"/>
  </r>
  <r>
    <x v="9"/>
    <x v="2"/>
    <n v="8"/>
    <n v="25"/>
    <n v="76"/>
    <n v="38"/>
    <n v="14"/>
    <n v="5"/>
    <n v="9"/>
    <n v="0.4"/>
    <n v="1.07"/>
    <n v="15"/>
    <x v="123"/>
  </r>
  <r>
    <x v="9"/>
    <x v="2"/>
    <n v="3"/>
    <n v="25"/>
    <n v="89"/>
    <n v="50"/>
    <n v="18"/>
    <n v="5"/>
    <n v="13"/>
    <n v="0.4"/>
    <n v="0.61"/>
    <n v="11"/>
    <x v="99"/>
  </r>
  <r>
    <x v="9"/>
    <x v="2"/>
    <n v="14"/>
    <n v="60"/>
    <n v="81"/>
    <n v="65"/>
    <n v="25"/>
    <n v="8"/>
    <n v="18"/>
    <n v="0.4"/>
    <n v="0.88"/>
    <n v="22"/>
    <x v="27"/>
  </r>
  <r>
    <x v="10"/>
    <x v="3"/>
    <n v="7"/>
    <n v="49"/>
    <n v="88"/>
    <n v="85"/>
    <n v="29"/>
    <n v="8"/>
    <n v="21"/>
    <n v="0.3"/>
    <n v="0.76"/>
    <n v="22"/>
    <x v="124"/>
  </r>
  <r>
    <x v="10"/>
    <x v="3"/>
    <n v="9"/>
    <n v="62"/>
    <n v="87"/>
    <n v="98"/>
    <n v="35"/>
    <n v="14"/>
    <n v="21"/>
    <n v="0.4"/>
    <n v="0.86"/>
    <n v="30"/>
    <x v="24"/>
  </r>
  <r>
    <x v="10"/>
    <x v="3"/>
    <n v="25"/>
    <n v="76"/>
    <n v="75"/>
    <n v="108"/>
    <n v="36"/>
    <n v="18"/>
    <n v="18"/>
    <n v="0.3"/>
    <n v="1.39"/>
    <n v="50"/>
    <x v="49"/>
  </r>
  <r>
    <x v="10"/>
    <x v="3"/>
    <n v="12"/>
    <n v="90"/>
    <n v="88"/>
    <n v="116"/>
    <n v="42"/>
    <n v="21"/>
    <n v="21"/>
    <n v="0.4"/>
    <n v="0.86"/>
    <n v="36"/>
    <x v="17"/>
  </r>
  <r>
    <x v="10"/>
    <x v="3"/>
    <n v="46"/>
    <n v="107"/>
    <n v="70"/>
    <n v="103"/>
    <n v="40"/>
    <n v="27"/>
    <n v="14"/>
    <n v="0.4"/>
    <n v="1.32"/>
    <n v="53"/>
    <x v="125"/>
  </r>
  <r>
    <x v="10"/>
    <x v="3"/>
    <n v="83"/>
    <n v="91"/>
    <n v="52"/>
    <n v="104"/>
    <n v="40"/>
    <n v="26"/>
    <n v="14"/>
    <n v="0.4"/>
    <n v="1.05"/>
    <n v="42"/>
    <x v="126"/>
  </r>
  <r>
    <x v="10"/>
    <x v="3"/>
    <n v="39"/>
    <n v="71"/>
    <n v="65"/>
    <n v="104"/>
    <n v="32"/>
    <n v="17"/>
    <n v="16"/>
    <n v="0.3"/>
    <n v="0.91"/>
    <n v="29"/>
    <x v="127"/>
  </r>
  <r>
    <x v="10"/>
    <x v="3"/>
    <n v="5"/>
    <n v="46"/>
    <n v="90"/>
    <n v="95"/>
    <n v="27"/>
    <n v="8"/>
    <n v="19"/>
    <n v="0.3"/>
    <n v="0.7"/>
    <n v="19"/>
    <x v="25"/>
  </r>
  <r>
    <x v="10"/>
    <x v="3"/>
    <n v="5"/>
    <n v="39"/>
    <n v="89"/>
    <n v="76"/>
    <n v="26"/>
    <n v="6"/>
    <n v="20"/>
    <n v="0.3"/>
    <n v="0.62"/>
    <n v="16"/>
    <x v="2"/>
  </r>
  <r>
    <x v="10"/>
    <x v="3"/>
    <n v="5"/>
    <n v="33"/>
    <n v="87"/>
    <n v="77"/>
    <n v="23"/>
    <n v="4"/>
    <n v="19"/>
    <n v="0.3"/>
    <n v="0.35"/>
    <n v="8"/>
    <x v="81"/>
  </r>
  <r>
    <x v="10"/>
    <x v="3"/>
    <n v="5"/>
    <n v="30"/>
    <n v="86"/>
    <n v="80"/>
    <n v="26"/>
    <n v="3"/>
    <n v="22"/>
    <n v="0.3"/>
    <n v="0.38"/>
    <n v="10"/>
    <x v="55"/>
  </r>
  <r>
    <x v="10"/>
    <x v="3"/>
    <n v="5"/>
    <n v="23"/>
    <n v="82"/>
    <n v="75"/>
    <n v="26"/>
    <n v="3"/>
    <n v="22"/>
    <n v="0.3"/>
    <n v="0.19"/>
    <n v="5"/>
    <x v="99"/>
  </r>
  <r>
    <x v="10"/>
    <x v="3"/>
    <n v="4"/>
    <n v="26"/>
    <n v="87"/>
    <n v="84"/>
    <n v="28"/>
    <n v="6"/>
    <n v="22"/>
    <n v="0.3"/>
    <n v="0.43"/>
    <n v="12"/>
    <x v="91"/>
  </r>
  <r>
    <x v="10"/>
    <x v="3"/>
    <n v="5"/>
    <n v="47"/>
    <n v="90"/>
    <n v="92"/>
    <n v="37"/>
    <n v="11"/>
    <n v="26"/>
    <n v="0.4"/>
    <n v="0.54"/>
    <n v="20"/>
    <x v="105"/>
  </r>
  <r>
    <x v="10"/>
    <x v="3"/>
    <n v="17"/>
    <n v="65"/>
    <n v="79"/>
    <n v="77"/>
    <n v="32"/>
    <n v="17"/>
    <n v="15"/>
    <n v="0.4"/>
    <n v="1.1299999999999999"/>
    <n v="36"/>
    <x v="90"/>
  </r>
  <r>
    <x v="10"/>
    <x v="3"/>
    <n v="26"/>
    <n v="45"/>
    <n v="63"/>
    <n v="62"/>
    <n v="20"/>
    <n v="12"/>
    <n v="8"/>
    <n v="0.3"/>
    <n v="1.2"/>
    <n v="24"/>
    <x v="24"/>
  </r>
  <r>
    <x v="10"/>
    <x v="3"/>
    <n v="15"/>
    <n v="18"/>
    <n v="55"/>
    <n v="44"/>
    <n v="12"/>
    <n v="2"/>
    <n v="11"/>
    <n v="0.3"/>
    <n v="0.57999999999999996"/>
    <n v="7"/>
    <x v="123"/>
  </r>
  <r>
    <x v="10"/>
    <x v="3"/>
    <n v="5"/>
    <n v="2"/>
    <n v="29"/>
    <n v="27"/>
    <n v="7"/>
    <n v="0"/>
    <n v="7"/>
    <n v="0.3"/>
    <n v="0.14000000000000001"/>
    <n v="1"/>
    <x v="102"/>
  </r>
  <r>
    <x v="10"/>
    <x v="3"/>
    <n v="2"/>
    <n v="3"/>
    <n v="60"/>
    <n v="17"/>
    <n v="5"/>
    <n v="0"/>
    <n v="5"/>
    <n v="0.3"/>
    <n v="0"/>
    <n v="0"/>
    <x v="14"/>
  </r>
  <r>
    <x v="10"/>
    <x v="3"/>
    <n v="8"/>
    <n v="2"/>
    <n v="20"/>
    <n v="17"/>
    <n v="5"/>
    <n v="0"/>
    <n v="5"/>
    <n v="0.3"/>
    <n v="0"/>
    <n v="0"/>
    <x v="13"/>
  </r>
  <r>
    <x v="10"/>
    <x v="3"/>
    <n v="7"/>
    <n v="6"/>
    <n v="46"/>
    <n v="18"/>
    <n v="6"/>
    <n v="0"/>
    <n v="6"/>
    <n v="0.3"/>
    <n v="0.17"/>
    <n v="1"/>
    <x v="128"/>
  </r>
  <r>
    <x v="10"/>
    <x v="3"/>
    <n v="9"/>
    <n v="10"/>
    <n v="53"/>
    <n v="28"/>
    <n v="7"/>
    <n v="1"/>
    <n v="6"/>
    <n v="0.3"/>
    <n v="0.28999999999999998"/>
    <n v="2"/>
    <x v="34"/>
  </r>
  <r>
    <x v="10"/>
    <x v="3"/>
    <n v="2"/>
    <n v="14"/>
    <n v="88"/>
    <n v="48"/>
    <n v="17"/>
    <n v="3"/>
    <n v="14"/>
    <n v="0.4"/>
    <n v="0.24"/>
    <n v="4"/>
    <x v="129"/>
  </r>
  <r>
    <x v="10"/>
    <x v="3"/>
    <n v="9"/>
    <n v="40"/>
    <n v="82"/>
    <n v="59"/>
    <n v="21"/>
    <n v="8"/>
    <n v="13"/>
    <n v="0.4"/>
    <n v="0.95"/>
    <n v="20"/>
    <x v="112"/>
  </r>
  <r>
    <x v="11"/>
    <x v="4"/>
    <n v="14"/>
    <n v="49"/>
    <n v="78"/>
    <n v="77"/>
    <n v="26"/>
    <n v="10"/>
    <n v="15"/>
    <n v="0.3"/>
    <n v="1.1499999999999999"/>
    <n v="30"/>
    <x v="68"/>
  </r>
  <r>
    <x v="11"/>
    <x v="4"/>
    <n v="11"/>
    <n v="49"/>
    <n v="82"/>
    <n v="93"/>
    <n v="28"/>
    <n v="6"/>
    <n v="22"/>
    <n v="0.3"/>
    <n v="0.71"/>
    <n v="20"/>
    <x v="67"/>
  </r>
  <r>
    <x v="11"/>
    <x v="4"/>
    <n v="5"/>
    <n v="50"/>
    <n v="91"/>
    <n v="104"/>
    <n v="36"/>
    <n v="8"/>
    <n v="28"/>
    <n v="0.3"/>
    <n v="0.61"/>
    <n v="22"/>
    <x v="30"/>
  </r>
  <r>
    <x v="11"/>
    <x v="4"/>
    <n v="10"/>
    <n v="66"/>
    <n v="87"/>
    <n v="97"/>
    <n v="36"/>
    <n v="13"/>
    <n v="23"/>
    <n v="0.4"/>
    <n v="0.75"/>
    <n v="27"/>
    <x v="87"/>
  </r>
  <r>
    <x v="11"/>
    <x v="4"/>
    <n v="45"/>
    <n v="77"/>
    <n v="63"/>
    <n v="101"/>
    <n v="35"/>
    <n v="21"/>
    <n v="14"/>
    <n v="0.3"/>
    <n v="0.89"/>
    <n v="31"/>
    <x v="130"/>
  </r>
  <r>
    <x v="11"/>
    <x v="4"/>
    <n v="52"/>
    <n v="71"/>
    <n v="58"/>
    <n v="88"/>
    <n v="24"/>
    <n v="13"/>
    <n v="11"/>
    <n v="0.3"/>
    <n v="1.08"/>
    <n v="26"/>
    <x v="23"/>
  </r>
  <r>
    <x v="11"/>
    <x v="4"/>
    <n v="5"/>
    <n v="48"/>
    <n v="91"/>
    <n v="106"/>
    <n v="35"/>
    <n v="12"/>
    <n v="23"/>
    <n v="0.3"/>
    <n v="0.49"/>
    <n v="17"/>
    <x v="26"/>
  </r>
  <r>
    <x v="11"/>
    <x v="4"/>
    <n v="4"/>
    <n v="26"/>
    <n v="87"/>
    <n v="95"/>
    <n v="31"/>
    <n v="5"/>
    <n v="25"/>
    <n v="0.3"/>
    <n v="0.35"/>
    <n v="11"/>
    <x v="91"/>
  </r>
  <r>
    <x v="11"/>
    <x v="4"/>
    <n v="4"/>
    <n v="34"/>
    <n v="89"/>
    <n v="84"/>
    <n v="26"/>
    <n v="4"/>
    <n v="22"/>
    <n v="0.3"/>
    <n v="0.31"/>
    <n v="8"/>
    <x v="81"/>
  </r>
  <r>
    <x v="11"/>
    <x v="4"/>
    <n v="9"/>
    <n v="40"/>
    <n v="82"/>
    <n v="79"/>
    <n v="24"/>
    <n v="3"/>
    <n v="21"/>
    <n v="0.3"/>
    <n v="0.38"/>
    <n v="9"/>
    <x v="112"/>
  </r>
  <r>
    <x v="11"/>
    <x v="4"/>
    <n v="7"/>
    <n v="32"/>
    <n v="82"/>
    <n v="80"/>
    <n v="26"/>
    <n v="4"/>
    <n v="22"/>
    <n v="0.3"/>
    <n v="0.31"/>
    <n v="8"/>
    <x v="84"/>
  </r>
  <r>
    <x v="11"/>
    <x v="4"/>
    <n v="3"/>
    <n v="29"/>
    <n v="91"/>
    <n v="76"/>
    <n v="23"/>
    <n v="4"/>
    <n v="19"/>
    <n v="0.3"/>
    <n v="0.26"/>
    <n v="6"/>
    <x v="33"/>
  </r>
  <r>
    <x v="11"/>
    <x v="4"/>
    <n v="3"/>
    <n v="35"/>
    <n v="92"/>
    <n v="97"/>
    <n v="37"/>
    <n v="6"/>
    <n v="31"/>
    <n v="0.4"/>
    <n v="0.24"/>
    <n v="9"/>
    <x v="81"/>
  </r>
  <r>
    <x v="11"/>
    <x v="4"/>
    <n v="11"/>
    <n v="44"/>
    <n v="80"/>
    <n v="101"/>
    <n v="36"/>
    <n v="9"/>
    <n v="27"/>
    <n v="0.4"/>
    <n v="0.47"/>
    <n v="17"/>
    <x v="30"/>
  </r>
  <r>
    <x v="11"/>
    <x v="4"/>
    <n v="27"/>
    <n v="64"/>
    <n v="70"/>
    <n v="84"/>
    <n v="27"/>
    <n v="13"/>
    <n v="14"/>
    <n v="0.3"/>
    <n v="1"/>
    <n v="27"/>
    <x v="50"/>
  </r>
  <r>
    <x v="11"/>
    <x v="4"/>
    <n v="28"/>
    <n v="46"/>
    <n v="62"/>
    <n v="67"/>
    <n v="22"/>
    <n v="8"/>
    <n v="14"/>
    <n v="0.3"/>
    <n v="0.86"/>
    <n v="19"/>
    <x v="27"/>
  </r>
  <r>
    <x v="11"/>
    <x v="4"/>
    <n v="16"/>
    <n v="21"/>
    <n v="57"/>
    <n v="48"/>
    <n v="16"/>
    <n v="4"/>
    <n v="12"/>
    <n v="0.3"/>
    <n v="0.5"/>
    <n v="8"/>
    <x v="35"/>
  </r>
  <r>
    <x v="11"/>
    <x v="4"/>
    <n v="5"/>
    <n v="11"/>
    <n v="69"/>
    <n v="31"/>
    <n v="9"/>
    <n v="1"/>
    <n v="8"/>
    <n v="0.3"/>
    <n v="0.33"/>
    <n v="3"/>
    <x v="129"/>
  </r>
  <r>
    <x v="11"/>
    <x v="4"/>
    <n v="2"/>
    <n v="2"/>
    <n v="50"/>
    <n v="24"/>
    <n v="10"/>
    <n v="0"/>
    <n v="10"/>
    <n v="0.4"/>
    <n v="0"/>
    <n v="0"/>
    <x v="72"/>
  </r>
  <r>
    <x v="11"/>
    <x v="4"/>
    <n v="0"/>
    <n v="2"/>
    <n v="100"/>
    <n v="28"/>
    <n v="10"/>
    <n v="1"/>
    <n v="9"/>
    <n v="0.4"/>
    <n v="0.1"/>
    <n v="1"/>
    <x v="101"/>
  </r>
  <r>
    <x v="11"/>
    <x v="4"/>
    <n v="5"/>
    <n v="13"/>
    <n v="72"/>
    <n v="28"/>
    <n v="11"/>
    <n v="2"/>
    <n v="9"/>
    <n v="0.4"/>
    <n v="0.55000000000000004"/>
    <n v="6"/>
    <x v="15"/>
  </r>
  <r>
    <x v="11"/>
    <x v="4"/>
    <n v="0"/>
    <n v="16"/>
    <n v="100"/>
    <n v="39"/>
    <n v="15"/>
    <n v="1"/>
    <n v="13"/>
    <n v="0.4"/>
    <n v="7.0000000000000007E-2"/>
    <n v="1"/>
    <x v="129"/>
  </r>
  <r>
    <x v="11"/>
    <x v="4"/>
    <n v="2"/>
    <n v="34"/>
    <n v="94"/>
    <n v="56"/>
    <n v="19"/>
    <n v="5"/>
    <n v="13"/>
    <n v="0.3"/>
    <n v="0.79"/>
    <n v="15"/>
    <x v="75"/>
  </r>
  <r>
    <x v="12"/>
    <x v="5"/>
    <n v="6"/>
    <n v="46"/>
    <n v="88"/>
    <n v="72"/>
    <n v="29"/>
    <n v="8"/>
    <n v="21"/>
    <n v="0.4"/>
    <n v="0.69"/>
    <n v="20"/>
    <x v="105"/>
  </r>
  <r>
    <x v="12"/>
    <x v="5"/>
    <n v="4"/>
    <n v="40"/>
    <n v="91"/>
    <n v="85"/>
    <n v="32"/>
    <n v="7"/>
    <n v="25"/>
    <n v="0.4"/>
    <n v="0.47"/>
    <n v="15"/>
    <x v="2"/>
  </r>
  <r>
    <x v="12"/>
    <x v="5"/>
    <n v="6"/>
    <n v="43"/>
    <n v="88"/>
    <n v="103"/>
    <n v="35"/>
    <n v="9"/>
    <n v="26"/>
    <n v="0.3"/>
    <n v="0.69"/>
    <n v="24"/>
    <x v="112"/>
  </r>
  <r>
    <x v="12"/>
    <x v="5"/>
    <n v="7"/>
    <n v="60"/>
    <n v="90"/>
    <n v="108"/>
    <n v="39"/>
    <n v="10"/>
    <n v="30"/>
    <n v="0.4"/>
    <n v="0.56000000000000005"/>
    <n v="22"/>
    <x v="104"/>
  </r>
  <r>
    <x v="12"/>
    <x v="5"/>
    <n v="15"/>
    <n v="74"/>
    <n v="83"/>
    <n v="108"/>
    <n v="43"/>
    <n v="22"/>
    <n v="21"/>
    <n v="0.4"/>
    <n v="0.65"/>
    <n v="28"/>
    <x v="4"/>
  </r>
  <r>
    <x v="12"/>
    <x v="5"/>
    <n v="47"/>
    <n v="68"/>
    <n v="59"/>
    <n v="90"/>
    <n v="31"/>
    <n v="19"/>
    <n v="12"/>
    <n v="0.3"/>
    <n v="1.19"/>
    <n v="37"/>
    <x v="131"/>
  </r>
  <r>
    <x v="12"/>
    <x v="5"/>
    <n v="1"/>
    <n v="50"/>
    <n v="98"/>
    <n v="91"/>
    <n v="30"/>
    <n v="6"/>
    <n v="24"/>
    <n v="0.3"/>
    <n v="0.63"/>
    <n v="19"/>
    <x v="25"/>
  </r>
  <r>
    <x v="12"/>
    <x v="5"/>
    <n v="3"/>
    <n v="37"/>
    <n v="93"/>
    <n v="84"/>
    <n v="27"/>
    <n v="3"/>
    <n v="24"/>
    <n v="0.3"/>
    <n v="0.22"/>
    <n v="6"/>
    <x v="132"/>
  </r>
  <r>
    <x v="12"/>
    <x v="5"/>
    <n v="7"/>
    <n v="26"/>
    <n v="79"/>
    <n v="76"/>
    <n v="23"/>
    <n v="2"/>
    <n v="22"/>
    <n v="0.3"/>
    <n v="0.17"/>
    <n v="4"/>
    <x v="123"/>
  </r>
  <r>
    <x v="12"/>
    <x v="5"/>
    <n v="8"/>
    <n v="27"/>
    <n v="77"/>
    <n v="65"/>
    <n v="21"/>
    <n v="4"/>
    <n v="17"/>
    <n v="0.3"/>
    <n v="0.43"/>
    <n v="9"/>
    <x v="55"/>
  </r>
  <r>
    <x v="12"/>
    <x v="5"/>
    <n v="7"/>
    <n v="25"/>
    <n v="78"/>
    <n v="68"/>
    <n v="19"/>
    <n v="3"/>
    <n v="16"/>
    <n v="0.3"/>
    <n v="0.53"/>
    <n v="10"/>
    <x v="33"/>
  </r>
  <r>
    <x v="12"/>
    <x v="5"/>
    <n v="7"/>
    <n v="24"/>
    <n v="77"/>
    <n v="78"/>
    <n v="22"/>
    <n v="2"/>
    <n v="20"/>
    <n v="0.3"/>
    <n v="0.14000000000000001"/>
    <n v="3"/>
    <x v="57"/>
  </r>
  <r>
    <x v="12"/>
    <x v="5"/>
    <n v="10"/>
    <n v="32"/>
    <n v="76"/>
    <n v="73"/>
    <n v="26"/>
    <n v="5"/>
    <n v="20"/>
    <n v="0.4"/>
    <n v="0.35"/>
    <n v="9"/>
    <x v="93"/>
  </r>
  <r>
    <x v="12"/>
    <x v="5"/>
    <n v="22"/>
    <n v="44"/>
    <n v="67"/>
    <n v="72"/>
    <n v="26"/>
    <n v="9"/>
    <n v="17"/>
    <n v="0.4"/>
    <n v="0.65"/>
    <n v="17"/>
    <x v="65"/>
  </r>
  <r>
    <x v="12"/>
    <x v="5"/>
    <n v="39"/>
    <n v="66"/>
    <n v="63"/>
    <n v="75"/>
    <n v="30"/>
    <n v="16"/>
    <n v="14"/>
    <n v="0.4"/>
    <n v="0.97"/>
    <n v="29"/>
    <x v="77"/>
  </r>
  <r>
    <x v="12"/>
    <x v="5"/>
    <n v="21"/>
    <n v="45"/>
    <n v="68"/>
    <n v="59"/>
    <n v="27"/>
    <n v="12"/>
    <n v="15"/>
    <n v="0.5"/>
    <n v="0.89"/>
    <n v="24"/>
    <x v="65"/>
  </r>
  <r>
    <x v="12"/>
    <x v="5"/>
    <n v="19"/>
    <n v="22"/>
    <n v="54"/>
    <n v="46"/>
    <n v="15"/>
    <n v="5"/>
    <n v="10"/>
    <n v="0.3"/>
    <n v="1"/>
    <n v="15"/>
    <x v="0"/>
  </r>
  <r>
    <x v="12"/>
    <x v="5"/>
    <n v="6"/>
    <n v="3"/>
    <n v="33"/>
    <n v="24"/>
    <n v="7"/>
    <n v="0"/>
    <n v="7"/>
    <n v="0.3"/>
    <n v="0.14000000000000001"/>
    <n v="1"/>
    <x v="108"/>
  </r>
  <r>
    <x v="12"/>
    <x v="5"/>
    <n v="1"/>
    <n v="2"/>
    <n v="67"/>
    <n v="14"/>
    <n v="5"/>
    <n v="0"/>
    <n v="5"/>
    <n v="0.4"/>
    <n v="0.2"/>
    <n v="1"/>
    <x v="73"/>
  </r>
  <r>
    <x v="12"/>
    <x v="5"/>
    <n v="3"/>
    <n v="1"/>
    <n v="25"/>
    <n v="16"/>
    <n v="6"/>
    <n v="0"/>
    <n v="6"/>
    <n v="0.4"/>
    <n v="0"/>
    <n v="0"/>
    <x v="72"/>
  </r>
  <r>
    <x v="12"/>
    <x v="5"/>
    <n v="6"/>
    <n v="3"/>
    <n v="33"/>
    <n v="18"/>
    <n v="6"/>
    <n v="1"/>
    <n v="5"/>
    <n v="0.3"/>
    <n v="0.33"/>
    <n v="2"/>
    <x v="108"/>
  </r>
  <r>
    <x v="12"/>
    <x v="5"/>
    <n v="2"/>
    <n v="4"/>
    <n v="67"/>
    <n v="19"/>
    <n v="6"/>
    <n v="0"/>
    <n v="6"/>
    <n v="0.3"/>
    <n v="0"/>
    <n v="0"/>
    <x v="56"/>
  </r>
  <r>
    <x v="12"/>
    <x v="5"/>
    <n v="9"/>
    <n v="14"/>
    <n v="61"/>
    <n v="25"/>
    <n v="8"/>
    <n v="1"/>
    <n v="7"/>
    <n v="0.3"/>
    <n v="0.13"/>
    <n v="1"/>
    <x v="107"/>
  </r>
  <r>
    <x v="12"/>
    <x v="5"/>
    <n v="3"/>
    <n v="19"/>
    <n v="86"/>
    <n v="40"/>
    <n v="17"/>
    <n v="4"/>
    <n v="13"/>
    <n v="0.4"/>
    <n v="0.65"/>
    <n v="11"/>
    <x v="11"/>
  </r>
  <r>
    <x v="13"/>
    <x v="6"/>
    <n v="4"/>
    <n v="26"/>
    <n v="87"/>
    <n v="52"/>
    <n v="19"/>
    <n v="3"/>
    <n v="16"/>
    <n v="0.4"/>
    <n v="0.47"/>
    <n v="9"/>
    <x v="91"/>
  </r>
  <r>
    <x v="13"/>
    <x v="6"/>
    <n v="4"/>
    <n v="38"/>
    <n v="90"/>
    <n v="71"/>
    <n v="23"/>
    <n v="7"/>
    <n v="17"/>
    <n v="0.3"/>
    <n v="0.7"/>
    <n v="16"/>
    <x v="93"/>
  </r>
  <r>
    <x v="13"/>
    <x v="6"/>
    <n v="7"/>
    <n v="39"/>
    <n v="85"/>
    <n v="85"/>
    <n v="27"/>
    <n v="7"/>
    <n v="20"/>
    <n v="0.3"/>
    <n v="0.56000000000000005"/>
    <n v="15"/>
    <x v="92"/>
  </r>
  <r>
    <x v="13"/>
    <x v="6"/>
    <n v="9"/>
    <n v="65"/>
    <n v="88"/>
    <n v="96"/>
    <n v="36"/>
    <n v="11"/>
    <n v="25"/>
    <n v="0.4"/>
    <n v="0.61"/>
    <n v="22"/>
    <x v="27"/>
  </r>
  <r>
    <x v="13"/>
    <x v="6"/>
    <n v="28"/>
    <n v="85"/>
    <n v="75"/>
    <n v="93"/>
    <n v="39"/>
    <n v="24"/>
    <n v="15"/>
    <n v="0.4"/>
    <n v="0.92"/>
    <n v="36"/>
    <x v="60"/>
  </r>
  <r>
    <x v="13"/>
    <x v="6"/>
    <n v="31"/>
    <n v="91"/>
    <n v="75"/>
    <n v="86"/>
    <n v="34"/>
    <n v="23"/>
    <n v="12"/>
    <n v="0.4"/>
    <n v="1.18"/>
    <n v="40"/>
    <x v="130"/>
  </r>
  <r>
    <x v="13"/>
    <x v="6"/>
    <n v="4"/>
    <n v="57"/>
    <n v="93"/>
    <n v="94"/>
    <n v="34"/>
    <n v="12"/>
    <n v="22"/>
    <n v="0.4"/>
    <n v="0.68"/>
    <n v="23"/>
    <x v="3"/>
  </r>
  <r>
    <x v="13"/>
    <x v="6"/>
    <n v="8"/>
    <n v="36"/>
    <n v="82"/>
    <n v="81"/>
    <n v="28"/>
    <n v="4"/>
    <n v="24"/>
    <n v="0.3"/>
    <n v="0.32"/>
    <n v="9"/>
    <x v="2"/>
  </r>
  <r>
    <x v="13"/>
    <x v="6"/>
    <n v="7"/>
    <n v="22"/>
    <n v="76"/>
    <n v="81"/>
    <n v="29"/>
    <n v="3"/>
    <n v="26"/>
    <n v="0.4"/>
    <n v="0.24"/>
    <n v="7"/>
    <x v="10"/>
  </r>
  <r>
    <x v="13"/>
    <x v="6"/>
    <n v="6"/>
    <n v="30"/>
    <n v="83"/>
    <n v="71"/>
    <n v="23"/>
    <n v="3"/>
    <n v="20"/>
    <n v="0.3"/>
    <n v="0.22"/>
    <n v="5"/>
    <x v="75"/>
  </r>
  <r>
    <x v="13"/>
    <x v="6"/>
    <n v="6"/>
    <n v="26"/>
    <n v="81"/>
    <n v="70"/>
    <n v="20"/>
    <n v="4"/>
    <n v="16"/>
    <n v="0.3"/>
    <n v="0.45"/>
    <n v="9"/>
    <x v="33"/>
  </r>
  <r>
    <x v="13"/>
    <x v="6"/>
    <n v="5"/>
    <n v="34"/>
    <n v="87"/>
    <n v="74"/>
    <n v="28"/>
    <n v="4"/>
    <n v="24"/>
    <n v="0.4"/>
    <n v="0.32"/>
    <n v="9"/>
    <x v="84"/>
  </r>
  <r>
    <x v="13"/>
    <x v="6"/>
    <n v="4"/>
    <n v="33"/>
    <n v="89"/>
    <n v="78"/>
    <n v="32"/>
    <n v="4"/>
    <n v="28"/>
    <n v="0.4"/>
    <n v="0.31"/>
    <n v="10"/>
    <x v="35"/>
  </r>
  <r>
    <x v="13"/>
    <x v="6"/>
    <n v="10"/>
    <n v="38"/>
    <n v="79"/>
    <n v="85"/>
    <n v="29"/>
    <n v="7"/>
    <n v="22"/>
    <n v="0.3"/>
    <n v="0.34"/>
    <n v="10"/>
    <x v="28"/>
  </r>
  <r>
    <x v="13"/>
    <x v="6"/>
    <n v="32"/>
    <n v="66"/>
    <n v="67"/>
    <n v="75"/>
    <n v="27"/>
    <n v="15"/>
    <n v="12"/>
    <n v="0.4"/>
    <n v="1.07"/>
    <n v="29"/>
    <x v="111"/>
  </r>
  <r>
    <x v="13"/>
    <x v="6"/>
    <n v="20"/>
    <n v="41"/>
    <n v="67"/>
    <n v="61"/>
    <n v="23"/>
    <n v="11"/>
    <n v="12"/>
    <n v="0.4"/>
    <n v="0.78"/>
    <n v="18"/>
    <x v="3"/>
  </r>
  <r>
    <x v="13"/>
    <x v="6"/>
    <n v="13"/>
    <n v="33"/>
    <n v="72"/>
    <n v="41"/>
    <n v="14"/>
    <n v="4"/>
    <n v="9"/>
    <n v="0.3"/>
    <n v="0.79"/>
    <n v="11"/>
    <x v="92"/>
  </r>
  <r>
    <x v="13"/>
    <x v="6"/>
    <n v="6"/>
    <n v="9"/>
    <n v="60"/>
    <n v="29"/>
    <n v="8"/>
    <n v="0"/>
    <n v="8"/>
    <n v="0.3"/>
    <n v="0.13"/>
    <n v="1"/>
    <x v="85"/>
  </r>
  <r>
    <x v="13"/>
    <x v="6"/>
    <n v="1"/>
    <n v="1"/>
    <n v="50"/>
    <n v="15"/>
    <n v="5"/>
    <n v="0"/>
    <n v="5"/>
    <n v="0.3"/>
    <n v="0"/>
    <n v="0"/>
    <x v="101"/>
  </r>
  <r>
    <x v="13"/>
    <x v="6"/>
    <n v="4"/>
    <n v="3"/>
    <n v="43"/>
    <n v="11"/>
    <n v="3"/>
    <n v="0"/>
    <n v="3"/>
    <n v="0.3"/>
    <n v="0"/>
    <n v="0"/>
    <x v="102"/>
  </r>
  <r>
    <x v="13"/>
    <x v="6"/>
    <n v="1"/>
    <n v="4"/>
    <n v="80"/>
    <n v="9"/>
    <n v="4"/>
    <n v="0"/>
    <n v="4"/>
    <n v="0.4"/>
    <n v="0.25"/>
    <n v="1"/>
    <x v="14"/>
  </r>
  <r>
    <x v="13"/>
    <x v="6"/>
    <n v="2"/>
    <n v="7"/>
    <n v="78"/>
    <n v="20"/>
    <n v="8"/>
    <n v="1"/>
    <n v="7"/>
    <n v="0.4"/>
    <n v="0.38"/>
    <n v="3"/>
    <x v="108"/>
  </r>
  <r>
    <x v="13"/>
    <x v="6"/>
    <n v="4"/>
    <n v="12"/>
    <n v="75"/>
    <n v="31"/>
    <n v="10"/>
    <n v="1"/>
    <n v="10"/>
    <n v="0.3"/>
    <n v="0"/>
    <n v="0"/>
    <x v="129"/>
  </r>
  <r>
    <x v="13"/>
    <x v="6"/>
    <n v="10"/>
    <n v="25"/>
    <n v="71"/>
    <n v="38"/>
    <n v="13"/>
    <n v="1"/>
    <n v="12"/>
    <n v="0.3"/>
    <n v="0.31"/>
    <n v="4"/>
    <x v="55"/>
  </r>
  <r>
    <x v="14"/>
    <x v="0"/>
    <n v="10"/>
    <n v="30"/>
    <n v="75"/>
    <n v="46"/>
    <n v="15"/>
    <n v="3"/>
    <n v="13"/>
    <n v="0.3"/>
    <n v="0.4"/>
    <n v="6"/>
    <x v="132"/>
  </r>
  <r>
    <x v="14"/>
    <x v="0"/>
    <n v="8"/>
    <n v="45"/>
    <n v="85"/>
    <n v="65"/>
    <n v="23"/>
    <n v="6"/>
    <n v="17"/>
    <n v="0.4"/>
    <n v="0.61"/>
    <n v="14"/>
    <x v="26"/>
  </r>
  <r>
    <x v="14"/>
    <x v="0"/>
    <n v="8"/>
    <n v="44"/>
    <n v="85"/>
    <n v="77"/>
    <n v="29"/>
    <n v="6"/>
    <n v="23"/>
    <n v="0.4"/>
    <n v="0.72"/>
    <n v="21"/>
    <x v="105"/>
  </r>
  <r>
    <x v="14"/>
    <x v="0"/>
    <n v="4"/>
    <n v="59"/>
    <n v="94"/>
    <n v="87"/>
    <n v="36"/>
    <n v="5"/>
    <n v="31"/>
    <n v="0.4"/>
    <n v="0.36"/>
    <n v="13"/>
    <x v="68"/>
  </r>
  <r>
    <x v="14"/>
    <x v="0"/>
    <n v="8"/>
    <n v="62"/>
    <n v="89"/>
    <n v="87"/>
    <n v="33"/>
    <n v="9"/>
    <n v="24"/>
    <n v="0.4"/>
    <n v="0.67"/>
    <n v="22"/>
    <x v="6"/>
  </r>
  <r>
    <x v="14"/>
    <x v="0"/>
    <n v="7"/>
    <n v="39"/>
    <n v="85"/>
    <n v="80"/>
    <n v="27"/>
    <n v="6"/>
    <n v="21"/>
    <n v="0.3"/>
    <n v="0.52"/>
    <n v="14"/>
    <x v="92"/>
  </r>
  <r>
    <x v="14"/>
    <x v="0"/>
    <n v="3"/>
    <n v="55"/>
    <n v="95"/>
    <n v="81"/>
    <n v="28"/>
    <n v="9"/>
    <n v="19"/>
    <n v="0.3"/>
    <n v="0.75"/>
    <n v="21"/>
    <x v="29"/>
  </r>
  <r>
    <x v="14"/>
    <x v="0"/>
    <n v="4"/>
    <n v="47"/>
    <n v="92"/>
    <n v="74"/>
    <n v="28"/>
    <n v="5"/>
    <n v="23"/>
    <n v="0.4"/>
    <n v="0.71"/>
    <n v="20"/>
    <x v="25"/>
  </r>
  <r>
    <x v="14"/>
    <x v="0"/>
    <n v="1"/>
    <n v="29"/>
    <n v="97"/>
    <n v="72"/>
    <n v="30"/>
    <n v="3"/>
    <n v="27"/>
    <n v="0.4"/>
    <n v="0.23"/>
    <n v="7"/>
    <x v="91"/>
  </r>
  <r>
    <x v="14"/>
    <x v="0"/>
    <n v="6"/>
    <n v="24"/>
    <n v="80"/>
    <n v="67"/>
    <n v="27"/>
    <n v="2"/>
    <n v="25"/>
    <n v="0.4"/>
    <n v="0.19"/>
    <n v="5"/>
    <x v="91"/>
  </r>
  <r>
    <x v="14"/>
    <x v="0"/>
    <n v="4"/>
    <n v="31"/>
    <n v="89"/>
    <n v="54"/>
    <n v="23"/>
    <n v="3"/>
    <n v="20"/>
    <n v="0.4"/>
    <n v="0.35"/>
    <n v="8"/>
    <x v="55"/>
  </r>
  <r>
    <x v="14"/>
    <x v="0"/>
    <n v="4"/>
    <n v="25"/>
    <n v="86"/>
    <n v="45"/>
    <n v="19"/>
    <n v="2"/>
    <n v="17"/>
    <n v="0.4"/>
    <n v="0.42"/>
    <n v="8"/>
    <x v="10"/>
  </r>
  <r>
    <x v="14"/>
    <x v="0"/>
    <n v="4"/>
    <n v="23"/>
    <n v="85"/>
    <n v="47"/>
    <n v="18"/>
    <n v="0"/>
    <n v="18"/>
    <n v="0.4"/>
    <n v="0.11"/>
    <n v="2"/>
    <x v="133"/>
  </r>
  <r>
    <x v="14"/>
    <x v="0"/>
    <n v="2"/>
    <n v="18"/>
    <n v="90"/>
    <n v="44"/>
    <n v="20"/>
    <n v="1"/>
    <n v="19"/>
    <n v="0.5"/>
    <n v="0.2"/>
    <n v="4"/>
    <x v="122"/>
  </r>
  <r>
    <x v="14"/>
    <x v="0"/>
    <n v="3"/>
    <n v="15"/>
    <n v="83"/>
    <n v="39"/>
    <n v="14"/>
    <n v="0"/>
    <n v="14"/>
    <n v="0.4"/>
    <n v="0"/>
    <n v="0"/>
    <x v="15"/>
  </r>
  <r>
    <x v="14"/>
    <x v="0"/>
    <n v="6"/>
    <n v="5"/>
    <n v="45"/>
    <n v="31"/>
    <n v="10"/>
    <n v="1"/>
    <n v="9"/>
    <n v="0.3"/>
    <n v="0.1"/>
    <n v="1"/>
    <x v="134"/>
  </r>
  <r>
    <x v="14"/>
    <x v="0"/>
    <n v="1"/>
    <n v="5"/>
    <n v="83"/>
    <n v="30"/>
    <n v="11"/>
    <n v="1"/>
    <n v="11"/>
    <n v="0.4"/>
    <n v="0.36"/>
    <n v="4"/>
    <x v="56"/>
  </r>
  <r>
    <x v="14"/>
    <x v="0"/>
    <n v="2"/>
    <n v="7"/>
    <n v="78"/>
    <n v="32"/>
    <n v="10"/>
    <n v="1"/>
    <n v="9"/>
    <n v="0.3"/>
    <n v="0.1"/>
    <n v="1"/>
    <x v="108"/>
  </r>
  <r>
    <x v="14"/>
    <x v="0"/>
    <n v="6"/>
    <n v="17"/>
    <n v="74"/>
    <n v="40"/>
    <n v="13"/>
    <n v="2"/>
    <n v="11"/>
    <n v="0.3"/>
    <n v="0.54"/>
    <n v="7"/>
    <x v="107"/>
  </r>
  <r>
    <x v="14"/>
    <x v="0"/>
    <n v="4"/>
    <n v="28"/>
    <n v="88"/>
    <n v="45"/>
    <n v="18"/>
    <n v="5"/>
    <n v="13"/>
    <n v="0.4"/>
    <n v="0.61"/>
    <n v="11"/>
    <x v="33"/>
  </r>
  <r>
    <x v="14"/>
    <x v="0"/>
    <n v="3"/>
    <n v="20"/>
    <n v="87"/>
    <n v="51"/>
    <n v="19"/>
    <n v="3"/>
    <n v="16"/>
    <n v="0.4"/>
    <n v="0.47"/>
    <n v="9"/>
    <x v="107"/>
  </r>
  <r>
    <x v="14"/>
    <x v="0"/>
    <n v="4"/>
    <n v="30"/>
    <n v="88"/>
    <n v="57"/>
    <n v="24"/>
    <n v="5"/>
    <n v="19"/>
    <n v="0.4"/>
    <n v="0.5"/>
    <n v="12"/>
    <x v="100"/>
  </r>
  <r>
    <x v="14"/>
    <x v="0"/>
    <n v="8"/>
    <n v="31"/>
    <n v="79"/>
    <n v="65"/>
    <n v="32"/>
    <n v="4"/>
    <n v="28"/>
    <n v="0.5"/>
    <n v="0.38"/>
    <n v="12"/>
    <x v="84"/>
  </r>
  <r>
    <x v="14"/>
    <x v="0"/>
    <n v="6"/>
    <n v="49"/>
    <n v="89"/>
    <n v="70"/>
    <n v="34"/>
    <n v="6"/>
    <n v="28"/>
    <n v="0.5"/>
    <n v="0.59"/>
    <n v="20"/>
    <x v="30"/>
  </r>
  <r>
    <x v="15"/>
    <x v="1"/>
    <n v="1"/>
    <n v="30"/>
    <n v="97"/>
    <n v="81"/>
    <n v="41"/>
    <n v="6"/>
    <n v="34"/>
    <n v="0.5"/>
    <n v="0.34"/>
    <n v="14"/>
    <x v="57"/>
  </r>
  <r>
    <x v="15"/>
    <x v="1"/>
    <n v="1"/>
    <n v="34"/>
    <n v="97"/>
    <n v="92"/>
    <n v="41"/>
    <n v="5"/>
    <n v="36"/>
    <n v="0.4"/>
    <n v="0.34"/>
    <n v="14"/>
    <x v="55"/>
  </r>
  <r>
    <x v="15"/>
    <x v="1"/>
    <n v="3"/>
    <n v="32"/>
    <n v="91"/>
    <n v="92"/>
    <n v="40"/>
    <n v="5"/>
    <n v="35"/>
    <n v="0.4"/>
    <n v="0.28000000000000003"/>
    <n v="11"/>
    <x v="55"/>
  </r>
  <r>
    <x v="15"/>
    <x v="1"/>
    <n v="8"/>
    <n v="38"/>
    <n v="83"/>
    <n v="94"/>
    <n v="45"/>
    <n v="4"/>
    <n v="41"/>
    <n v="0.5"/>
    <n v="0.31"/>
    <n v="14"/>
    <x v="92"/>
  </r>
  <r>
    <x v="15"/>
    <x v="1"/>
    <n v="3"/>
    <n v="29"/>
    <n v="91"/>
    <n v="98"/>
    <n v="42"/>
    <n v="6"/>
    <n v="37"/>
    <n v="0.4"/>
    <n v="0.28999999999999998"/>
    <n v="12"/>
    <x v="33"/>
  </r>
  <r>
    <x v="15"/>
    <x v="1"/>
    <n v="3"/>
    <n v="34"/>
    <n v="92"/>
    <n v="86"/>
    <n v="39"/>
    <n v="3"/>
    <n v="36"/>
    <n v="0.5"/>
    <n v="0.28000000000000003"/>
    <n v="11"/>
    <x v="35"/>
  </r>
  <r>
    <x v="15"/>
    <x v="1"/>
    <n v="1"/>
    <n v="22"/>
    <n v="96"/>
    <n v="80"/>
    <n v="25"/>
    <n v="3"/>
    <n v="23"/>
    <n v="0.3"/>
    <n v="0.24"/>
    <n v="6"/>
    <x v="107"/>
  </r>
  <r>
    <x v="15"/>
    <x v="1"/>
    <n v="5"/>
    <n v="22"/>
    <n v="81"/>
    <n v="72"/>
    <n v="28"/>
    <n v="4"/>
    <n v="25"/>
    <n v="0.4"/>
    <n v="0.25"/>
    <n v="7"/>
    <x v="133"/>
  </r>
  <r>
    <x v="15"/>
    <x v="1"/>
    <n v="1"/>
    <n v="25"/>
    <n v="96"/>
    <n v="70"/>
    <n v="30"/>
    <n v="4"/>
    <n v="26"/>
    <n v="0.4"/>
    <n v="0.37"/>
    <n v="11"/>
    <x v="113"/>
  </r>
  <r>
    <x v="15"/>
    <x v="1"/>
    <n v="5"/>
    <n v="26"/>
    <n v="84"/>
    <n v="76"/>
    <n v="33"/>
    <n v="2"/>
    <n v="31"/>
    <n v="0.4"/>
    <n v="0.24"/>
    <n v="8"/>
    <x v="57"/>
  </r>
  <r>
    <x v="15"/>
    <x v="1"/>
    <n v="3"/>
    <n v="17"/>
    <n v="85"/>
    <n v="73"/>
    <n v="31"/>
    <n v="1"/>
    <n v="30"/>
    <n v="0.4"/>
    <n v="0"/>
    <n v="0"/>
    <x v="122"/>
  </r>
  <r>
    <x v="15"/>
    <x v="1"/>
    <n v="4"/>
    <n v="25"/>
    <n v="86"/>
    <n v="62"/>
    <n v="26"/>
    <n v="3"/>
    <n v="23"/>
    <n v="0.4"/>
    <n v="0.27"/>
    <n v="7"/>
    <x v="10"/>
  </r>
  <r>
    <x v="15"/>
    <x v="1"/>
    <n v="6"/>
    <n v="14"/>
    <n v="70"/>
    <n v="56"/>
    <n v="23"/>
    <n v="1"/>
    <n v="22"/>
    <n v="0.4"/>
    <n v="0.13"/>
    <n v="3"/>
    <x v="122"/>
  </r>
  <r>
    <x v="15"/>
    <x v="1"/>
    <n v="2"/>
    <n v="12"/>
    <n v="86"/>
    <n v="49"/>
    <n v="23"/>
    <n v="1"/>
    <n v="22"/>
    <n v="0.5"/>
    <n v="0.17"/>
    <n v="4"/>
    <x v="135"/>
  </r>
  <r>
    <x v="15"/>
    <x v="1"/>
    <n v="1"/>
    <n v="9"/>
    <n v="90"/>
    <n v="46"/>
    <n v="22"/>
    <n v="0"/>
    <n v="22"/>
    <n v="0.5"/>
    <n v="0"/>
    <n v="0"/>
    <x v="13"/>
  </r>
  <r>
    <x v="15"/>
    <x v="1"/>
    <n v="3"/>
    <n v="7"/>
    <n v="70"/>
    <n v="39"/>
    <n v="19"/>
    <n v="1"/>
    <n v="18"/>
    <n v="0.5"/>
    <n v="0.05"/>
    <n v="1"/>
    <x v="13"/>
  </r>
  <r>
    <x v="15"/>
    <x v="1"/>
    <n v="1"/>
    <n v="2"/>
    <n v="67"/>
    <n v="40"/>
    <n v="16"/>
    <n v="1"/>
    <n v="15"/>
    <n v="0.4"/>
    <n v="0.06"/>
    <n v="1"/>
    <x v="73"/>
  </r>
  <r>
    <x v="15"/>
    <x v="1"/>
    <n v="0"/>
    <n v="4"/>
    <n v="100"/>
    <n v="43"/>
    <n v="19"/>
    <n v="0"/>
    <n v="19"/>
    <n v="0.4"/>
    <n v="0.05"/>
    <n v="1"/>
    <x v="72"/>
  </r>
  <r>
    <x v="15"/>
    <x v="1"/>
    <n v="1"/>
    <n v="8"/>
    <n v="89"/>
    <n v="42"/>
    <n v="21"/>
    <n v="1"/>
    <n v="20"/>
    <n v="0.5"/>
    <n v="0.1"/>
    <n v="2"/>
    <x v="108"/>
  </r>
  <r>
    <x v="15"/>
    <x v="1"/>
    <n v="1"/>
    <n v="12"/>
    <n v="92"/>
    <n v="43"/>
    <n v="20"/>
    <n v="2"/>
    <n v="18"/>
    <n v="0.5"/>
    <n v="0.35"/>
    <n v="7"/>
    <x v="128"/>
  </r>
  <r>
    <x v="15"/>
    <x v="1"/>
    <n v="1"/>
    <n v="19"/>
    <n v="95"/>
    <n v="53"/>
    <n v="23"/>
    <n v="2"/>
    <n v="21"/>
    <n v="0.4"/>
    <n v="0.3"/>
    <n v="7"/>
    <x v="122"/>
  </r>
  <r>
    <x v="15"/>
    <x v="1"/>
    <n v="0"/>
    <n v="14"/>
    <n v="100"/>
    <n v="59"/>
    <n v="31"/>
    <n v="2"/>
    <n v="29"/>
    <n v="0.5"/>
    <n v="0.19"/>
    <n v="6"/>
    <x v="135"/>
  </r>
  <r>
    <x v="15"/>
    <x v="1"/>
    <n v="3"/>
    <n v="26"/>
    <n v="90"/>
    <n v="68"/>
    <n v="30"/>
    <n v="3"/>
    <n v="27"/>
    <n v="0.4"/>
    <n v="0.27"/>
    <n v="8"/>
    <x v="10"/>
  </r>
  <r>
    <x v="15"/>
    <x v="1"/>
    <n v="0"/>
    <n v="29"/>
    <n v="100"/>
    <n v="73"/>
    <n v="30"/>
    <n v="3"/>
    <n v="26"/>
    <n v="0.4"/>
    <n v="0.2"/>
    <n v="6"/>
    <x v="10"/>
  </r>
  <r>
    <x v="16"/>
    <x v="2"/>
    <n v="5"/>
    <n v="31"/>
    <n v="86"/>
    <n v="86"/>
    <n v="35"/>
    <n v="3"/>
    <n v="31"/>
    <n v="0.4"/>
    <n v="0.28999999999999998"/>
    <n v="10"/>
    <x v="75"/>
  </r>
  <r>
    <x v="16"/>
    <x v="2"/>
    <n v="2"/>
    <n v="27"/>
    <n v="93"/>
    <n v="101"/>
    <n v="46"/>
    <n v="3"/>
    <n v="43"/>
    <n v="0.5"/>
    <n v="0.22"/>
    <n v="10"/>
    <x v="10"/>
  </r>
  <r>
    <x v="16"/>
    <x v="2"/>
    <n v="1"/>
    <n v="26"/>
    <n v="96"/>
    <n v="113"/>
    <n v="47"/>
    <n v="3"/>
    <n v="45"/>
    <n v="0.4"/>
    <n v="0.15"/>
    <n v="7"/>
    <x v="133"/>
  </r>
  <r>
    <x v="16"/>
    <x v="2"/>
    <n v="3"/>
    <n v="33"/>
    <n v="92"/>
    <n v="110"/>
    <n v="46"/>
    <n v="4"/>
    <n v="42"/>
    <n v="0.4"/>
    <n v="0.22"/>
    <n v="10"/>
    <x v="75"/>
  </r>
  <r>
    <x v="16"/>
    <x v="2"/>
    <n v="3"/>
    <n v="36"/>
    <n v="92"/>
    <n v="114"/>
    <n v="52"/>
    <n v="6"/>
    <n v="47"/>
    <n v="0.5"/>
    <n v="0.27"/>
    <n v="14"/>
    <x v="84"/>
  </r>
  <r>
    <x v="16"/>
    <x v="2"/>
    <n v="1"/>
    <n v="33"/>
    <n v="97"/>
    <n v="106"/>
    <n v="48"/>
    <n v="5"/>
    <n v="44"/>
    <n v="0.5"/>
    <n v="0.21"/>
    <n v="10"/>
    <x v="100"/>
  </r>
  <r>
    <x v="16"/>
    <x v="2"/>
    <n v="2"/>
    <n v="34"/>
    <n v="94"/>
    <n v="100"/>
    <n v="50"/>
    <n v="4"/>
    <n v="45"/>
    <n v="0.5"/>
    <n v="0.24"/>
    <n v="12"/>
    <x v="75"/>
  </r>
  <r>
    <x v="16"/>
    <x v="2"/>
    <n v="2"/>
    <n v="29"/>
    <n v="94"/>
    <n v="85"/>
    <n v="38"/>
    <n v="4"/>
    <n v="34"/>
    <n v="0.4"/>
    <n v="0.28999999999999998"/>
    <n v="11"/>
    <x v="57"/>
  </r>
  <r>
    <x v="16"/>
    <x v="2"/>
    <n v="4"/>
    <n v="25"/>
    <n v="86"/>
    <n v="71"/>
    <n v="29"/>
    <n v="4"/>
    <n v="25"/>
    <n v="0.4"/>
    <n v="0.34"/>
    <n v="10"/>
    <x v="10"/>
  </r>
  <r>
    <x v="16"/>
    <x v="2"/>
    <n v="2"/>
    <n v="19"/>
    <n v="90"/>
    <n v="76"/>
    <n v="26"/>
    <n v="2"/>
    <n v="24"/>
    <n v="0.3"/>
    <n v="0.19"/>
    <n v="5"/>
    <x v="86"/>
  </r>
  <r>
    <x v="16"/>
    <x v="2"/>
    <n v="7"/>
    <n v="21"/>
    <n v="75"/>
    <n v="69"/>
    <n v="26"/>
    <n v="3"/>
    <n v="23"/>
    <n v="0.4"/>
    <n v="0.31"/>
    <n v="8"/>
    <x v="99"/>
  </r>
  <r>
    <x v="16"/>
    <x v="2"/>
    <n v="3"/>
    <n v="27"/>
    <n v="90"/>
    <n v="79"/>
    <n v="34"/>
    <n v="1"/>
    <n v="33"/>
    <n v="0.4"/>
    <n v="0.06"/>
    <n v="2"/>
    <x v="91"/>
  </r>
  <r>
    <x v="16"/>
    <x v="2"/>
    <n v="0"/>
    <n v="28"/>
    <n v="100"/>
    <n v="76"/>
    <n v="35"/>
    <n v="2"/>
    <n v="33"/>
    <n v="0.5"/>
    <n v="0.2"/>
    <n v="7"/>
    <x v="99"/>
  </r>
  <r>
    <x v="16"/>
    <x v="2"/>
    <n v="1"/>
    <n v="19"/>
    <n v="95"/>
    <n v="73"/>
    <n v="34"/>
    <n v="0"/>
    <n v="34"/>
    <n v="0.5"/>
    <n v="0.03"/>
    <n v="1"/>
    <x v="122"/>
  </r>
  <r>
    <x v="16"/>
    <x v="2"/>
    <n v="2"/>
    <n v="23"/>
    <n v="92"/>
    <n v="71"/>
    <n v="32"/>
    <n v="3"/>
    <n v="29"/>
    <n v="0.5"/>
    <n v="0.19"/>
    <n v="6"/>
    <x v="114"/>
  </r>
  <r>
    <x v="16"/>
    <x v="2"/>
    <n v="2"/>
    <n v="21"/>
    <n v="91"/>
    <n v="53"/>
    <n v="22"/>
    <n v="3"/>
    <n v="18"/>
    <n v="0.4"/>
    <n v="0.45"/>
    <n v="10"/>
    <x v="107"/>
  </r>
  <r>
    <x v="16"/>
    <x v="2"/>
    <n v="6"/>
    <n v="8"/>
    <n v="57"/>
    <n v="41"/>
    <n v="16"/>
    <n v="0"/>
    <n v="15"/>
    <n v="0.4"/>
    <n v="0.13"/>
    <n v="2"/>
    <x v="135"/>
  </r>
  <r>
    <x v="16"/>
    <x v="2"/>
    <n v="3"/>
    <n v="2"/>
    <n v="40"/>
    <n v="27"/>
    <n v="8"/>
    <n v="1"/>
    <n v="7"/>
    <n v="0.3"/>
    <n v="0.13"/>
    <n v="1"/>
    <x v="14"/>
  </r>
  <r>
    <x v="16"/>
    <x v="2"/>
    <n v="5"/>
    <n v="7"/>
    <n v="58"/>
    <n v="24"/>
    <n v="9"/>
    <n v="1"/>
    <n v="7"/>
    <n v="0.4"/>
    <n v="0.44"/>
    <n v="4"/>
    <x v="12"/>
  </r>
  <r>
    <x v="16"/>
    <x v="2"/>
    <n v="6"/>
    <n v="5"/>
    <n v="45"/>
    <n v="23"/>
    <n v="8"/>
    <n v="2"/>
    <n v="6"/>
    <n v="0.3"/>
    <n v="0.38"/>
    <n v="3"/>
    <x v="134"/>
  </r>
  <r>
    <x v="16"/>
    <x v="2"/>
    <n v="5"/>
    <n v="10"/>
    <n v="67"/>
    <n v="26"/>
    <n v="11"/>
    <n v="2"/>
    <n v="9"/>
    <n v="0.4"/>
    <n v="0.45"/>
    <n v="5"/>
    <x v="85"/>
  </r>
  <r>
    <x v="16"/>
    <x v="2"/>
    <n v="1"/>
    <n v="15"/>
    <n v="94"/>
    <n v="45"/>
    <n v="16"/>
    <n v="1"/>
    <n v="15"/>
    <n v="0.4"/>
    <n v="0.25"/>
    <n v="4"/>
    <x v="129"/>
  </r>
  <r>
    <x v="16"/>
    <x v="2"/>
    <n v="8"/>
    <n v="33"/>
    <n v="80"/>
    <n v="56"/>
    <n v="21"/>
    <n v="8"/>
    <n v="13"/>
    <n v="0.4"/>
    <n v="0.67"/>
    <n v="14"/>
    <x v="0"/>
  </r>
  <r>
    <x v="16"/>
    <x v="2"/>
    <n v="15"/>
    <n v="55"/>
    <n v="79"/>
    <n v="61"/>
    <n v="23"/>
    <n v="15"/>
    <n v="8"/>
    <n v="0.4"/>
    <n v="1.57"/>
    <n v="36"/>
    <x v="6"/>
  </r>
  <r>
    <x v="17"/>
    <x v="3"/>
    <n v="11"/>
    <n v="56"/>
    <n v="84"/>
    <n v="72"/>
    <n v="25"/>
    <n v="7"/>
    <n v="18"/>
    <n v="0.3"/>
    <n v="0.96"/>
    <n v="24"/>
    <x v="104"/>
  </r>
  <r>
    <x v="17"/>
    <x v="3"/>
    <n v="5"/>
    <n v="37"/>
    <n v="88"/>
    <n v="83"/>
    <n v="35"/>
    <n v="5"/>
    <n v="29"/>
    <n v="0.4"/>
    <n v="0.4"/>
    <n v="14"/>
    <x v="93"/>
  </r>
  <r>
    <x v="17"/>
    <x v="3"/>
    <n v="4"/>
    <n v="33"/>
    <n v="89"/>
    <n v="86"/>
    <n v="31"/>
    <n v="5"/>
    <n v="27"/>
    <n v="0.4"/>
    <n v="0.42"/>
    <n v="13"/>
    <x v="35"/>
  </r>
  <r>
    <x v="17"/>
    <x v="3"/>
    <n v="5"/>
    <n v="57"/>
    <n v="92"/>
    <n v="80"/>
    <n v="32"/>
    <n v="9"/>
    <n v="24"/>
    <n v="0.4"/>
    <n v="0.59"/>
    <n v="19"/>
    <x v="32"/>
  </r>
  <r>
    <x v="17"/>
    <x v="3"/>
    <n v="10"/>
    <n v="58"/>
    <n v="85"/>
    <n v="79"/>
    <n v="33"/>
    <n v="8"/>
    <n v="25"/>
    <n v="0.4"/>
    <n v="0.64"/>
    <n v="21"/>
    <x v="136"/>
  </r>
  <r>
    <x v="17"/>
    <x v="3"/>
    <n v="8"/>
    <n v="46"/>
    <n v="85"/>
    <n v="72"/>
    <n v="31"/>
    <n v="6"/>
    <n v="25"/>
    <n v="0.4"/>
    <n v="0.39"/>
    <n v="12"/>
    <x v="31"/>
  </r>
  <r>
    <x v="17"/>
    <x v="3"/>
    <n v="7"/>
    <n v="40"/>
    <n v="85"/>
    <n v="70"/>
    <n v="26"/>
    <n v="4"/>
    <n v="22"/>
    <n v="0.4"/>
    <n v="0.46"/>
    <n v="12"/>
    <x v="94"/>
  </r>
  <r>
    <x v="17"/>
    <x v="3"/>
    <n v="3"/>
    <n v="28"/>
    <n v="90"/>
    <n v="71"/>
    <n v="27"/>
    <n v="2"/>
    <n v="25"/>
    <n v="0.4"/>
    <n v="0.26"/>
    <n v="7"/>
    <x v="57"/>
  </r>
  <r>
    <x v="17"/>
    <x v="3"/>
    <n v="3"/>
    <n v="23"/>
    <n v="88"/>
    <n v="62"/>
    <n v="24"/>
    <n v="3"/>
    <n v="21"/>
    <n v="0.4"/>
    <n v="0.33"/>
    <n v="8"/>
    <x v="113"/>
  </r>
  <r>
    <x v="17"/>
    <x v="3"/>
    <n v="4"/>
    <n v="26"/>
    <n v="87"/>
    <n v="60"/>
    <n v="22"/>
    <n v="4"/>
    <n v="19"/>
    <n v="0.4"/>
    <n v="0.32"/>
    <n v="7"/>
    <x v="91"/>
  </r>
  <r>
    <x v="17"/>
    <x v="3"/>
    <n v="4"/>
    <n v="28"/>
    <n v="88"/>
    <n v="52"/>
    <n v="20"/>
    <n v="4"/>
    <n v="16"/>
    <n v="0.4"/>
    <n v="0.45"/>
    <n v="9"/>
    <x v="33"/>
  </r>
  <r>
    <x v="17"/>
    <x v="3"/>
    <n v="7"/>
    <n v="28"/>
    <n v="80"/>
    <n v="51"/>
    <n v="20"/>
    <n v="4"/>
    <n v="16"/>
    <n v="0.4"/>
    <n v="0.5"/>
    <n v="10"/>
    <x v="55"/>
  </r>
  <r>
    <x v="17"/>
    <x v="3"/>
    <n v="3"/>
    <n v="21"/>
    <n v="88"/>
    <n v="48"/>
    <n v="18"/>
    <n v="2"/>
    <n v="16"/>
    <n v="0.4"/>
    <n v="0.17"/>
    <n v="3"/>
    <x v="106"/>
  </r>
  <r>
    <x v="17"/>
    <x v="3"/>
    <n v="11"/>
    <n v="27"/>
    <n v="71"/>
    <n v="54"/>
    <n v="18"/>
    <n v="2"/>
    <n v="16"/>
    <n v="0.3"/>
    <n v="0.39"/>
    <n v="7"/>
    <x v="81"/>
  </r>
  <r>
    <x v="17"/>
    <x v="3"/>
    <n v="1"/>
    <n v="21"/>
    <n v="95"/>
    <n v="47"/>
    <n v="21"/>
    <n v="2"/>
    <n v="19"/>
    <n v="0.4"/>
    <n v="0.28999999999999998"/>
    <n v="6"/>
    <x v="11"/>
  </r>
  <r>
    <x v="17"/>
    <x v="3"/>
    <n v="5"/>
    <n v="13"/>
    <n v="72"/>
    <n v="39"/>
    <n v="15"/>
    <n v="2"/>
    <n v="14"/>
    <n v="0.4"/>
    <n v="0.27"/>
    <n v="4"/>
    <x v="15"/>
  </r>
  <r>
    <x v="17"/>
    <x v="3"/>
    <n v="5"/>
    <n v="6"/>
    <n v="55"/>
    <n v="28"/>
    <n v="10"/>
    <n v="0"/>
    <n v="10"/>
    <n v="0.4"/>
    <n v="0.1"/>
    <n v="1"/>
    <x v="134"/>
  </r>
  <r>
    <x v="17"/>
    <x v="3"/>
    <n v="5"/>
    <n v="1"/>
    <n v="17"/>
    <n v="25"/>
    <n v="5"/>
    <n v="0"/>
    <n v="5"/>
    <n v="0.2"/>
    <n v="0"/>
    <n v="0"/>
    <x v="56"/>
  </r>
  <r>
    <x v="17"/>
    <x v="3"/>
    <n v="5"/>
    <n v="5"/>
    <n v="50"/>
    <n v="29"/>
    <n v="6"/>
    <n v="1"/>
    <n v="5"/>
    <n v="0.2"/>
    <n v="0.17"/>
    <n v="1"/>
    <x v="13"/>
  </r>
  <r>
    <x v="17"/>
    <x v="3"/>
    <n v="8"/>
    <n v="13"/>
    <n v="62"/>
    <n v="30"/>
    <n v="7"/>
    <n v="2"/>
    <n v="5"/>
    <n v="0.2"/>
    <n v="0.71"/>
    <n v="5"/>
    <x v="86"/>
  </r>
  <r>
    <x v="17"/>
    <x v="3"/>
    <n v="15"/>
    <n v="19"/>
    <n v="56"/>
    <n v="36"/>
    <n v="9"/>
    <n v="2"/>
    <n v="7"/>
    <n v="0.3"/>
    <n v="0.67"/>
    <n v="6"/>
    <x v="100"/>
  </r>
  <r>
    <x v="17"/>
    <x v="3"/>
    <n v="5"/>
    <n v="27"/>
    <n v="84"/>
    <n v="44"/>
    <n v="17"/>
    <n v="4"/>
    <n v="14"/>
    <n v="0.4"/>
    <n v="0.53"/>
    <n v="9"/>
    <x v="33"/>
  </r>
  <r>
    <x v="17"/>
    <x v="3"/>
    <n v="2"/>
    <n v="33"/>
    <n v="94"/>
    <n v="65"/>
    <n v="22"/>
    <n v="5"/>
    <n v="17"/>
    <n v="0.3"/>
    <n v="0.59"/>
    <n v="13"/>
    <x v="55"/>
  </r>
  <r>
    <x v="17"/>
    <x v="3"/>
    <n v="9"/>
    <n v="48"/>
    <n v="84"/>
    <n v="71"/>
    <n v="25"/>
    <n v="10"/>
    <n v="15"/>
    <n v="0.4"/>
    <n v="0.96"/>
    <n v="24"/>
    <x v="137"/>
  </r>
  <r>
    <x v="18"/>
    <x v="4"/>
    <n v="11"/>
    <n v="59"/>
    <n v="84"/>
    <n v="74"/>
    <n v="25"/>
    <n v="11"/>
    <n v="14"/>
    <n v="0.3"/>
    <n v="1.08"/>
    <n v="27"/>
    <x v="6"/>
  </r>
  <r>
    <x v="18"/>
    <x v="4"/>
    <n v="6"/>
    <n v="39"/>
    <n v="87"/>
    <n v="81"/>
    <n v="30"/>
    <n v="6"/>
    <n v="24"/>
    <n v="0.4"/>
    <n v="0.67"/>
    <n v="20"/>
    <x v="16"/>
  </r>
  <r>
    <x v="18"/>
    <x v="4"/>
    <n v="5"/>
    <n v="34"/>
    <n v="87"/>
    <n v="74"/>
    <n v="27"/>
    <n v="5"/>
    <n v="22"/>
    <n v="0.4"/>
    <n v="0.59"/>
    <n v="16"/>
    <x v="84"/>
  </r>
  <r>
    <x v="18"/>
    <x v="4"/>
    <n v="7"/>
    <n v="44"/>
    <n v="86"/>
    <n v="91"/>
    <n v="37"/>
    <n v="4"/>
    <n v="33"/>
    <n v="0.4"/>
    <n v="0.35"/>
    <n v="13"/>
    <x v="25"/>
  </r>
  <r>
    <x v="18"/>
    <x v="4"/>
    <n v="5"/>
    <n v="46"/>
    <n v="90"/>
    <n v="81"/>
    <n v="31"/>
    <n v="6"/>
    <n v="25"/>
    <n v="0.4"/>
    <n v="0.52"/>
    <n v="16"/>
    <x v="25"/>
  </r>
  <r>
    <x v="18"/>
    <x v="4"/>
    <n v="3"/>
    <n v="37"/>
    <n v="93"/>
    <n v="84"/>
    <n v="34"/>
    <n v="7"/>
    <n v="27"/>
    <n v="0.4"/>
    <n v="0.5"/>
    <n v="17"/>
    <x v="132"/>
  </r>
  <r>
    <x v="18"/>
    <x v="4"/>
    <n v="1"/>
    <n v="34"/>
    <n v="97"/>
    <n v="91"/>
    <n v="30"/>
    <n v="4"/>
    <n v="26"/>
    <n v="0.3"/>
    <n v="0.27"/>
    <n v="8"/>
    <x v="55"/>
  </r>
  <r>
    <x v="18"/>
    <x v="4"/>
    <n v="3"/>
    <n v="30"/>
    <n v="91"/>
    <n v="92"/>
    <n v="32"/>
    <n v="4"/>
    <n v="29"/>
    <n v="0.3"/>
    <n v="0.28000000000000003"/>
    <n v="9"/>
    <x v="123"/>
  </r>
  <r>
    <x v="18"/>
    <x v="4"/>
    <n v="8"/>
    <n v="26"/>
    <n v="76"/>
    <n v="86"/>
    <n v="25"/>
    <n v="2"/>
    <n v="22"/>
    <n v="0.3"/>
    <n v="0.36"/>
    <n v="9"/>
    <x v="100"/>
  </r>
  <r>
    <x v="18"/>
    <x v="4"/>
    <n v="3"/>
    <n v="29"/>
    <n v="91"/>
    <n v="82"/>
    <n v="28"/>
    <n v="3"/>
    <n v="24"/>
    <n v="0.3"/>
    <n v="0.28999999999999998"/>
    <n v="8"/>
    <x v="33"/>
  </r>
  <r>
    <x v="18"/>
    <x v="4"/>
    <n v="11"/>
    <n v="34"/>
    <n v="76"/>
    <n v="77"/>
    <n v="27"/>
    <n v="6"/>
    <n v="21"/>
    <n v="0.4"/>
    <n v="0.52"/>
    <n v="14"/>
    <x v="16"/>
  </r>
  <r>
    <x v="18"/>
    <x v="4"/>
    <n v="7"/>
    <n v="30"/>
    <n v="81"/>
    <n v="72"/>
    <n v="29"/>
    <n v="3"/>
    <n v="26"/>
    <n v="0.4"/>
    <n v="0.28000000000000003"/>
    <n v="8"/>
    <x v="35"/>
  </r>
  <r>
    <x v="18"/>
    <x v="4"/>
    <n v="2"/>
    <n v="20"/>
    <n v="91"/>
    <n v="76"/>
    <n v="28"/>
    <n v="1"/>
    <n v="27"/>
    <n v="0.4"/>
    <n v="0.11"/>
    <n v="3"/>
    <x v="11"/>
  </r>
  <r>
    <x v="18"/>
    <x v="4"/>
    <n v="5"/>
    <n v="19"/>
    <n v="79"/>
    <n v="72"/>
    <n v="27"/>
    <n v="3"/>
    <n v="24"/>
    <n v="0.4"/>
    <n v="0.22"/>
    <n v="6"/>
    <x v="106"/>
  </r>
  <r>
    <x v="18"/>
    <x v="4"/>
    <n v="7"/>
    <n v="19"/>
    <n v="73"/>
    <n v="67"/>
    <n v="26"/>
    <n v="3"/>
    <n v="23"/>
    <n v="0.4"/>
    <n v="0.31"/>
    <n v="8"/>
    <x v="113"/>
  </r>
  <r>
    <x v="18"/>
    <x v="4"/>
    <n v="4"/>
    <n v="21"/>
    <n v="84"/>
    <n v="61"/>
    <n v="27"/>
    <n v="2"/>
    <n v="25"/>
    <n v="0.4"/>
    <n v="0.11"/>
    <n v="3"/>
    <x v="114"/>
  </r>
  <r>
    <x v="18"/>
    <x v="4"/>
    <n v="10"/>
    <n v="16"/>
    <n v="62"/>
    <n v="41"/>
    <n v="16"/>
    <n v="3"/>
    <n v="14"/>
    <n v="0.4"/>
    <n v="0.44"/>
    <n v="7"/>
    <x v="113"/>
  </r>
  <r>
    <x v="18"/>
    <x v="4"/>
    <n v="11"/>
    <n v="14"/>
    <n v="56"/>
    <n v="29"/>
    <n v="10"/>
    <n v="1"/>
    <n v="9"/>
    <n v="0.3"/>
    <n v="0.2"/>
    <n v="2"/>
    <x v="114"/>
  </r>
  <r>
    <x v="18"/>
    <x v="4"/>
    <n v="13"/>
    <n v="20"/>
    <n v="61"/>
    <n v="34"/>
    <n v="13"/>
    <n v="3"/>
    <n v="9"/>
    <n v="0.4"/>
    <n v="0.31"/>
    <n v="4"/>
    <x v="123"/>
  </r>
  <r>
    <x v="18"/>
    <x v="4"/>
    <n v="48"/>
    <n v="26"/>
    <n v="35"/>
    <n v="29"/>
    <n v="13"/>
    <n v="7"/>
    <n v="6"/>
    <n v="0.4"/>
    <n v="1"/>
    <n v="13"/>
    <x v="27"/>
  </r>
  <r>
    <x v="18"/>
    <x v="4"/>
    <n v="27"/>
    <n v="25"/>
    <n v="48"/>
    <n v="32"/>
    <n v="15"/>
    <n v="5"/>
    <n v="9"/>
    <n v="0.5"/>
    <n v="0.87"/>
    <n v="13"/>
    <x v="105"/>
  </r>
  <r>
    <x v="18"/>
    <x v="4"/>
    <n v="3"/>
    <n v="14"/>
    <n v="82"/>
    <n v="46"/>
    <n v="18"/>
    <n v="2"/>
    <n v="16"/>
    <n v="0.4"/>
    <n v="0.33"/>
    <n v="6"/>
    <x v="97"/>
  </r>
  <r>
    <x v="18"/>
    <x v="4"/>
    <n v="3"/>
    <n v="50"/>
    <n v="94"/>
    <n v="61"/>
    <n v="29"/>
    <n v="9"/>
    <n v="20"/>
    <n v="0.5"/>
    <n v="0.62"/>
    <n v="18"/>
    <x v="26"/>
  </r>
  <r>
    <x v="18"/>
    <x v="4"/>
    <n v="3"/>
    <n v="67"/>
    <n v="96"/>
    <n v="68"/>
    <n v="30"/>
    <n v="13"/>
    <n v="18"/>
    <n v="0.4"/>
    <n v="1.07"/>
    <n v="32"/>
    <x v="6"/>
  </r>
  <r>
    <x v="19"/>
    <x v="5"/>
    <n v="7"/>
    <n v="90"/>
    <n v="93"/>
    <n v="81"/>
    <n v="40"/>
    <n v="18"/>
    <n v="22"/>
    <n v="0.5"/>
    <n v="1.2"/>
    <n v="48"/>
    <x v="116"/>
  </r>
  <r>
    <x v="19"/>
    <x v="5"/>
    <n v="5"/>
    <n v="97"/>
    <n v="95"/>
    <n v="96"/>
    <n v="42"/>
    <n v="15"/>
    <n v="28"/>
    <n v="0.4"/>
    <n v="0.88"/>
    <n v="37"/>
    <x v="17"/>
  </r>
  <r>
    <x v="19"/>
    <x v="5"/>
    <n v="13"/>
    <n v="86"/>
    <n v="87"/>
    <n v="96"/>
    <n v="42"/>
    <n v="15"/>
    <n v="27"/>
    <n v="0.4"/>
    <n v="0.9"/>
    <n v="38"/>
    <x v="138"/>
  </r>
  <r>
    <x v="19"/>
    <x v="5"/>
    <n v="10"/>
    <n v="88"/>
    <n v="90"/>
    <n v="102"/>
    <n v="38"/>
    <n v="10"/>
    <n v="28"/>
    <n v="0.4"/>
    <n v="0.68"/>
    <n v="26"/>
    <x v="111"/>
  </r>
  <r>
    <x v="19"/>
    <x v="5"/>
    <n v="27"/>
    <n v="89"/>
    <n v="77"/>
    <n v="110"/>
    <n v="43"/>
    <n v="22"/>
    <n v="21"/>
    <n v="0.4"/>
    <n v="0.79"/>
    <n v="34"/>
    <x v="48"/>
  </r>
  <r>
    <x v="19"/>
    <x v="5"/>
    <n v="44"/>
    <n v="77"/>
    <n v="64"/>
    <n v="100"/>
    <n v="34"/>
    <n v="20"/>
    <n v="15"/>
    <n v="0.3"/>
    <n v="0.88"/>
    <n v="30"/>
    <x v="21"/>
  </r>
  <r>
    <x v="19"/>
    <x v="5"/>
    <n v="19"/>
    <n v="45"/>
    <n v="70"/>
    <n v="81"/>
    <n v="29"/>
    <n v="13"/>
    <n v="16"/>
    <n v="0.4"/>
    <n v="0.93"/>
    <n v="27"/>
    <x v="98"/>
  </r>
  <r>
    <x v="19"/>
    <x v="5"/>
    <n v="24"/>
    <n v="43"/>
    <n v="64"/>
    <n v="75"/>
    <n v="23"/>
    <n v="9"/>
    <n v="14"/>
    <n v="0.3"/>
    <n v="0.56999999999999995"/>
    <n v="13"/>
    <x v="104"/>
  </r>
  <r>
    <x v="19"/>
    <x v="5"/>
    <n v="15"/>
    <n v="43"/>
    <n v="74"/>
    <n v="67"/>
    <n v="22"/>
    <n v="8"/>
    <n v="13"/>
    <n v="0.3"/>
    <n v="0.73"/>
    <n v="16"/>
    <x v="29"/>
  </r>
  <r>
    <x v="19"/>
    <x v="5"/>
    <n v="6"/>
    <n v="34"/>
    <n v="85"/>
    <n v="64"/>
    <n v="21"/>
    <n v="8"/>
    <n v="13"/>
    <n v="0.3"/>
    <n v="0.52"/>
    <n v="11"/>
    <x v="132"/>
  </r>
  <r>
    <x v="19"/>
    <x v="5"/>
    <n v="8"/>
    <n v="43"/>
    <n v="84"/>
    <n v="71"/>
    <n v="26"/>
    <n v="7"/>
    <n v="19"/>
    <n v="0.4"/>
    <n v="0.57999999999999996"/>
    <n v="15"/>
    <x v="25"/>
  </r>
  <r>
    <x v="19"/>
    <x v="5"/>
    <n v="5"/>
    <n v="32"/>
    <n v="86"/>
    <n v="72"/>
    <n v="26"/>
    <n v="5"/>
    <n v="21"/>
    <n v="0.4"/>
    <n v="0.42"/>
    <n v="11"/>
    <x v="35"/>
  </r>
  <r>
    <x v="19"/>
    <x v="5"/>
    <n v="10"/>
    <n v="41"/>
    <n v="80"/>
    <n v="74"/>
    <n v="28"/>
    <n v="6"/>
    <n v="22"/>
    <n v="0.4"/>
    <n v="0.43"/>
    <n v="12"/>
    <x v="25"/>
  </r>
  <r>
    <x v="19"/>
    <x v="5"/>
    <n v="9"/>
    <n v="52"/>
    <n v="85"/>
    <n v="90"/>
    <n v="35"/>
    <n v="7"/>
    <n v="27"/>
    <n v="0.4"/>
    <n v="0.37"/>
    <n v="13"/>
    <x v="3"/>
  </r>
  <r>
    <x v="19"/>
    <x v="5"/>
    <n v="33"/>
    <n v="64"/>
    <n v="66"/>
    <n v="82"/>
    <n v="35"/>
    <n v="20"/>
    <n v="15"/>
    <n v="0.4"/>
    <n v="0.86"/>
    <n v="30"/>
    <x v="116"/>
  </r>
  <r>
    <x v="19"/>
    <x v="5"/>
    <n v="17"/>
    <n v="55"/>
    <n v="76"/>
    <n v="67"/>
    <n v="33"/>
    <n v="14"/>
    <n v="19"/>
    <n v="0.5"/>
    <n v="0.94"/>
    <n v="31"/>
    <x v="103"/>
  </r>
  <r>
    <x v="19"/>
    <x v="5"/>
    <n v="9"/>
    <n v="22"/>
    <n v="71"/>
    <n v="56"/>
    <n v="22"/>
    <n v="6"/>
    <n v="16"/>
    <n v="0.4"/>
    <n v="0.59"/>
    <n v="13"/>
    <x v="57"/>
  </r>
  <r>
    <x v="19"/>
    <x v="5"/>
    <n v="3"/>
    <n v="6"/>
    <n v="67"/>
    <n v="35"/>
    <n v="12"/>
    <n v="0"/>
    <n v="12"/>
    <n v="0.3"/>
    <n v="0.08"/>
    <n v="1"/>
    <x v="108"/>
  </r>
  <r>
    <x v="19"/>
    <x v="5"/>
    <n v="3"/>
    <n v="3"/>
    <n v="50"/>
    <n v="23"/>
    <n v="10"/>
    <n v="0"/>
    <n v="10"/>
    <n v="0.4"/>
    <n v="0"/>
    <n v="0"/>
    <x v="56"/>
  </r>
  <r>
    <x v="19"/>
    <x v="5"/>
    <n v="2"/>
    <n v="3"/>
    <n v="60"/>
    <n v="23"/>
    <n v="10"/>
    <n v="0"/>
    <n v="9"/>
    <n v="0.4"/>
    <n v="0.2"/>
    <n v="2"/>
    <x v="14"/>
  </r>
  <r>
    <x v="19"/>
    <x v="5"/>
    <n v="1"/>
    <n v="4"/>
    <n v="80"/>
    <n v="23"/>
    <n v="11"/>
    <n v="0"/>
    <n v="11"/>
    <n v="0.5"/>
    <n v="0"/>
    <n v="0"/>
    <x v="14"/>
  </r>
  <r>
    <x v="19"/>
    <x v="5"/>
    <n v="6"/>
    <n v="3"/>
    <n v="33"/>
    <n v="26"/>
    <n v="11"/>
    <n v="0"/>
    <n v="11"/>
    <n v="0.4"/>
    <n v="0"/>
    <n v="0"/>
    <x v="108"/>
  </r>
  <r>
    <x v="19"/>
    <x v="5"/>
    <n v="1"/>
    <n v="6"/>
    <n v="86"/>
    <n v="31"/>
    <n v="11"/>
    <n v="0"/>
    <n v="11"/>
    <n v="0.4"/>
    <n v="0.09"/>
    <n v="1"/>
    <x v="102"/>
  </r>
  <r>
    <x v="19"/>
    <x v="5"/>
    <n v="6"/>
    <n v="23"/>
    <n v="79"/>
    <n v="47"/>
    <n v="15"/>
    <n v="2"/>
    <n v="13"/>
    <n v="0.3"/>
    <n v="0.27"/>
    <n v="4"/>
    <x v="10"/>
  </r>
  <r>
    <x v="20"/>
    <x v="6"/>
    <n v="7"/>
    <n v="36"/>
    <n v="84"/>
    <n v="62"/>
    <n v="24"/>
    <n v="5"/>
    <n v="19"/>
    <n v="0.4"/>
    <n v="0.46"/>
    <n v="11"/>
    <x v="66"/>
  </r>
  <r>
    <x v="20"/>
    <x v="6"/>
    <n v="7"/>
    <n v="48"/>
    <n v="87"/>
    <n v="72"/>
    <n v="29"/>
    <n v="6"/>
    <n v="23"/>
    <n v="0.4"/>
    <n v="0.41"/>
    <n v="12"/>
    <x v="30"/>
  </r>
  <r>
    <x v="20"/>
    <x v="6"/>
    <n v="2"/>
    <n v="37"/>
    <n v="95"/>
    <n v="94"/>
    <n v="38"/>
    <n v="5"/>
    <n v="32"/>
    <n v="0.4"/>
    <n v="0.39"/>
    <n v="15"/>
    <x v="84"/>
  </r>
  <r>
    <x v="20"/>
    <x v="6"/>
    <n v="2"/>
    <n v="41"/>
    <n v="95"/>
    <n v="113"/>
    <n v="49"/>
    <n v="5"/>
    <n v="45"/>
    <n v="0.4"/>
    <n v="0.27"/>
    <n v="13"/>
    <x v="66"/>
  </r>
  <r>
    <x v="20"/>
    <x v="6"/>
    <n v="4"/>
    <n v="70"/>
    <n v="95"/>
    <n v="117"/>
    <n v="49"/>
    <n v="13"/>
    <n v="36"/>
    <n v="0.4"/>
    <n v="0.56999999999999995"/>
    <n v="28"/>
    <x v="27"/>
  </r>
  <r>
    <x v="20"/>
    <x v="6"/>
    <n v="1"/>
    <n v="64"/>
    <n v="98"/>
    <n v="95"/>
    <n v="40"/>
    <n v="15"/>
    <n v="25"/>
    <n v="0.4"/>
    <n v="0.88"/>
    <n v="35"/>
    <x v="9"/>
  </r>
  <r>
    <x v="20"/>
    <x v="6"/>
    <n v="3"/>
    <n v="45"/>
    <n v="94"/>
    <n v="102"/>
    <n v="40"/>
    <n v="10"/>
    <n v="30"/>
    <n v="0.4"/>
    <n v="0.4"/>
    <n v="16"/>
    <x v="28"/>
  </r>
  <r>
    <x v="20"/>
    <x v="6"/>
    <n v="2"/>
    <n v="40"/>
    <n v="95"/>
    <n v="90"/>
    <n v="35"/>
    <n v="5"/>
    <n v="30"/>
    <n v="0.4"/>
    <n v="0.34"/>
    <n v="12"/>
    <x v="93"/>
  </r>
  <r>
    <x v="20"/>
    <x v="6"/>
    <n v="8"/>
    <n v="33"/>
    <n v="80"/>
    <n v="74"/>
    <n v="25"/>
    <n v="4"/>
    <n v="21"/>
    <n v="0.3"/>
    <n v="0.32"/>
    <n v="8"/>
    <x v="0"/>
  </r>
  <r>
    <x v="20"/>
    <x v="6"/>
    <n v="5"/>
    <n v="24"/>
    <n v="83"/>
    <n v="63"/>
    <n v="20"/>
    <n v="3"/>
    <n v="17"/>
    <n v="0.3"/>
    <n v="0.3"/>
    <n v="6"/>
    <x v="10"/>
  </r>
  <r>
    <x v="20"/>
    <x v="6"/>
    <n v="5"/>
    <n v="29"/>
    <n v="85"/>
    <n v="57"/>
    <n v="21"/>
    <n v="2"/>
    <n v="19"/>
    <n v="0.4"/>
    <n v="0.24"/>
    <n v="5"/>
    <x v="100"/>
  </r>
  <r>
    <x v="20"/>
    <x v="6"/>
    <n v="1"/>
    <n v="25"/>
    <n v="96"/>
    <n v="67"/>
    <n v="22"/>
    <n v="3"/>
    <n v="19"/>
    <n v="0.3"/>
    <n v="0.36"/>
    <n v="8"/>
    <x v="113"/>
  </r>
  <r>
    <x v="20"/>
    <x v="6"/>
    <n v="5"/>
    <n v="20"/>
    <n v="80"/>
    <n v="75"/>
    <n v="32"/>
    <n v="4"/>
    <n v="28"/>
    <n v="0.4"/>
    <n v="0.16"/>
    <n v="5"/>
    <x v="114"/>
  </r>
  <r>
    <x v="20"/>
    <x v="6"/>
    <n v="4"/>
    <n v="55"/>
    <n v="93"/>
    <n v="79"/>
    <n v="36"/>
    <n v="9"/>
    <n v="27"/>
    <n v="0.5"/>
    <n v="0.47"/>
    <n v="17"/>
    <x v="8"/>
  </r>
  <r>
    <x v="20"/>
    <x v="6"/>
    <n v="20"/>
    <n v="51"/>
    <n v="72"/>
    <n v="77"/>
    <n v="34"/>
    <n v="15"/>
    <n v="19"/>
    <n v="0.4"/>
    <n v="0.76"/>
    <n v="26"/>
    <x v="24"/>
  </r>
  <r>
    <x v="20"/>
    <x v="6"/>
    <n v="21"/>
    <n v="42"/>
    <n v="67"/>
    <n v="62"/>
    <n v="24"/>
    <n v="11"/>
    <n v="13"/>
    <n v="0.4"/>
    <n v="0.96"/>
    <n v="23"/>
    <x v="68"/>
  </r>
  <r>
    <x v="20"/>
    <x v="6"/>
    <n v="24"/>
    <n v="21"/>
    <n v="47"/>
    <n v="44"/>
    <n v="15"/>
    <n v="5"/>
    <n v="10"/>
    <n v="0.3"/>
    <n v="0.8"/>
    <n v="12"/>
    <x v="16"/>
  </r>
  <r>
    <x v="20"/>
    <x v="6"/>
    <n v="7"/>
    <n v="6"/>
    <n v="46"/>
    <n v="25"/>
    <n v="8"/>
    <n v="1"/>
    <n v="7"/>
    <n v="0.3"/>
    <n v="0.5"/>
    <n v="4"/>
    <x v="128"/>
  </r>
  <r>
    <x v="20"/>
    <x v="6"/>
    <n v="2"/>
    <n v="1"/>
    <n v="33"/>
    <n v="17"/>
    <n v="6"/>
    <n v="0"/>
    <n v="6"/>
    <n v="0.4"/>
    <n v="0.17"/>
    <n v="1"/>
    <x v="73"/>
  </r>
  <r>
    <x v="20"/>
    <x v="6"/>
    <n v="7"/>
    <n v="1"/>
    <n v="13"/>
    <n v="15"/>
    <n v="7"/>
    <n v="0"/>
    <n v="7"/>
    <n v="0.5"/>
    <n v="0"/>
    <n v="0"/>
    <x v="74"/>
  </r>
  <r>
    <x v="20"/>
    <x v="6"/>
    <n v="2"/>
    <n v="4"/>
    <n v="67"/>
    <n v="20"/>
    <n v="8"/>
    <n v="0"/>
    <n v="8"/>
    <n v="0.4"/>
    <n v="0"/>
    <n v="0"/>
    <x v="56"/>
  </r>
  <r>
    <x v="20"/>
    <x v="6"/>
    <n v="2"/>
    <n v="9"/>
    <n v="82"/>
    <n v="21"/>
    <n v="10"/>
    <n v="1"/>
    <n v="8"/>
    <n v="0.5"/>
    <n v="0.3"/>
    <n v="3"/>
    <x v="134"/>
  </r>
  <r>
    <x v="20"/>
    <x v="6"/>
    <n v="3"/>
    <n v="12"/>
    <n v="80"/>
    <n v="31"/>
    <n v="12"/>
    <n v="1"/>
    <n v="11"/>
    <n v="0.4"/>
    <n v="0.33"/>
    <n v="4"/>
    <x v="85"/>
  </r>
  <r>
    <x v="20"/>
    <x v="6"/>
    <n v="1"/>
    <n v="17"/>
    <n v="94"/>
    <n v="43"/>
    <n v="17"/>
    <n v="1"/>
    <n v="16"/>
    <n v="0.4"/>
    <n v="0.18"/>
    <n v="3"/>
    <x v="15"/>
  </r>
  <r>
    <x v="21"/>
    <x v="0"/>
    <n v="6"/>
    <n v="34"/>
    <n v="85"/>
    <n v="58"/>
    <n v="21"/>
    <n v="5"/>
    <n v="16"/>
    <n v="0.4"/>
    <n v="0.71"/>
    <n v="15"/>
    <x v="132"/>
  </r>
  <r>
    <x v="21"/>
    <x v="0"/>
    <n v="3"/>
    <n v="45"/>
    <n v="94"/>
    <n v="66"/>
    <n v="28"/>
    <n v="5"/>
    <n v="23"/>
    <n v="0.4"/>
    <n v="0.56999999999999995"/>
    <n v="16"/>
    <x v="28"/>
  </r>
  <r>
    <x v="21"/>
    <x v="0"/>
    <n v="5"/>
    <n v="48"/>
    <n v="91"/>
    <n v="85"/>
    <n v="36"/>
    <n v="6"/>
    <n v="30"/>
    <n v="0.4"/>
    <n v="0.53"/>
    <n v="19"/>
    <x v="26"/>
  </r>
  <r>
    <x v="21"/>
    <x v="0"/>
    <n v="4"/>
    <n v="41"/>
    <n v="91"/>
    <n v="84"/>
    <n v="41"/>
    <n v="5"/>
    <n v="36"/>
    <n v="0.5"/>
    <n v="0.32"/>
    <n v="13"/>
    <x v="16"/>
  </r>
  <r>
    <x v="21"/>
    <x v="0"/>
    <n v="5"/>
    <n v="34"/>
    <n v="87"/>
    <n v="89"/>
    <n v="37"/>
    <n v="4"/>
    <n v="33"/>
    <n v="0.4"/>
    <n v="0.32"/>
    <n v="12"/>
    <x v="84"/>
  </r>
  <r>
    <x v="21"/>
    <x v="0"/>
    <n v="5"/>
    <n v="40"/>
    <n v="89"/>
    <n v="83"/>
    <n v="33"/>
    <n v="8"/>
    <n v="26"/>
    <n v="0.4"/>
    <n v="0.21"/>
    <n v="7"/>
    <x v="16"/>
  </r>
  <r>
    <x v="21"/>
    <x v="0"/>
    <n v="4"/>
    <n v="44"/>
    <n v="92"/>
    <n v="84"/>
    <n v="34"/>
    <n v="4"/>
    <n v="30"/>
    <n v="0.4"/>
    <n v="0.56000000000000005"/>
    <n v="19"/>
    <x v="28"/>
  </r>
  <r>
    <x v="21"/>
    <x v="0"/>
    <n v="7"/>
    <n v="25"/>
    <n v="78"/>
    <n v="75"/>
    <n v="30"/>
    <n v="4"/>
    <n v="26"/>
    <n v="0.4"/>
    <n v="0.3"/>
    <n v="9"/>
    <x v="33"/>
  </r>
  <r>
    <x v="21"/>
    <x v="0"/>
    <n v="2"/>
    <n v="30"/>
    <n v="94"/>
    <n v="72"/>
    <n v="31"/>
    <n v="4"/>
    <n v="27"/>
    <n v="0.4"/>
    <n v="0.42"/>
    <n v="13"/>
    <x v="33"/>
  </r>
  <r>
    <x v="21"/>
    <x v="0"/>
    <n v="0"/>
    <n v="16"/>
    <n v="100"/>
    <n v="60"/>
    <n v="28"/>
    <n v="5"/>
    <n v="23"/>
    <n v="0.5"/>
    <n v="0.39"/>
    <n v="11"/>
    <x v="129"/>
  </r>
  <r>
    <x v="21"/>
    <x v="0"/>
    <n v="6"/>
    <n v="41"/>
    <n v="87"/>
    <n v="48"/>
    <n v="19"/>
    <n v="4"/>
    <n v="15"/>
    <n v="0.4"/>
    <n v="0.37"/>
    <n v="7"/>
    <x v="94"/>
  </r>
  <r>
    <x v="21"/>
    <x v="0"/>
    <n v="14"/>
    <n v="34"/>
    <n v="71"/>
    <n v="47"/>
    <n v="18"/>
    <n v="5"/>
    <n v="13"/>
    <n v="0.4"/>
    <n v="0.33"/>
    <n v="6"/>
    <x v="28"/>
  </r>
  <r>
    <x v="21"/>
    <x v="0"/>
    <n v="14"/>
    <n v="30"/>
    <n v="68"/>
    <n v="42"/>
    <n v="15"/>
    <n v="4"/>
    <n v="11"/>
    <n v="0.4"/>
    <n v="0.67"/>
    <n v="10"/>
    <x v="2"/>
  </r>
  <r>
    <x v="21"/>
    <x v="0"/>
    <n v="9"/>
    <n v="21"/>
    <n v="70"/>
    <n v="43"/>
    <n v="12"/>
    <n v="3"/>
    <n v="9"/>
    <n v="0.3"/>
    <n v="0.75"/>
    <n v="9"/>
    <x v="91"/>
  </r>
  <r>
    <x v="21"/>
    <x v="0"/>
    <n v="6"/>
    <n v="16"/>
    <n v="73"/>
    <n v="28"/>
    <n v="12"/>
    <n v="0"/>
    <n v="12"/>
    <n v="0.4"/>
    <n v="0.17"/>
    <n v="2"/>
    <x v="11"/>
  </r>
  <r>
    <x v="21"/>
    <x v="0"/>
    <n v="11"/>
    <n v="15"/>
    <n v="58"/>
    <n v="29"/>
    <n v="10"/>
    <n v="2"/>
    <n v="8"/>
    <n v="0.3"/>
    <n v="0.3"/>
    <n v="3"/>
    <x v="113"/>
  </r>
  <r>
    <x v="21"/>
    <x v="0"/>
    <n v="5"/>
    <n v="3"/>
    <n v="38"/>
    <n v="24"/>
    <n v="10"/>
    <n v="1"/>
    <n v="9"/>
    <n v="0.4"/>
    <n v="0.3"/>
    <n v="3"/>
    <x v="74"/>
  </r>
  <r>
    <x v="21"/>
    <x v="0"/>
    <n v="0"/>
    <n v="10"/>
    <n v="100"/>
    <n v="34"/>
    <n v="13"/>
    <n v="2"/>
    <n v="12"/>
    <n v="0.4"/>
    <n v="0.08"/>
    <n v="1"/>
    <x v="13"/>
  </r>
  <r>
    <x v="21"/>
    <x v="0"/>
    <n v="0"/>
    <n v="19"/>
    <n v="100"/>
    <n v="46"/>
    <n v="20"/>
    <n v="4"/>
    <n v="16"/>
    <n v="0.4"/>
    <n v="0.55000000000000004"/>
    <n v="11"/>
    <x v="34"/>
  </r>
  <r>
    <x v="21"/>
    <x v="0"/>
    <n v="6"/>
    <n v="34"/>
    <n v="85"/>
    <n v="56"/>
    <n v="24"/>
    <n v="8"/>
    <n v="16"/>
    <n v="0.4"/>
    <n v="1"/>
    <n v="24"/>
    <x v="132"/>
  </r>
  <r>
    <x v="21"/>
    <x v="0"/>
    <n v="0"/>
    <n v="34"/>
    <n v="100"/>
    <n v="71"/>
    <n v="32"/>
    <n v="6"/>
    <n v="25"/>
    <n v="0.5"/>
    <n v="0.59"/>
    <n v="19"/>
    <x v="100"/>
  </r>
  <r>
    <x v="21"/>
    <x v="0"/>
    <n v="0"/>
    <n v="38"/>
    <n v="100"/>
    <n v="78"/>
    <n v="34"/>
    <n v="8"/>
    <n v="26"/>
    <n v="0.4"/>
    <n v="0.62"/>
    <n v="21"/>
    <x v="81"/>
  </r>
  <r>
    <x v="21"/>
    <x v="0"/>
    <n v="0"/>
    <n v="68"/>
    <n v="100"/>
    <n v="93"/>
    <n v="44"/>
    <n v="13"/>
    <n v="31"/>
    <n v="0.5"/>
    <n v="0.59"/>
    <n v="26"/>
    <x v="136"/>
  </r>
  <r>
    <x v="21"/>
    <x v="0"/>
    <n v="0"/>
    <n v="73"/>
    <n v="100"/>
    <n v="97"/>
    <n v="42"/>
    <n v="14"/>
    <n v="28"/>
    <n v="0.4"/>
    <n v="1"/>
    <n v="42"/>
    <x v="139"/>
  </r>
  <r>
    <x v="22"/>
    <x v="1"/>
    <n v="1"/>
    <n v="61"/>
    <n v="98"/>
    <n v="105"/>
    <n v="51"/>
    <n v="7"/>
    <n v="44"/>
    <n v="0.5"/>
    <n v="0.51"/>
    <n v="26"/>
    <x v="32"/>
  </r>
  <r>
    <x v="22"/>
    <x v="1"/>
    <n v="1"/>
    <n v="52"/>
    <n v="98"/>
    <n v="110"/>
    <n v="51"/>
    <n v="6"/>
    <n v="45"/>
    <n v="0.5"/>
    <n v="0.31"/>
    <n v="16"/>
    <x v="26"/>
  </r>
  <r>
    <x v="22"/>
    <x v="1"/>
    <n v="2"/>
    <n v="47"/>
    <n v="96"/>
    <n v="116"/>
    <n v="56"/>
    <n v="8"/>
    <n v="48"/>
    <n v="0.5"/>
    <n v="0.38"/>
    <n v="21"/>
    <x v="112"/>
  </r>
  <r>
    <x v="22"/>
    <x v="1"/>
    <n v="2"/>
    <n v="49"/>
    <n v="96"/>
    <n v="112"/>
    <n v="51"/>
    <n v="8"/>
    <n v="43"/>
    <n v="0.5"/>
    <n v="0.43"/>
    <n v="22"/>
    <x v="25"/>
  </r>
  <r>
    <x v="22"/>
    <x v="1"/>
    <n v="10"/>
    <n v="55"/>
    <n v="85"/>
    <n v="108"/>
    <n v="46"/>
    <n v="5"/>
    <n v="41"/>
    <n v="0.4"/>
    <n v="0.37"/>
    <n v="17"/>
    <x v="9"/>
  </r>
  <r>
    <x v="22"/>
    <x v="1"/>
    <n v="2"/>
    <n v="31"/>
    <n v="94"/>
    <n v="100"/>
    <n v="40"/>
    <n v="3"/>
    <n v="36"/>
    <n v="0.4"/>
    <n v="0.15"/>
    <n v="6"/>
    <x v="123"/>
  </r>
  <r>
    <x v="22"/>
    <x v="1"/>
    <n v="6"/>
    <n v="32"/>
    <n v="84"/>
    <n v="85"/>
    <n v="34"/>
    <n v="5"/>
    <n v="30"/>
    <n v="0.4"/>
    <n v="0.35"/>
    <n v="12"/>
    <x v="81"/>
  </r>
  <r>
    <x v="22"/>
    <x v="1"/>
    <n v="2"/>
    <n v="31"/>
    <n v="94"/>
    <n v="69"/>
    <n v="25"/>
    <n v="6"/>
    <n v="19"/>
    <n v="0.4"/>
    <n v="0.44"/>
    <n v="11"/>
    <x v="123"/>
  </r>
  <r>
    <x v="22"/>
    <x v="1"/>
    <n v="4"/>
    <n v="49"/>
    <n v="92"/>
    <n v="58"/>
    <n v="22"/>
    <n v="4"/>
    <n v="18"/>
    <n v="0.4"/>
    <n v="0.32"/>
    <n v="7"/>
    <x v="26"/>
  </r>
  <r>
    <x v="22"/>
    <x v="1"/>
    <n v="4"/>
    <n v="27"/>
    <n v="87"/>
    <n v="62"/>
    <n v="20"/>
    <n v="4"/>
    <n v="16"/>
    <n v="0.3"/>
    <n v="0.55000000000000004"/>
    <n v="11"/>
    <x v="57"/>
  </r>
  <r>
    <x v="22"/>
    <x v="1"/>
    <n v="2"/>
    <n v="26"/>
    <n v="93"/>
    <n v="66"/>
    <n v="28"/>
    <n v="2"/>
    <n v="26"/>
    <n v="0.4"/>
    <n v="0.14000000000000001"/>
    <n v="4"/>
    <x v="99"/>
  </r>
  <r>
    <x v="22"/>
    <x v="1"/>
    <n v="3"/>
    <n v="30"/>
    <n v="91"/>
    <n v="60"/>
    <n v="27"/>
    <n v="7"/>
    <n v="20"/>
    <n v="0.5"/>
    <n v="0.63"/>
    <n v="17"/>
    <x v="123"/>
  </r>
  <r>
    <x v="22"/>
    <x v="1"/>
    <n v="3"/>
    <n v="39"/>
    <n v="93"/>
    <n v="57"/>
    <n v="24"/>
    <n v="5"/>
    <n v="18"/>
    <n v="0.4"/>
    <n v="0.42"/>
    <n v="10"/>
    <x v="93"/>
  </r>
  <r>
    <x v="22"/>
    <x v="1"/>
    <n v="13"/>
    <n v="41"/>
    <n v="76"/>
    <n v="51"/>
    <n v="19"/>
    <n v="6"/>
    <n v="13"/>
    <n v="0.4"/>
    <n v="0.79"/>
    <n v="15"/>
    <x v="31"/>
  </r>
  <r>
    <x v="22"/>
    <x v="1"/>
    <n v="6"/>
    <n v="23"/>
    <n v="79"/>
    <n v="45"/>
    <n v="17"/>
    <n v="2"/>
    <n v="15"/>
    <n v="0.4"/>
    <n v="0.28999999999999998"/>
    <n v="5"/>
    <x v="10"/>
  </r>
  <r>
    <x v="22"/>
    <x v="1"/>
    <n v="2"/>
    <n v="18"/>
    <n v="90"/>
    <n v="37"/>
    <n v="15"/>
    <n v="2"/>
    <n v="13"/>
    <n v="0.4"/>
    <n v="0.27"/>
    <n v="4"/>
    <x v="122"/>
  </r>
  <r>
    <x v="22"/>
    <x v="1"/>
    <n v="0"/>
    <n v="8"/>
    <n v="100"/>
    <n v="34"/>
    <n v="14"/>
    <n v="1"/>
    <n v="12"/>
    <n v="0.4"/>
    <n v="0.21"/>
    <n v="3"/>
    <x v="74"/>
  </r>
  <r>
    <x v="22"/>
    <x v="1"/>
    <n v="1"/>
    <n v="8"/>
    <n v="89"/>
    <n v="31"/>
    <n v="12"/>
    <n v="2"/>
    <n v="11"/>
    <n v="0.4"/>
    <n v="0.33"/>
    <n v="4"/>
    <x v="108"/>
  </r>
  <r>
    <x v="22"/>
    <x v="1"/>
    <n v="1"/>
    <n v="10"/>
    <n v="91"/>
    <n v="36"/>
    <n v="14"/>
    <n v="3"/>
    <n v="10"/>
    <n v="0.4"/>
    <n v="0.36"/>
    <n v="5"/>
    <x v="134"/>
  </r>
  <r>
    <x v="22"/>
    <x v="1"/>
    <n v="8"/>
    <n v="29"/>
    <n v="78"/>
    <n v="43"/>
    <n v="18"/>
    <n v="9"/>
    <n v="9"/>
    <n v="0.4"/>
    <n v="1.1100000000000001"/>
    <n v="20"/>
    <x v="35"/>
  </r>
  <r>
    <x v="22"/>
    <x v="1"/>
    <n v="0"/>
    <n v="37"/>
    <n v="100"/>
    <n v="58"/>
    <n v="24"/>
    <n v="6"/>
    <n v="17"/>
    <n v="0.4"/>
    <n v="0.71"/>
    <n v="17"/>
    <x v="35"/>
  </r>
  <r>
    <x v="22"/>
    <x v="1"/>
    <n v="2"/>
    <n v="40"/>
    <n v="95"/>
    <n v="72"/>
    <n v="29"/>
    <n v="8"/>
    <n v="21"/>
    <n v="0.4"/>
    <n v="0.69"/>
    <n v="20"/>
    <x v="93"/>
  </r>
  <r>
    <x v="22"/>
    <x v="1"/>
    <n v="3"/>
    <n v="32"/>
    <n v="91"/>
    <n v="85"/>
    <n v="34"/>
    <n v="6"/>
    <n v="28"/>
    <n v="0.4"/>
    <n v="0.53"/>
    <n v="18"/>
    <x v="55"/>
  </r>
  <r>
    <x v="22"/>
    <x v="1"/>
    <n v="1"/>
    <n v="49"/>
    <n v="98"/>
    <n v="96"/>
    <n v="41"/>
    <n v="9"/>
    <n v="33"/>
    <n v="0.4"/>
    <n v="0.54"/>
    <n v="22"/>
    <x v="69"/>
  </r>
  <r>
    <x v="23"/>
    <x v="2"/>
    <n v="4"/>
    <n v="63"/>
    <n v="94"/>
    <n v="99"/>
    <n v="38"/>
    <n v="7"/>
    <n v="31"/>
    <n v="0.4"/>
    <n v="0.66"/>
    <n v="25"/>
    <x v="104"/>
  </r>
  <r>
    <x v="23"/>
    <x v="2"/>
    <n v="8"/>
    <n v="51"/>
    <n v="86"/>
    <n v="109"/>
    <n v="48"/>
    <n v="7"/>
    <n v="41"/>
    <n v="0.4"/>
    <n v="0.42"/>
    <n v="20"/>
    <x v="8"/>
  </r>
  <r>
    <x v="23"/>
    <x v="2"/>
    <n v="2"/>
    <n v="49"/>
    <n v="96"/>
    <n v="111"/>
    <n v="48"/>
    <n v="7"/>
    <n v="41"/>
    <n v="0.4"/>
    <n v="0.42"/>
    <n v="20"/>
    <x v="25"/>
  </r>
  <r>
    <x v="23"/>
    <x v="2"/>
    <n v="9"/>
    <n v="63"/>
    <n v="88"/>
    <n v="118"/>
    <n v="47"/>
    <n v="6"/>
    <n v="41"/>
    <n v="0.4"/>
    <n v="0.34"/>
    <n v="16"/>
    <x v="103"/>
  </r>
  <r>
    <x v="23"/>
    <x v="2"/>
    <n v="4"/>
    <n v="65"/>
    <n v="94"/>
    <n v="112"/>
    <n v="51"/>
    <n v="14"/>
    <n v="36"/>
    <n v="0.5"/>
    <n v="0.47"/>
    <n v="24"/>
    <x v="110"/>
  </r>
  <r>
    <x v="23"/>
    <x v="2"/>
    <n v="22"/>
    <n v="86"/>
    <n v="80"/>
    <n v="91"/>
    <n v="42"/>
    <n v="23"/>
    <n v="19"/>
    <n v="0.5"/>
    <n v="0.81"/>
    <n v="34"/>
    <x v="140"/>
  </r>
  <r>
    <x v="23"/>
    <x v="2"/>
    <n v="18"/>
    <n v="68"/>
    <n v="79"/>
    <n v="90"/>
    <n v="37"/>
    <n v="15"/>
    <n v="22"/>
    <n v="0.4"/>
    <n v="0.78"/>
    <n v="29"/>
    <x v="59"/>
  </r>
  <r>
    <x v="23"/>
    <x v="2"/>
    <n v="9"/>
    <n v="49"/>
    <n v="84"/>
    <n v="86"/>
    <n v="30"/>
    <n v="8"/>
    <n v="22"/>
    <n v="0.3"/>
    <n v="0.43"/>
    <n v="13"/>
    <x v="29"/>
  </r>
  <r>
    <x v="23"/>
    <x v="2"/>
    <n v="7"/>
    <n v="44"/>
    <n v="86"/>
    <n v="74"/>
    <n v="26"/>
    <n v="9"/>
    <n v="16"/>
    <n v="0.4"/>
    <n v="0.65"/>
    <n v="17"/>
    <x v="25"/>
  </r>
  <r>
    <x v="23"/>
    <x v="2"/>
    <n v="12"/>
    <n v="39"/>
    <n v="76"/>
    <n v="67"/>
    <n v="22"/>
    <n v="7"/>
    <n v="15"/>
    <n v="0.3"/>
    <n v="0.55000000000000004"/>
    <n v="12"/>
    <x v="25"/>
  </r>
  <r>
    <x v="23"/>
    <x v="2"/>
    <n v="3"/>
    <n v="42"/>
    <n v="93"/>
    <n v="71"/>
    <n v="23"/>
    <n v="5"/>
    <n v="19"/>
    <n v="0.3"/>
    <n v="0.56999999999999995"/>
    <n v="13"/>
    <x v="16"/>
  </r>
  <r>
    <x v="23"/>
    <x v="2"/>
    <n v="8"/>
    <n v="36"/>
    <n v="82"/>
    <n v="74"/>
    <n v="27"/>
    <n v="6"/>
    <n v="21"/>
    <n v="0.4"/>
    <n v="0.52"/>
    <n v="14"/>
    <x v="2"/>
  </r>
  <r>
    <x v="23"/>
    <x v="2"/>
    <n v="13"/>
    <n v="40"/>
    <n v="75"/>
    <n v="71"/>
    <n v="27"/>
    <n v="8"/>
    <n v="19"/>
    <n v="0.4"/>
    <n v="0.52"/>
    <n v="14"/>
    <x v="26"/>
  </r>
  <r>
    <x v="23"/>
    <x v="2"/>
    <n v="12"/>
    <n v="55"/>
    <n v="82"/>
    <n v="75"/>
    <n v="28"/>
    <n v="12"/>
    <n v="17"/>
    <n v="0.4"/>
    <n v="0.68"/>
    <n v="19"/>
    <x v="104"/>
  </r>
  <r>
    <x v="23"/>
    <x v="2"/>
    <n v="49"/>
    <n v="66"/>
    <n v="57"/>
    <n v="70"/>
    <n v="26"/>
    <n v="16"/>
    <n v="10"/>
    <n v="0.4"/>
    <n v="1.23"/>
    <n v="32"/>
    <x v="131"/>
  </r>
  <r>
    <x v="23"/>
    <x v="2"/>
    <n v="38"/>
    <n v="50"/>
    <n v="57"/>
    <n v="58"/>
    <n v="19"/>
    <n v="11"/>
    <n v="8"/>
    <n v="0.3"/>
    <n v="1.32"/>
    <n v="25"/>
    <x v="20"/>
  </r>
  <r>
    <x v="23"/>
    <x v="2"/>
    <n v="16"/>
    <n v="27"/>
    <n v="63"/>
    <n v="45"/>
    <n v="15"/>
    <n v="4"/>
    <n v="11"/>
    <n v="0.3"/>
    <n v="0.73"/>
    <n v="11"/>
    <x v="66"/>
  </r>
  <r>
    <x v="23"/>
    <x v="2"/>
    <n v="2"/>
    <n v="3"/>
    <n v="60"/>
    <n v="31"/>
    <n v="10"/>
    <n v="0"/>
    <n v="10"/>
    <n v="0.3"/>
    <n v="0.1"/>
    <n v="1"/>
    <x v="14"/>
  </r>
  <r>
    <x v="23"/>
    <x v="2"/>
    <n v="1"/>
    <n v="2"/>
    <n v="67"/>
    <n v="24"/>
    <n v="11"/>
    <n v="0"/>
    <n v="10"/>
    <n v="0.5"/>
    <n v="0.09"/>
    <n v="1"/>
    <x v="73"/>
  </r>
  <r>
    <x v="23"/>
    <x v="2"/>
    <n v="2"/>
    <n v="4"/>
    <n v="67"/>
    <n v="24"/>
    <n v="8"/>
    <n v="0"/>
    <n v="8"/>
    <n v="0.3"/>
    <n v="0.13"/>
    <n v="1"/>
    <x v="56"/>
  </r>
  <r>
    <x v="23"/>
    <x v="2"/>
    <n v="2"/>
    <n v="8"/>
    <n v="80"/>
    <n v="26"/>
    <n v="9"/>
    <n v="1"/>
    <n v="8"/>
    <n v="0.3"/>
    <n v="0.22"/>
    <n v="2"/>
    <x v="13"/>
  </r>
  <r>
    <x v="23"/>
    <x v="2"/>
    <n v="2"/>
    <n v="12"/>
    <n v="86"/>
    <n v="35"/>
    <n v="11"/>
    <n v="2"/>
    <n v="9"/>
    <n v="0.3"/>
    <n v="0.55000000000000004"/>
    <n v="6"/>
    <x v="135"/>
  </r>
  <r>
    <x v="23"/>
    <x v="2"/>
    <n v="1"/>
    <n v="19"/>
    <n v="95"/>
    <n v="50"/>
    <n v="18"/>
    <n v="2"/>
    <n v="16"/>
    <n v="0.4"/>
    <n v="0.28000000000000003"/>
    <n v="5"/>
    <x v="122"/>
  </r>
  <r>
    <x v="23"/>
    <x v="2"/>
    <n v="6"/>
    <n v="48"/>
    <n v="89"/>
    <n v="57"/>
    <n v="23"/>
    <n v="8"/>
    <n v="15"/>
    <n v="0.4"/>
    <n v="0.7"/>
    <n v="16"/>
    <x v="31"/>
  </r>
  <r>
    <x v="24"/>
    <x v="3"/>
    <n v="9"/>
    <n v="63"/>
    <n v="88"/>
    <n v="72"/>
    <n v="28"/>
    <n v="11"/>
    <n v="17"/>
    <n v="0.4"/>
    <n v="1.1100000000000001"/>
    <n v="31"/>
    <x v="103"/>
  </r>
  <r>
    <x v="24"/>
    <x v="3"/>
    <n v="4"/>
    <n v="42"/>
    <n v="91"/>
    <n v="93"/>
    <n v="36"/>
    <n v="7"/>
    <n v="29"/>
    <n v="0.4"/>
    <n v="0.47"/>
    <n v="17"/>
    <x v="92"/>
  </r>
  <r>
    <x v="24"/>
    <x v="3"/>
    <n v="3"/>
    <n v="52"/>
    <n v="95"/>
    <n v="116"/>
    <n v="44"/>
    <n v="7"/>
    <n v="37"/>
    <n v="0.4"/>
    <n v="0.41"/>
    <n v="18"/>
    <x v="30"/>
  </r>
  <r>
    <x v="24"/>
    <x v="3"/>
    <n v="0"/>
    <n v="56"/>
    <n v="100"/>
    <n v="123"/>
    <n v="50"/>
    <n v="8"/>
    <n v="42"/>
    <n v="0.4"/>
    <n v="0.34"/>
    <n v="17"/>
    <x v="124"/>
  </r>
  <r>
    <x v="24"/>
    <x v="3"/>
    <n v="11"/>
    <n v="78"/>
    <n v="88"/>
    <n v="116"/>
    <n v="45"/>
    <n v="16"/>
    <n v="28"/>
    <n v="0.4"/>
    <n v="0.71"/>
    <n v="32"/>
    <x v="4"/>
  </r>
  <r>
    <x v="24"/>
    <x v="3"/>
    <n v="12"/>
    <n v="79"/>
    <n v="87"/>
    <n v="106"/>
    <n v="43"/>
    <n v="23"/>
    <n v="21"/>
    <n v="0.4"/>
    <n v="0.86"/>
    <n v="37"/>
    <x v="50"/>
  </r>
  <r>
    <x v="24"/>
    <x v="3"/>
    <n v="4"/>
    <n v="57"/>
    <n v="93"/>
    <n v="91"/>
    <n v="34"/>
    <n v="11"/>
    <n v="23"/>
    <n v="0.4"/>
    <n v="0.62"/>
    <n v="21"/>
    <x v="3"/>
  </r>
  <r>
    <x v="24"/>
    <x v="3"/>
    <n v="0"/>
    <n v="39"/>
    <n v="100"/>
    <n v="101"/>
    <n v="36"/>
    <n v="6"/>
    <n v="30"/>
    <n v="0.4"/>
    <n v="0.44"/>
    <n v="16"/>
    <x v="84"/>
  </r>
  <r>
    <x v="24"/>
    <x v="3"/>
    <n v="2"/>
    <n v="19"/>
    <n v="90"/>
    <n v="86"/>
    <n v="32"/>
    <n v="2"/>
    <n v="30"/>
    <n v="0.4"/>
    <n v="0.16"/>
    <n v="5"/>
    <x v="86"/>
  </r>
  <r>
    <x v="24"/>
    <x v="3"/>
    <n v="2"/>
    <n v="24"/>
    <n v="92"/>
    <n v="71"/>
    <n v="28"/>
    <n v="3"/>
    <n v="26"/>
    <n v="0.4"/>
    <n v="0.25"/>
    <n v="7"/>
    <x v="113"/>
  </r>
  <r>
    <x v="24"/>
    <x v="3"/>
    <n v="6"/>
    <n v="36"/>
    <n v="86"/>
    <n v="72"/>
    <n v="26"/>
    <n v="6"/>
    <n v="20"/>
    <n v="0.4"/>
    <n v="0.35"/>
    <n v="9"/>
    <x v="93"/>
  </r>
  <r>
    <x v="24"/>
    <x v="3"/>
    <n v="9"/>
    <n v="28"/>
    <n v="76"/>
    <n v="73"/>
    <n v="27"/>
    <n v="4"/>
    <n v="23"/>
    <n v="0.4"/>
    <n v="0.33"/>
    <n v="9"/>
    <x v="35"/>
  </r>
  <r>
    <x v="24"/>
    <x v="3"/>
    <n v="9"/>
    <n v="39"/>
    <n v="81"/>
    <n v="83"/>
    <n v="36"/>
    <n v="7"/>
    <n v="28"/>
    <n v="0.4"/>
    <n v="0.33"/>
    <n v="12"/>
    <x v="28"/>
  </r>
  <r>
    <x v="24"/>
    <x v="3"/>
    <n v="14"/>
    <n v="49"/>
    <n v="78"/>
    <n v="83"/>
    <n v="39"/>
    <n v="9"/>
    <n v="30"/>
    <n v="0.5"/>
    <n v="0.46"/>
    <n v="18"/>
    <x v="68"/>
  </r>
  <r>
    <x v="24"/>
    <x v="3"/>
    <n v="38"/>
    <n v="72"/>
    <n v="65"/>
    <n v="73"/>
    <n v="31"/>
    <n v="17"/>
    <n v="14"/>
    <n v="0.4"/>
    <n v="1.03"/>
    <n v="32"/>
    <x v="127"/>
  </r>
  <r>
    <x v="24"/>
    <x v="3"/>
    <n v="36"/>
    <n v="60"/>
    <n v="63"/>
    <n v="66"/>
    <n v="27"/>
    <n v="13"/>
    <n v="14"/>
    <n v="0.4"/>
    <n v="0.93"/>
    <n v="25"/>
    <x v="141"/>
  </r>
  <r>
    <x v="24"/>
    <x v="3"/>
    <n v="14"/>
    <n v="26"/>
    <n v="65"/>
    <n v="53"/>
    <n v="18"/>
    <n v="2"/>
    <n v="16"/>
    <n v="0.3"/>
    <n v="0.44"/>
    <n v="8"/>
    <x v="132"/>
  </r>
  <r>
    <x v="24"/>
    <x v="3"/>
    <n v="3"/>
    <n v="8"/>
    <n v="73"/>
    <n v="37"/>
    <n v="14"/>
    <n v="0"/>
    <n v="14"/>
    <n v="0.4"/>
    <n v="7.0000000000000007E-2"/>
    <n v="1"/>
    <x v="134"/>
  </r>
  <r>
    <x v="24"/>
    <x v="3"/>
    <n v="1"/>
    <n v="4"/>
    <n v="80"/>
    <n v="31"/>
    <n v="16"/>
    <n v="0"/>
    <n v="16"/>
    <n v="0.5"/>
    <n v="0.06"/>
    <n v="1"/>
    <x v="14"/>
  </r>
  <r>
    <x v="24"/>
    <x v="3"/>
    <n v="8"/>
    <n v="4"/>
    <n v="33"/>
    <n v="25"/>
    <n v="11"/>
    <n v="0"/>
    <n v="11"/>
    <n v="0.4"/>
    <n v="0"/>
    <n v="0"/>
    <x v="12"/>
  </r>
  <r>
    <x v="24"/>
    <x v="3"/>
    <n v="11"/>
    <n v="4"/>
    <n v="27"/>
    <n v="22"/>
    <n v="8"/>
    <n v="1"/>
    <n v="7"/>
    <n v="0.4"/>
    <n v="0.13"/>
    <n v="1"/>
    <x v="85"/>
  </r>
  <r>
    <x v="24"/>
    <x v="3"/>
    <n v="5"/>
    <n v="11"/>
    <n v="69"/>
    <n v="34"/>
    <n v="13"/>
    <n v="0"/>
    <n v="12"/>
    <n v="0.4"/>
    <n v="0.08"/>
    <n v="1"/>
    <x v="129"/>
  </r>
  <r>
    <x v="24"/>
    <x v="3"/>
    <n v="3"/>
    <n v="25"/>
    <n v="89"/>
    <n v="53"/>
    <n v="22"/>
    <n v="2"/>
    <n v="20"/>
    <n v="0.4"/>
    <n v="0.23"/>
    <n v="5"/>
    <x v="99"/>
  </r>
  <r>
    <x v="24"/>
    <x v="3"/>
    <n v="4"/>
    <n v="53"/>
    <n v="93"/>
    <n v="70"/>
    <n v="27"/>
    <n v="8"/>
    <n v="19"/>
    <n v="0.4"/>
    <n v="0.63"/>
    <n v="17"/>
    <x v="137"/>
  </r>
  <r>
    <x v="25"/>
    <x v="4"/>
    <n v="1"/>
    <n v="72"/>
    <n v="99"/>
    <n v="75"/>
    <n v="37"/>
    <n v="12"/>
    <n v="24"/>
    <n v="0.5"/>
    <n v="1"/>
    <n v="37"/>
    <x v="139"/>
  </r>
  <r>
    <x v="25"/>
    <x v="4"/>
    <n v="0"/>
    <n v="61"/>
    <n v="100"/>
    <n v="87"/>
    <n v="40"/>
    <n v="7"/>
    <n v="32"/>
    <n v="0.5"/>
    <n v="0.68"/>
    <n v="27"/>
    <x v="3"/>
  </r>
  <r>
    <x v="25"/>
    <x v="4"/>
    <n v="3"/>
    <n v="56"/>
    <n v="95"/>
    <n v="110"/>
    <n v="44"/>
    <n v="6"/>
    <n v="38"/>
    <n v="0.4"/>
    <n v="0.41"/>
    <n v="18"/>
    <x v="8"/>
  </r>
  <r>
    <x v="25"/>
    <x v="4"/>
    <n v="1"/>
    <n v="54"/>
    <n v="98"/>
    <n v="115"/>
    <n v="53"/>
    <n v="8"/>
    <n v="45"/>
    <n v="0.5"/>
    <n v="0.32"/>
    <n v="17"/>
    <x v="30"/>
  </r>
  <r>
    <x v="25"/>
    <x v="4"/>
    <n v="6"/>
    <n v="71"/>
    <n v="92"/>
    <n v="115"/>
    <n v="49"/>
    <n v="18"/>
    <n v="32"/>
    <n v="0.4"/>
    <n v="0.61"/>
    <n v="30"/>
    <x v="58"/>
  </r>
  <r>
    <x v="25"/>
    <x v="4"/>
    <n v="24"/>
    <n v="116"/>
    <n v="83"/>
    <n v="102"/>
    <n v="40"/>
    <n v="23"/>
    <n v="17"/>
    <n v="0.4"/>
    <n v="1.07"/>
    <n v="43"/>
    <x v="118"/>
  </r>
  <r>
    <x v="25"/>
    <x v="4"/>
    <n v="8"/>
    <n v="158"/>
    <n v="95"/>
    <n v="102"/>
    <n v="45"/>
    <n v="8"/>
    <n v="37"/>
    <n v="0.4"/>
    <n v="0.53"/>
    <n v="24"/>
    <x v="40"/>
  </r>
  <r>
    <x v="25"/>
    <x v="4"/>
    <n v="1"/>
    <n v="25"/>
    <n v="96"/>
    <n v="89"/>
    <n v="32"/>
    <n v="3"/>
    <n v="29"/>
    <n v="0.4"/>
    <n v="0.19"/>
    <n v="6"/>
    <x v="113"/>
  </r>
  <r>
    <x v="25"/>
    <x v="4"/>
    <n v="1"/>
    <n v="27"/>
    <n v="96"/>
    <n v="76"/>
    <n v="24"/>
    <n v="2"/>
    <n v="22"/>
    <n v="0.3"/>
    <n v="0.25"/>
    <n v="6"/>
    <x v="99"/>
  </r>
  <r>
    <x v="25"/>
    <x v="4"/>
    <n v="2"/>
    <n v="18"/>
    <n v="90"/>
    <n v="78"/>
    <n v="26"/>
    <n v="3"/>
    <n v="23"/>
    <n v="0.3"/>
    <n v="0.19"/>
    <n v="5"/>
    <x v="122"/>
  </r>
  <r>
    <x v="25"/>
    <x v="4"/>
    <n v="4"/>
    <n v="25"/>
    <n v="86"/>
    <n v="76"/>
    <n v="24"/>
    <n v="5"/>
    <n v="19"/>
    <n v="0.3"/>
    <n v="0.33"/>
    <n v="8"/>
    <x v="10"/>
  </r>
  <r>
    <x v="25"/>
    <x v="4"/>
    <n v="0"/>
    <n v="26"/>
    <n v="100"/>
    <n v="75"/>
    <n v="32"/>
    <n v="2"/>
    <n v="30"/>
    <n v="0.4"/>
    <n v="0.19"/>
    <n v="6"/>
    <x v="113"/>
  </r>
  <r>
    <x v="25"/>
    <x v="4"/>
    <n v="5"/>
    <n v="20"/>
    <n v="80"/>
    <n v="87"/>
    <n v="33"/>
    <n v="6"/>
    <n v="28"/>
    <n v="0.4"/>
    <n v="0.27"/>
    <n v="9"/>
    <x v="114"/>
  </r>
  <r>
    <x v="25"/>
    <x v="4"/>
    <n v="10"/>
    <n v="31"/>
    <n v="76"/>
    <n v="92"/>
    <n v="41"/>
    <n v="9"/>
    <n v="32"/>
    <n v="0.4"/>
    <n v="0.34"/>
    <n v="14"/>
    <x v="0"/>
  </r>
  <r>
    <x v="25"/>
    <x v="4"/>
    <n v="43"/>
    <n v="68"/>
    <n v="61"/>
    <n v="80"/>
    <n v="34"/>
    <n v="17"/>
    <n v="17"/>
    <n v="0.4"/>
    <n v="0.88"/>
    <n v="30"/>
    <x v="95"/>
  </r>
  <r>
    <x v="25"/>
    <x v="4"/>
    <n v="35"/>
    <n v="43"/>
    <n v="55"/>
    <n v="69"/>
    <n v="29"/>
    <n v="13"/>
    <n v="16"/>
    <n v="0.4"/>
    <n v="0.86"/>
    <n v="25"/>
    <x v="117"/>
  </r>
  <r>
    <x v="25"/>
    <x v="4"/>
    <n v="4"/>
    <n v="18"/>
    <n v="82"/>
    <n v="49"/>
    <n v="17"/>
    <n v="2"/>
    <n v="15"/>
    <n v="0.3"/>
    <n v="0.47"/>
    <n v="8"/>
    <x v="11"/>
  </r>
  <r>
    <x v="25"/>
    <x v="4"/>
    <n v="2"/>
    <n v="8"/>
    <n v="80"/>
    <n v="33"/>
    <n v="14"/>
    <n v="0"/>
    <n v="14"/>
    <n v="0.4"/>
    <n v="0"/>
    <n v="0"/>
    <x v="13"/>
  </r>
  <r>
    <x v="25"/>
    <x v="4"/>
    <n v="0"/>
    <n v="3"/>
    <n v="100"/>
    <n v="26"/>
    <n v="12"/>
    <n v="0"/>
    <n v="11"/>
    <n v="0.5"/>
    <n v="0"/>
    <n v="0"/>
    <x v="73"/>
  </r>
  <r>
    <x v="25"/>
    <x v="4"/>
    <n v="3"/>
    <n v="3"/>
    <n v="50"/>
    <n v="21"/>
    <n v="9"/>
    <n v="0"/>
    <n v="9"/>
    <n v="0.4"/>
    <n v="0.22"/>
    <n v="2"/>
    <x v="56"/>
  </r>
  <r>
    <x v="25"/>
    <x v="4"/>
    <n v="3"/>
    <n v="7"/>
    <n v="70"/>
    <n v="24"/>
    <n v="9"/>
    <n v="1"/>
    <n v="9"/>
    <n v="0.4"/>
    <n v="0.11"/>
    <n v="1"/>
    <x v="13"/>
  </r>
  <r>
    <x v="25"/>
    <x v="4"/>
    <n v="1"/>
    <n v="6"/>
    <n v="86"/>
    <n v="28"/>
    <n v="13"/>
    <n v="1"/>
    <n v="12"/>
    <n v="0.5"/>
    <n v="0.23"/>
    <n v="3"/>
    <x v="102"/>
  </r>
  <r>
    <x v="25"/>
    <x v="4"/>
    <n v="3"/>
    <n v="7"/>
    <n v="70"/>
    <n v="42"/>
    <n v="18"/>
    <n v="2"/>
    <n v="16"/>
    <n v="0.4"/>
    <n v="0.06"/>
    <n v="1"/>
    <x v="13"/>
  </r>
  <r>
    <x v="25"/>
    <x v="4"/>
    <n v="4"/>
    <n v="24"/>
    <n v="86"/>
    <n v="48"/>
    <n v="22"/>
    <n v="4"/>
    <n v="19"/>
    <n v="0.5"/>
    <n v="0.41"/>
    <n v="9"/>
    <x v="99"/>
  </r>
  <r>
    <x v="26"/>
    <x v="5"/>
    <n v="9"/>
    <n v="34"/>
    <n v="79"/>
    <n v="64"/>
    <n v="25"/>
    <n v="5"/>
    <n v="20"/>
    <n v="0.4"/>
    <n v="0.48"/>
    <n v="12"/>
    <x v="66"/>
  </r>
  <r>
    <x v="26"/>
    <x v="5"/>
    <n v="2"/>
    <n v="44"/>
    <n v="96"/>
    <n v="82"/>
    <n v="30"/>
    <n v="7"/>
    <n v="24"/>
    <n v="0.4"/>
    <n v="0.67"/>
    <n v="20"/>
    <x v="92"/>
  </r>
  <r>
    <x v="26"/>
    <x v="5"/>
    <n v="1"/>
    <n v="30"/>
    <n v="97"/>
    <n v="92"/>
    <n v="40"/>
    <n v="4"/>
    <n v="36"/>
    <n v="0.4"/>
    <n v="0.28000000000000003"/>
    <n v="11"/>
    <x v="57"/>
  </r>
  <r>
    <x v="26"/>
    <x v="5"/>
    <n v="6"/>
    <n v="47"/>
    <n v="89"/>
    <n v="107"/>
    <n v="50"/>
    <n v="11"/>
    <n v="39"/>
    <n v="0.5"/>
    <n v="0.46"/>
    <n v="23"/>
    <x v="26"/>
  </r>
  <r>
    <x v="26"/>
    <x v="5"/>
    <n v="9"/>
    <n v="65"/>
    <n v="88"/>
    <n v="104"/>
    <n v="45"/>
    <n v="14"/>
    <n v="31"/>
    <n v="0.4"/>
    <n v="0.56000000000000005"/>
    <n v="25"/>
    <x v="27"/>
  </r>
  <r>
    <x v="26"/>
    <x v="5"/>
    <n v="12"/>
    <n v="66"/>
    <n v="85"/>
    <n v="113"/>
    <n v="38"/>
    <n v="12"/>
    <n v="26"/>
    <n v="0.3"/>
    <n v="0.57999999999999996"/>
    <n v="22"/>
    <x v="117"/>
  </r>
  <r>
    <x v="26"/>
    <x v="5"/>
    <n v="1"/>
    <n v="35"/>
    <n v="97"/>
    <n v="117"/>
    <n v="45"/>
    <n v="3"/>
    <n v="42"/>
    <n v="0.4"/>
    <n v="0.2"/>
    <n v="9"/>
    <x v="75"/>
  </r>
  <r>
    <x v="26"/>
    <x v="5"/>
    <n v="0"/>
    <n v="24"/>
    <n v="100"/>
    <n v="91"/>
    <n v="38"/>
    <n v="4"/>
    <n v="34"/>
    <n v="0.4"/>
    <n v="0.21"/>
    <n v="8"/>
    <x v="106"/>
  </r>
  <r>
    <x v="26"/>
    <x v="5"/>
    <n v="0"/>
    <n v="9"/>
    <n v="100"/>
    <n v="77"/>
    <n v="27"/>
    <n v="1"/>
    <n v="27"/>
    <n v="0.4"/>
    <n v="0.04"/>
    <n v="1"/>
    <x v="108"/>
  </r>
  <r>
    <x v="26"/>
    <x v="5"/>
    <n v="1"/>
    <n v="19"/>
    <n v="95"/>
    <n v="75"/>
    <n v="32"/>
    <n v="2"/>
    <n v="30"/>
    <n v="0.4"/>
    <n v="0.09"/>
    <n v="3"/>
    <x v="122"/>
  </r>
  <r>
    <x v="26"/>
    <x v="5"/>
    <n v="1"/>
    <n v="23"/>
    <n v="96"/>
    <n v="74"/>
    <n v="27"/>
    <n v="3"/>
    <n v="24"/>
    <n v="0.4"/>
    <n v="0.19"/>
    <n v="5"/>
    <x v="106"/>
  </r>
  <r>
    <x v="26"/>
    <x v="5"/>
    <n v="2"/>
    <n v="15"/>
    <n v="88"/>
    <n v="70"/>
    <n v="22"/>
    <n v="4"/>
    <n v="19"/>
    <n v="0.3"/>
    <n v="0.27"/>
    <n v="6"/>
    <x v="97"/>
  </r>
  <r>
    <x v="26"/>
    <x v="5"/>
    <n v="0"/>
    <n v="21"/>
    <n v="100"/>
    <n v="84"/>
    <n v="30"/>
    <n v="2"/>
    <n v="28"/>
    <n v="0.4"/>
    <n v="0.13"/>
    <n v="4"/>
    <x v="86"/>
  </r>
  <r>
    <x v="26"/>
    <x v="5"/>
    <n v="6"/>
    <n v="39"/>
    <n v="87"/>
    <n v="75"/>
    <n v="32"/>
    <n v="9"/>
    <n v="22"/>
    <n v="0.4"/>
    <n v="0.5"/>
    <n v="16"/>
    <x v="16"/>
  </r>
  <r>
    <x v="26"/>
    <x v="5"/>
    <n v="9"/>
    <n v="49"/>
    <n v="84"/>
    <n v="76"/>
    <n v="31"/>
    <n v="11"/>
    <n v="20"/>
    <n v="0.4"/>
    <n v="0.74"/>
    <n v="23"/>
    <x v="29"/>
  </r>
  <r>
    <x v="26"/>
    <x v="5"/>
    <n v="11"/>
    <n v="42"/>
    <n v="79"/>
    <n v="64"/>
    <n v="23"/>
    <n v="10"/>
    <n v="13"/>
    <n v="0.4"/>
    <n v="0.91"/>
    <n v="21"/>
    <x v="26"/>
  </r>
  <r>
    <x v="26"/>
    <x v="5"/>
    <n v="10"/>
    <n v="22"/>
    <n v="69"/>
    <n v="38"/>
    <n v="18"/>
    <n v="3"/>
    <n v="14"/>
    <n v="0.5"/>
    <n v="0.39"/>
    <n v="7"/>
    <x v="33"/>
  </r>
  <r>
    <x v="26"/>
    <x v="5"/>
    <n v="2"/>
    <n v="8"/>
    <n v="80"/>
    <n v="27"/>
    <n v="11"/>
    <n v="0"/>
    <n v="11"/>
    <n v="0.4"/>
    <n v="0.09"/>
    <n v="1"/>
    <x v="13"/>
  </r>
  <r>
    <x v="26"/>
    <x v="5"/>
    <n v="0"/>
    <n v="1"/>
    <n v="100"/>
    <n v="18"/>
    <n v="11"/>
    <n v="0"/>
    <n v="11"/>
    <n v="0.6"/>
    <n v="0"/>
    <n v="0"/>
    <x v="96"/>
  </r>
  <r>
    <x v="26"/>
    <x v="5"/>
    <n v="0"/>
    <n v="4"/>
    <n v="100"/>
    <n v="17"/>
    <n v="8"/>
    <n v="0"/>
    <n v="8"/>
    <n v="0.5"/>
    <n v="0"/>
    <n v="0"/>
    <x v="72"/>
  </r>
  <r>
    <x v="26"/>
    <x v="5"/>
    <n v="2"/>
    <n v="1"/>
    <n v="33"/>
    <n v="15"/>
    <n v="6"/>
    <n v="0"/>
    <n v="6"/>
    <n v="0.4"/>
    <n v="0"/>
    <n v="0"/>
    <x v="73"/>
  </r>
  <r>
    <x v="26"/>
    <x v="5"/>
    <n v="3"/>
    <n v="5"/>
    <n v="63"/>
    <n v="16"/>
    <n v="7"/>
    <n v="0"/>
    <n v="7"/>
    <n v="0.4"/>
    <n v="0"/>
    <n v="0"/>
    <x v="74"/>
  </r>
  <r>
    <x v="26"/>
    <x v="5"/>
    <n v="8"/>
    <n v="11"/>
    <n v="58"/>
    <n v="27"/>
    <n v="10"/>
    <n v="2"/>
    <n v="8"/>
    <n v="0.4"/>
    <n v="0.3"/>
    <n v="3"/>
    <x v="34"/>
  </r>
  <r>
    <x v="26"/>
    <x v="5"/>
    <n v="1"/>
    <n v="17"/>
    <n v="94"/>
    <n v="36"/>
    <n v="16"/>
    <n v="2"/>
    <n v="14"/>
    <n v="0.4"/>
    <n v="0.25"/>
    <n v="4"/>
    <x v="15"/>
  </r>
  <r>
    <x v="27"/>
    <x v="6"/>
    <n v="2"/>
    <n v="22"/>
    <n v="92"/>
    <n v="47"/>
    <n v="23"/>
    <n v="2"/>
    <n v="20"/>
    <n v="0.5"/>
    <n v="0.22"/>
    <n v="5"/>
    <x v="106"/>
  </r>
  <r>
    <x v="27"/>
    <x v="6"/>
    <n v="1"/>
    <n v="30"/>
    <n v="97"/>
    <n v="54"/>
    <n v="18"/>
    <n v="2"/>
    <n v="16"/>
    <n v="0.3"/>
    <n v="0.33"/>
    <n v="6"/>
    <x v="57"/>
  </r>
  <r>
    <x v="27"/>
    <x v="6"/>
    <n v="0"/>
    <n v="35"/>
    <n v="100"/>
    <n v="64"/>
    <n v="30"/>
    <n v="4"/>
    <n v="26"/>
    <n v="0.5"/>
    <n v="0.37"/>
    <n v="11"/>
    <x v="55"/>
  </r>
  <r>
    <x v="27"/>
    <x v="6"/>
    <n v="0"/>
    <n v="32"/>
    <n v="100"/>
    <n v="86"/>
    <n v="36"/>
    <n v="6"/>
    <n v="30"/>
    <n v="0.4"/>
    <n v="0.28000000000000003"/>
    <n v="10"/>
    <x v="33"/>
  </r>
  <r>
    <x v="27"/>
    <x v="6"/>
    <n v="8"/>
    <n v="44"/>
    <n v="85"/>
    <n v="88"/>
    <n v="33"/>
    <n v="11"/>
    <n v="22"/>
    <n v="0.4"/>
    <n v="0.48"/>
    <n v="16"/>
    <x v="105"/>
  </r>
  <r>
    <x v="27"/>
    <x v="6"/>
    <n v="9"/>
    <n v="56"/>
    <n v="86"/>
    <n v="81"/>
    <n v="30"/>
    <n v="16"/>
    <n v="14"/>
    <n v="0.4"/>
    <n v="1.03"/>
    <n v="31"/>
    <x v="9"/>
  </r>
  <r>
    <x v="27"/>
    <x v="6"/>
    <n v="0"/>
    <n v="30"/>
    <n v="100"/>
    <n v="77"/>
    <n v="30"/>
    <n v="4"/>
    <n v="25"/>
    <n v="0.4"/>
    <n v="0.33"/>
    <n v="10"/>
    <x v="91"/>
  </r>
  <r>
    <x v="27"/>
    <x v="6"/>
    <n v="2"/>
    <n v="21"/>
    <n v="91"/>
    <n v="75"/>
    <n v="26"/>
    <n v="3"/>
    <n v="23"/>
    <n v="0.3"/>
    <n v="0.23"/>
    <n v="6"/>
    <x v="107"/>
  </r>
  <r>
    <x v="27"/>
    <x v="6"/>
    <n v="5"/>
    <n v="19"/>
    <n v="79"/>
    <n v="65"/>
    <n v="22"/>
    <n v="4"/>
    <n v="18"/>
    <n v="0.3"/>
    <n v="0.27"/>
    <n v="6"/>
    <x v="106"/>
  </r>
  <r>
    <x v="27"/>
    <x v="6"/>
    <n v="4"/>
    <n v="21"/>
    <n v="84"/>
    <n v="62"/>
    <n v="17"/>
    <n v="1"/>
    <n v="16"/>
    <n v="0.3"/>
    <n v="0.35"/>
    <n v="6"/>
    <x v="114"/>
  </r>
  <r>
    <x v="27"/>
    <x v="6"/>
    <n v="3"/>
    <n v="15"/>
    <n v="83"/>
    <n v="53"/>
    <n v="19"/>
    <n v="4"/>
    <n v="15"/>
    <n v="0.4"/>
    <n v="0.37"/>
    <n v="7"/>
    <x v="15"/>
  </r>
  <r>
    <x v="27"/>
    <x v="6"/>
    <n v="4"/>
    <n v="27"/>
    <n v="87"/>
    <n v="61"/>
    <n v="20"/>
    <n v="4"/>
    <n v="16"/>
    <n v="0.3"/>
    <n v="0.45"/>
    <n v="9"/>
    <x v="57"/>
  </r>
  <r>
    <x v="27"/>
    <x v="6"/>
    <n v="0"/>
    <n v="25"/>
    <n v="100"/>
    <n v="54"/>
    <n v="23"/>
    <n v="4"/>
    <n v="19"/>
    <n v="0.4"/>
    <n v="0.26"/>
    <n v="6"/>
    <x v="114"/>
  </r>
  <r>
    <x v="27"/>
    <x v="6"/>
    <n v="16"/>
    <n v="46"/>
    <n v="74"/>
    <n v="63"/>
    <n v="26"/>
    <n v="8"/>
    <n v="18"/>
    <n v="0.4"/>
    <n v="0.65"/>
    <n v="17"/>
    <x v="32"/>
  </r>
  <r>
    <x v="27"/>
    <x v="6"/>
    <n v="32"/>
    <n v="48"/>
    <n v="60"/>
    <n v="53"/>
    <n v="22"/>
    <n v="13"/>
    <n v="9"/>
    <n v="0.4"/>
    <n v="1.18"/>
    <n v="26"/>
    <x v="7"/>
  </r>
  <r>
    <x v="27"/>
    <x v="6"/>
    <n v="50"/>
    <n v="37"/>
    <n v="43"/>
    <n v="42"/>
    <n v="16"/>
    <n v="11"/>
    <n v="4"/>
    <n v="0.4"/>
    <n v="1.25"/>
    <n v="20"/>
    <x v="18"/>
  </r>
  <r>
    <x v="27"/>
    <x v="6"/>
    <n v="22"/>
    <n v="17"/>
    <n v="44"/>
    <n v="34"/>
    <n v="10"/>
    <n v="6"/>
    <n v="4"/>
    <n v="0.3"/>
    <n v="1.1000000000000001"/>
    <n v="11"/>
    <x v="84"/>
  </r>
  <r>
    <x v="27"/>
    <x v="6"/>
    <n v="8"/>
    <n v="5"/>
    <n v="38"/>
    <n v="17"/>
    <n v="4"/>
    <n v="0"/>
    <n v="4"/>
    <n v="0.2"/>
    <n v="0.25"/>
    <n v="1"/>
    <x v="128"/>
  </r>
  <r>
    <x v="27"/>
    <x v="6"/>
    <n v="2"/>
    <n v="3"/>
    <n v="60"/>
    <n v="13"/>
    <n v="4"/>
    <n v="1"/>
    <n v="3"/>
    <n v="0.3"/>
    <n v="0.25"/>
    <n v="1"/>
    <x v="14"/>
  </r>
  <r>
    <x v="27"/>
    <x v="6"/>
    <n v="2"/>
    <n v="5"/>
    <n v="71"/>
    <n v="12"/>
    <n v="6"/>
    <n v="1"/>
    <n v="5"/>
    <n v="0.5"/>
    <n v="0.5"/>
    <n v="3"/>
    <x v="102"/>
  </r>
  <r>
    <x v="27"/>
    <x v="6"/>
    <n v="6"/>
    <n v="4"/>
    <n v="40"/>
    <n v="15"/>
    <n v="5"/>
    <n v="1"/>
    <n v="4"/>
    <n v="0.3"/>
    <n v="0.2"/>
    <n v="1"/>
    <x v="13"/>
  </r>
  <r>
    <x v="27"/>
    <x v="6"/>
    <n v="4"/>
    <n v="10"/>
    <n v="71"/>
    <n v="20"/>
    <n v="7"/>
    <n v="1"/>
    <n v="6"/>
    <n v="0.3"/>
    <n v="0.56999999999999995"/>
    <n v="4"/>
    <x v="135"/>
  </r>
  <r>
    <x v="27"/>
    <x v="6"/>
    <n v="4"/>
    <n v="11"/>
    <n v="73"/>
    <n v="28"/>
    <n v="10"/>
    <n v="2"/>
    <n v="9"/>
    <n v="0.4"/>
    <n v="0.3"/>
    <n v="3"/>
    <x v="85"/>
  </r>
  <r>
    <x v="27"/>
    <x v="6"/>
    <n v="6"/>
    <n v="22"/>
    <n v="79"/>
    <n v="41"/>
    <n v="16"/>
    <n v="2"/>
    <n v="13"/>
    <n v="0.4"/>
    <n v="0.38"/>
    <n v="6"/>
    <x v="99"/>
  </r>
  <r>
    <x v="28"/>
    <x v="0"/>
    <n v="0"/>
    <n v="41"/>
    <n v="100"/>
    <n v="54"/>
    <n v="20"/>
    <n v="5"/>
    <n v="16"/>
    <n v="0.4"/>
    <n v="0.5"/>
    <n v="10"/>
    <x v="0"/>
  </r>
  <r>
    <x v="28"/>
    <x v="0"/>
    <n v="3"/>
    <n v="40"/>
    <n v="93"/>
    <n v="68"/>
    <n v="23"/>
    <n v="3"/>
    <n v="20"/>
    <n v="0.3"/>
    <n v="0.43"/>
    <n v="10"/>
    <x v="66"/>
  </r>
  <r>
    <x v="28"/>
    <x v="0"/>
    <n v="1"/>
    <n v="25"/>
    <n v="96"/>
    <n v="77"/>
    <n v="27"/>
    <n v="3"/>
    <n v="25"/>
    <n v="0.4"/>
    <n v="0.37"/>
    <n v="10"/>
    <x v="113"/>
  </r>
  <r>
    <x v="28"/>
    <x v="0"/>
    <n v="3"/>
    <n v="43"/>
    <n v="93"/>
    <n v="87"/>
    <n v="39"/>
    <n v="6"/>
    <n v="34"/>
    <n v="0.4"/>
    <n v="0.31"/>
    <n v="12"/>
    <x v="92"/>
  </r>
  <r>
    <x v="28"/>
    <x v="0"/>
    <n v="1"/>
    <n v="37"/>
    <n v="97"/>
    <n v="87"/>
    <n v="32"/>
    <n v="5"/>
    <n v="27"/>
    <n v="0.4"/>
    <n v="0.5"/>
    <n v="16"/>
    <x v="81"/>
  </r>
  <r>
    <x v="28"/>
    <x v="0"/>
    <n v="1"/>
    <n v="43"/>
    <n v="98"/>
    <n v="83"/>
    <n v="30"/>
    <n v="7"/>
    <n v="23"/>
    <n v="0.4"/>
    <n v="0.53"/>
    <n v="16"/>
    <x v="2"/>
  </r>
  <r>
    <x v="28"/>
    <x v="0"/>
    <n v="2"/>
    <n v="27"/>
    <n v="93"/>
    <n v="80"/>
    <n v="28"/>
    <n v="4"/>
    <n v="24"/>
    <n v="0.3"/>
    <n v="0.46"/>
    <n v="13"/>
    <x v="10"/>
  </r>
  <r>
    <x v="28"/>
    <x v="0"/>
    <n v="4"/>
    <n v="31"/>
    <n v="89"/>
    <n v="62"/>
    <n v="23"/>
    <n v="4"/>
    <n v="19"/>
    <n v="0.4"/>
    <n v="0.61"/>
    <n v="14"/>
    <x v="55"/>
  </r>
  <r>
    <x v="28"/>
    <x v="0"/>
    <n v="3"/>
    <n v="36"/>
    <n v="92"/>
    <n v="62"/>
    <n v="22"/>
    <n v="3"/>
    <n v="19"/>
    <n v="0.4"/>
    <n v="0.32"/>
    <n v="7"/>
    <x v="84"/>
  </r>
  <r>
    <x v="28"/>
    <x v="0"/>
    <n v="2"/>
    <n v="25"/>
    <n v="93"/>
    <n v="54"/>
    <n v="19"/>
    <n v="3"/>
    <n v="17"/>
    <n v="0.4"/>
    <n v="0.21"/>
    <n v="4"/>
    <x v="133"/>
  </r>
  <r>
    <x v="28"/>
    <x v="0"/>
    <n v="6"/>
    <n v="21"/>
    <n v="78"/>
    <n v="53"/>
    <n v="18"/>
    <n v="2"/>
    <n v="17"/>
    <n v="0.3"/>
    <n v="0.39"/>
    <n v="7"/>
    <x v="133"/>
  </r>
  <r>
    <x v="28"/>
    <x v="0"/>
    <n v="5"/>
    <n v="32"/>
    <n v="86"/>
    <n v="43"/>
    <n v="19"/>
    <n v="2"/>
    <n v="16"/>
    <n v="0.4"/>
    <n v="0.26"/>
    <n v="5"/>
    <x v="35"/>
  </r>
  <r>
    <x v="28"/>
    <x v="0"/>
    <n v="8"/>
    <n v="18"/>
    <n v="69"/>
    <n v="42"/>
    <n v="15"/>
    <n v="3"/>
    <n v="13"/>
    <n v="0.4"/>
    <n v="0.47"/>
    <n v="7"/>
    <x v="113"/>
  </r>
  <r>
    <x v="28"/>
    <x v="0"/>
    <n v="5"/>
    <n v="13"/>
    <n v="72"/>
    <n v="40"/>
    <n v="14"/>
    <n v="2"/>
    <n v="12"/>
    <n v="0.3"/>
    <n v="0.36"/>
    <n v="5"/>
    <x v="15"/>
  </r>
  <r>
    <x v="28"/>
    <x v="0"/>
    <n v="7"/>
    <n v="18"/>
    <n v="72"/>
    <n v="37"/>
    <n v="10"/>
    <n v="1"/>
    <n v="8"/>
    <n v="0.3"/>
    <n v="0.3"/>
    <n v="3"/>
    <x v="114"/>
  </r>
  <r>
    <x v="28"/>
    <x v="0"/>
    <n v="6"/>
    <n v="12"/>
    <n v="67"/>
    <n v="26"/>
    <n v="6"/>
    <n v="2"/>
    <n v="5"/>
    <n v="0.2"/>
    <n v="0.5"/>
    <n v="3"/>
    <x v="15"/>
  </r>
  <r>
    <x v="28"/>
    <x v="0"/>
    <n v="2"/>
    <n v="8"/>
    <n v="80"/>
    <n v="27"/>
    <n v="8"/>
    <n v="1"/>
    <n v="7"/>
    <n v="0.3"/>
    <n v="0.25"/>
    <n v="2"/>
    <x v="13"/>
  </r>
  <r>
    <x v="28"/>
    <x v="0"/>
    <n v="3"/>
    <n v="10"/>
    <n v="77"/>
    <n v="34"/>
    <n v="13"/>
    <n v="2"/>
    <n v="11"/>
    <n v="0.4"/>
    <n v="0.31"/>
    <n v="4"/>
    <x v="128"/>
  </r>
  <r>
    <x v="28"/>
    <x v="0"/>
    <n v="1"/>
    <n v="10"/>
    <n v="91"/>
    <n v="48"/>
    <n v="18"/>
    <n v="1"/>
    <n v="16"/>
    <n v="0.4"/>
    <n v="0.22"/>
    <n v="4"/>
    <x v="134"/>
  </r>
  <r>
    <x v="28"/>
    <x v="0"/>
    <n v="4"/>
    <n v="23"/>
    <n v="85"/>
    <n v="51"/>
    <n v="20"/>
    <n v="6"/>
    <n v="14"/>
    <n v="0.4"/>
    <n v="0.65"/>
    <n v="13"/>
    <x v="133"/>
  </r>
  <r>
    <x v="28"/>
    <x v="0"/>
    <n v="3"/>
    <n v="32"/>
    <n v="91"/>
    <n v="56"/>
    <n v="25"/>
    <n v="6"/>
    <n v="20"/>
    <n v="0.4"/>
    <n v="0.68"/>
    <n v="17"/>
    <x v="55"/>
  </r>
  <r>
    <x v="28"/>
    <x v="0"/>
    <n v="6"/>
    <n v="36"/>
    <n v="86"/>
    <n v="64"/>
    <n v="27"/>
    <n v="7"/>
    <n v="20"/>
    <n v="0.4"/>
    <n v="0.48"/>
    <n v="13"/>
    <x v="93"/>
  </r>
  <r>
    <x v="28"/>
    <x v="0"/>
    <n v="1"/>
    <n v="48"/>
    <n v="98"/>
    <n v="74"/>
    <n v="33"/>
    <n v="8"/>
    <n v="25"/>
    <n v="0.4"/>
    <n v="0.61"/>
    <n v="20"/>
    <x v="112"/>
  </r>
  <r>
    <x v="28"/>
    <x v="0"/>
    <n v="1"/>
    <n v="53"/>
    <n v="98"/>
    <n v="83"/>
    <n v="29"/>
    <n v="10"/>
    <n v="19"/>
    <n v="0.3"/>
    <n v="1.03"/>
    <n v="30"/>
    <x v="31"/>
  </r>
  <r>
    <x v="29"/>
    <x v="1"/>
    <n v="0"/>
    <n v="59"/>
    <n v="100"/>
    <n v="90"/>
    <n v="32"/>
    <n v="7"/>
    <n v="25"/>
    <n v="0.4"/>
    <n v="0.63"/>
    <n v="20"/>
    <x v="8"/>
  </r>
  <r>
    <x v="29"/>
    <x v="1"/>
    <n v="2"/>
    <n v="46"/>
    <n v="96"/>
    <n v="91"/>
    <n v="36"/>
    <n v="5"/>
    <n v="31"/>
    <n v="0.4"/>
    <n v="0.47"/>
    <n v="17"/>
    <x v="28"/>
  </r>
  <r>
    <x v="29"/>
    <x v="1"/>
    <n v="1"/>
    <n v="37"/>
    <n v="97"/>
    <n v="93"/>
    <n v="45"/>
    <n v="5"/>
    <n v="40"/>
    <n v="0.5"/>
    <n v="0.24"/>
    <n v="11"/>
    <x v="81"/>
  </r>
  <r>
    <x v="29"/>
    <x v="1"/>
    <n v="9"/>
    <n v="35"/>
    <n v="80"/>
    <n v="83"/>
    <n v="35"/>
    <n v="6"/>
    <n v="29"/>
    <n v="0.4"/>
    <n v="0.49"/>
    <n v="17"/>
    <x v="2"/>
  </r>
  <r>
    <x v="29"/>
    <x v="1"/>
    <n v="8"/>
    <n v="45"/>
    <n v="85"/>
    <n v="86"/>
    <n v="34"/>
    <n v="6"/>
    <n v="29"/>
    <n v="0.4"/>
    <n v="0.47"/>
    <n v="16"/>
    <x v="26"/>
  </r>
  <r>
    <x v="29"/>
    <x v="1"/>
    <n v="6"/>
    <n v="43"/>
    <n v="88"/>
    <n v="81"/>
    <n v="31"/>
    <n v="7"/>
    <n v="25"/>
    <n v="0.4"/>
    <n v="0.52"/>
    <n v="16"/>
    <x v="112"/>
  </r>
  <r>
    <x v="29"/>
    <x v="1"/>
    <n v="5"/>
    <n v="38"/>
    <n v="88"/>
    <n v="77"/>
    <n v="28"/>
    <n v="4"/>
    <n v="24"/>
    <n v="0.4"/>
    <n v="0.39"/>
    <n v="11"/>
    <x v="66"/>
  </r>
  <r>
    <x v="29"/>
    <x v="1"/>
    <n v="7"/>
    <n v="36"/>
    <n v="84"/>
    <n v="67"/>
    <n v="22"/>
    <n v="3"/>
    <n v="19"/>
    <n v="0.3"/>
    <n v="0.32"/>
    <n v="7"/>
    <x v="66"/>
  </r>
  <r>
    <x v="29"/>
    <x v="1"/>
    <n v="7"/>
    <n v="33"/>
    <n v="83"/>
    <n v="69"/>
    <n v="23"/>
    <n v="3"/>
    <n v="20"/>
    <n v="0.3"/>
    <n v="0.26"/>
    <n v="6"/>
    <x v="132"/>
  </r>
  <r>
    <x v="29"/>
    <x v="1"/>
    <n v="5"/>
    <n v="32"/>
    <n v="86"/>
    <n v="52"/>
    <n v="21"/>
    <n v="5"/>
    <n v="16"/>
    <n v="0.4"/>
    <n v="0.38"/>
    <n v="8"/>
    <x v="35"/>
  </r>
  <r>
    <x v="29"/>
    <x v="1"/>
    <n v="6"/>
    <n v="28"/>
    <n v="82"/>
    <n v="53"/>
    <n v="18"/>
    <n v="4"/>
    <n v="14"/>
    <n v="0.3"/>
    <n v="0.56000000000000005"/>
    <n v="10"/>
    <x v="100"/>
  </r>
  <r>
    <x v="29"/>
    <x v="1"/>
    <n v="7"/>
    <n v="28"/>
    <n v="80"/>
    <n v="51"/>
    <n v="17"/>
    <n v="2"/>
    <n v="15"/>
    <n v="0.3"/>
    <n v="0.41"/>
    <n v="7"/>
    <x v="55"/>
  </r>
  <r>
    <x v="29"/>
    <x v="1"/>
    <n v="12"/>
    <n v="28"/>
    <n v="70"/>
    <n v="43"/>
    <n v="18"/>
    <n v="5"/>
    <n v="12"/>
    <n v="0.4"/>
    <n v="0.44"/>
    <n v="8"/>
    <x v="132"/>
  </r>
  <r>
    <x v="29"/>
    <x v="1"/>
    <n v="10"/>
    <n v="29"/>
    <n v="74"/>
    <n v="41"/>
    <n v="16"/>
    <n v="4"/>
    <n v="12"/>
    <n v="0.4"/>
    <n v="0.81"/>
    <n v="13"/>
    <x v="84"/>
  </r>
  <r>
    <x v="29"/>
    <x v="1"/>
    <n v="16"/>
    <n v="18"/>
    <n v="53"/>
    <n v="37"/>
    <n v="12"/>
    <n v="3"/>
    <n v="9"/>
    <n v="0.3"/>
    <n v="0.67"/>
    <n v="8"/>
    <x v="100"/>
  </r>
  <r>
    <x v="29"/>
    <x v="1"/>
    <n v="12"/>
    <n v="10"/>
    <n v="45"/>
    <n v="27"/>
    <n v="7"/>
    <n v="2"/>
    <n v="5"/>
    <n v="0.3"/>
    <n v="0.56999999999999995"/>
    <n v="4"/>
    <x v="11"/>
  </r>
  <r>
    <x v="29"/>
    <x v="1"/>
    <n v="20"/>
    <n v="10"/>
    <n v="33"/>
    <n v="18"/>
    <n v="5"/>
    <n v="1"/>
    <n v="5"/>
    <n v="0.3"/>
    <n v="0.4"/>
    <n v="2"/>
    <x v="91"/>
  </r>
  <r>
    <x v="29"/>
    <x v="1"/>
    <n v="3"/>
    <n v="5"/>
    <n v="63"/>
    <n v="24"/>
    <n v="9"/>
    <n v="1"/>
    <n v="7"/>
    <n v="0.4"/>
    <n v="0.33"/>
    <n v="3"/>
    <x v="74"/>
  </r>
  <r>
    <x v="29"/>
    <x v="1"/>
    <n v="2"/>
    <n v="13"/>
    <n v="87"/>
    <n v="34"/>
    <n v="14"/>
    <n v="4"/>
    <n v="11"/>
    <n v="0.4"/>
    <n v="0.71"/>
    <n v="10"/>
    <x v="85"/>
  </r>
  <r>
    <x v="29"/>
    <x v="1"/>
    <n v="8"/>
    <n v="22"/>
    <n v="73"/>
    <n v="40"/>
    <n v="19"/>
    <n v="5"/>
    <n v="13"/>
    <n v="0.5"/>
    <n v="0.68"/>
    <n v="13"/>
    <x v="91"/>
  </r>
  <r>
    <x v="29"/>
    <x v="1"/>
    <n v="4"/>
    <n v="38"/>
    <n v="90"/>
    <n v="47"/>
    <n v="24"/>
    <n v="7"/>
    <n v="17"/>
    <n v="0.5"/>
    <n v="0.79"/>
    <n v="19"/>
    <x v="93"/>
  </r>
  <r>
    <x v="29"/>
    <x v="1"/>
    <n v="2"/>
    <n v="33"/>
    <n v="94"/>
    <n v="59"/>
    <n v="26"/>
    <n v="5"/>
    <n v="21"/>
    <n v="0.4"/>
    <n v="0.57999999999999996"/>
    <n v="15"/>
    <x v="55"/>
  </r>
  <r>
    <x v="29"/>
    <x v="1"/>
    <n v="3"/>
    <n v="41"/>
    <n v="93"/>
    <n v="74"/>
    <n v="30"/>
    <n v="8"/>
    <n v="22"/>
    <n v="0.4"/>
    <n v="0.7"/>
    <n v="21"/>
    <x v="2"/>
  </r>
  <r>
    <x v="29"/>
    <x v="1"/>
    <n v="3"/>
    <n v="59"/>
    <n v="95"/>
    <n v="88"/>
    <n v="35"/>
    <n v="10"/>
    <n v="25"/>
    <n v="0.4"/>
    <n v="0.77"/>
    <n v="27"/>
    <x v="32"/>
  </r>
  <r>
    <x v="30"/>
    <x v="2"/>
    <n v="6"/>
    <n v="59"/>
    <n v="91"/>
    <n v="95"/>
    <n v="40"/>
    <n v="9"/>
    <n v="31"/>
    <n v="0.4"/>
    <n v="0.7"/>
    <n v="28"/>
    <x v="9"/>
  </r>
  <r>
    <x v="30"/>
    <x v="2"/>
    <n v="6"/>
    <n v="40"/>
    <n v="87"/>
    <n v="106"/>
    <n v="46"/>
    <n v="4"/>
    <n v="42"/>
    <n v="0.4"/>
    <n v="0.28000000000000003"/>
    <n v="13"/>
    <x v="92"/>
  </r>
  <r>
    <x v="30"/>
    <x v="2"/>
    <n v="6"/>
    <n v="49"/>
    <n v="89"/>
    <n v="108"/>
    <n v="44"/>
    <n v="7"/>
    <n v="36"/>
    <n v="0.4"/>
    <n v="0.41"/>
    <n v="18"/>
    <x v="30"/>
  </r>
  <r>
    <x v="30"/>
    <x v="2"/>
    <n v="7"/>
    <n v="52"/>
    <n v="88"/>
    <n v="108"/>
    <n v="42"/>
    <n v="12"/>
    <n v="31"/>
    <n v="0.4"/>
    <n v="0.55000000000000004"/>
    <n v="23"/>
    <x v="8"/>
  </r>
  <r>
    <x v="30"/>
    <x v="2"/>
    <n v="10"/>
    <n v="76"/>
    <n v="88"/>
    <n v="102"/>
    <n v="40"/>
    <n v="15"/>
    <n v="24"/>
    <n v="0.4"/>
    <n v="0.68"/>
    <n v="27"/>
    <x v="59"/>
  </r>
  <r>
    <x v="30"/>
    <x v="2"/>
    <n v="16"/>
    <n v="66"/>
    <n v="80"/>
    <n v="83"/>
    <n v="37"/>
    <n v="22"/>
    <n v="15"/>
    <n v="0.4"/>
    <n v="0.78"/>
    <n v="29"/>
    <x v="90"/>
  </r>
  <r>
    <x v="30"/>
    <x v="2"/>
    <n v="11"/>
    <n v="51"/>
    <n v="82"/>
    <n v="82"/>
    <n v="25"/>
    <n v="11"/>
    <n v="14"/>
    <n v="0.3"/>
    <n v="1"/>
    <n v="25"/>
    <x v="32"/>
  </r>
  <r>
    <x v="30"/>
    <x v="2"/>
    <n v="17"/>
    <n v="32"/>
    <n v="65"/>
    <n v="63"/>
    <n v="22"/>
    <n v="10"/>
    <n v="11"/>
    <n v="0.3"/>
    <n v="0.68"/>
    <n v="15"/>
    <x v="112"/>
  </r>
  <r>
    <x v="30"/>
    <x v="2"/>
    <n v="38"/>
    <n v="46"/>
    <n v="55"/>
    <n v="62"/>
    <n v="22"/>
    <n v="10"/>
    <n v="11"/>
    <n v="0.4"/>
    <n v="0.86"/>
    <n v="19"/>
    <x v="76"/>
  </r>
  <r>
    <x v="30"/>
    <x v="2"/>
    <n v="12"/>
    <n v="38"/>
    <n v="76"/>
    <n v="65"/>
    <n v="21"/>
    <n v="6"/>
    <n v="15"/>
    <n v="0.3"/>
    <n v="0.56999999999999995"/>
    <n v="12"/>
    <x v="69"/>
  </r>
  <r>
    <x v="30"/>
    <x v="2"/>
    <n v="10"/>
    <n v="34"/>
    <n v="77"/>
    <n v="65"/>
    <n v="23"/>
    <n v="4"/>
    <n v="18"/>
    <n v="0.4"/>
    <n v="0.39"/>
    <n v="9"/>
    <x v="2"/>
  </r>
  <r>
    <x v="30"/>
    <x v="2"/>
    <n v="15"/>
    <n v="30"/>
    <n v="67"/>
    <n v="58"/>
    <n v="22"/>
    <n v="6"/>
    <n v="16"/>
    <n v="0.4"/>
    <n v="0.45"/>
    <n v="10"/>
    <x v="16"/>
  </r>
  <r>
    <x v="30"/>
    <x v="2"/>
    <n v="9"/>
    <n v="30"/>
    <n v="77"/>
    <n v="56"/>
    <n v="23"/>
    <n v="5"/>
    <n v="18"/>
    <n v="0.4"/>
    <n v="0.39"/>
    <n v="9"/>
    <x v="84"/>
  </r>
  <r>
    <x v="30"/>
    <x v="2"/>
    <n v="14"/>
    <n v="50"/>
    <n v="78"/>
    <n v="67"/>
    <n v="27"/>
    <n v="10"/>
    <n v="17"/>
    <n v="0.4"/>
    <n v="0.67"/>
    <n v="18"/>
    <x v="98"/>
  </r>
  <r>
    <x v="30"/>
    <x v="2"/>
    <n v="25"/>
    <n v="48"/>
    <n v="66"/>
    <n v="58"/>
    <n v="24"/>
    <n v="12"/>
    <n v="12"/>
    <n v="0.4"/>
    <n v="1.04"/>
    <n v="25"/>
    <x v="139"/>
  </r>
  <r>
    <x v="30"/>
    <x v="2"/>
    <n v="26"/>
    <n v="34"/>
    <n v="57"/>
    <n v="48"/>
    <n v="16"/>
    <n v="8"/>
    <n v="8"/>
    <n v="0.3"/>
    <n v="1"/>
    <n v="16"/>
    <x v="67"/>
  </r>
  <r>
    <x v="30"/>
    <x v="2"/>
    <n v="18"/>
    <n v="26"/>
    <n v="59"/>
    <n v="38"/>
    <n v="9"/>
    <n v="3"/>
    <n v="6"/>
    <n v="0.2"/>
    <n v="1.22"/>
    <n v="11"/>
    <x v="2"/>
  </r>
  <r>
    <x v="30"/>
    <x v="2"/>
    <n v="7"/>
    <n v="2"/>
    <n v="22"/>
    <n v="19"/>
    <n v="5"/>
    <n v="1"/>
    <n v="4"/>
    <n v="0.3"/>
    <n v="0.2"/>
    <n v="1"/>
    <x v="108"/>
  </r>
  <r>
    <x v="30"/>
    <x v="2"/>
    <n v="9"/>
    <n v="3"/>
    <n v="25"/>
    <n v="20"/>
    <n v="7"/>
    <n v="1"/>
    <n v="5"/>
    <n v="0.3"/>
    <n v="0.28999999999999998"/>
    <n v="2"/>
    <x v="12"/>
  </r>
  <r>
    <x v="30"/>
    <x v="2"/>
    <n v="12"/>
    <n v="20"/>
    <n v="63"/>
    <n v="27"/>
    <n v="12"/>
    <n v="4"/>
    <n v="8"/>
    <n v="0.4"/>
    <n v="0.75"/>
    <n v="9"/>
    <x v="33"/>
  </r>
  <r>
    <x v="30"/>
    <x v="2"/>
    <n v="7"/>
    <n v="30"/>
    <n v="81"/>
    <n v="40"/>
    <n v="20"/>
    <n v="4"/>
    <n v="16"/>
    <n v="0.5"/>
    <n v="0.6"/>
    <n v="12"/>
    <x v="35"/>
  </r>
  <r>
    <x v="30"/>
    <x v="2"/>
    <n v="1"/>
    <n v="19"/>
    <n v="95"/>
    <n v="45"/>
    <n v="24"/>
    <n v="1"/>
    <n v="23"/>
    <n v="0.5"/>
    <n v="0.17"/>
    <n v="4"/>
    <x v="122"/>
  </r>
  <r>
    <x v="30"/>
    <x v="2"/>
    <n v="3"/>
    <n v="31"/>
    <n v="91"/>
    <n v="61"/>
    <n v="28"/>
    <n v="5"/>
    <n v="23"/>
    <n v="0.5"/>
    <n v="0.56999999999999995"/>
    <n v="16"/>
    <x v="100"/>
  </r>
  <r>
    <x v="30"/>
    <x v="2"/>
    <n v="5"/>
    <n v="44"/>
    <n v="90"/>
    <n v="62"/>
    <n v="30"/>
    <n v="8"/>
    <n v="22"/>
    <n v="0.5"/>
    <n v="0.8"/>
    <n v="24"/>
    <x v="112"/>
  </r>
  <r>
    <x v="31"/>
    <x v="3"/>
    <n v="11"/>
    <n v="66"/>
    <n v="86"/>
    <n v="68"/>
    <n v="30"/>
    <n v="11"/>
    <n v="19"/>
    <n v="0.4"/>
    <n v="0.83"/>
    <n v="25"/>
    <x v="58"/>
  </r>
  <r>
    <x v="31"/>
    <x v="3"/>
    <n v="5"/>
    <n v="78"/>
    <n v="94"/>
    <n v="77"/>
    <n v="34"/>
    <n v="13"/>
    <n v="21"/>
    <n v="0.4"/>
    <n v="1.1200000000000001"/>
    <n v="38"/>
    <x v="109"/>
  </r>
  <r>
    <x v="31"/>
    <x v="3"/>
    <n v="6"/>
    <n v="77"/>
    <n v="93"/>
    <n v="95"/>
    <n v="38"/>
    <n v="11"/>
    <n v="27"/>
    <n v="0.4"/>
    <n v="0.76"/>
    <n v="29"/>
    <x v="109"/>
  </r>
  <r>
    <x v="31"/>
    <x v="3"/>
    <n v="8"/>
    <n v="70"/>
    <n v="90"/>
    <n v="97"/>
    <n v="42"/>
    <n v="9"/>
    <n v="33"/>
    <n v="0.4"/>
    <n v="0.55000000000000004"/>
    <n v="23"/>
    <x v="117"/>
  </r>
  <r>
    <x v="31"/>
    <x v="3"/>
    <n v="15"/>
    <n v="76"/>
    <n v="84"/>
    <n v="87"/>
    <n v="38"/>
    <n v="14"/>
    <n v="24"/>
    <n v="0.4"/>
    <n v="0.45"/>
    <n v="17"/>
    <x v="50"/>
  </r>
  <r>
    <x v="31"/>
    <x v="3"/>
    <n v="34"/>
    <n v="93"/>
    <n v="73"/>
    <n v="83"/>
    <n v="31"/>
    <n v="18"/>
    <n v="13"/>
    <n v="0.4"/>
    <n v="1"/>
    <n v="31"/>
    <x v="142"/>
  </r>
  <r>
    <x v="31"/>
    <x v="3"/>
    <n v="22"/>
    <n v="61"/>
    <n v="73"/>
    <n v="82"/>
    <n v="26"/>
    <n v="9"/>
    <n v="17"/>
    <n v="0.3"/>
    <n v="0.69"/>
    <n v="18"/>
    <x v="109"/>
  </r>
  <r>
    <x v="31"/>
    <x v="3"/>
    <n v="21"/>
    <n v="41"/>
    <n v="66"/>
    <n v="71"/>
    <n v="22"/>
    <n v="6"/>
    <n v="17"/>
    <n v="0.3"/>
    <n v="0.59"/>
    <n v="13"/>
    <x v="32"/>
  </r>
  <r>
    <x v="31"/>
    <x v="3"/>
    <n v="17"/>
    <n v="40"/>
    <n v="70"/>
    <n v="63"/>
    <n v="19"/>
    <n v="4"/>
    <n v="15"/>
    <n v="0.3"/>
    <n v="0.37"/>
    <n v="7"/>
    <x v="137"/>
  </r>
  <r>
    <x v="31"/>
    <x v="3"/>
    <n v="8"/>
    <n v="24"/>
    <n v="75"/>
    <n v="60"/>
    <n v="21"/>
    <n v="2"/>
    <n v="19"/>
    <n v="0.3"/>
    <n v="0.19"/>
    <n v="4"/>
    <x v="33"/>
  </r>
  <r>
    <x v="31"/>
    <x v="3"/>
    <n v="16"/>
    <n v="19"/>
    <n v="54"/>
    <n v="51"/>
    <n v="19"/>
    <n v="4"/>
    <n v="15"/>
    <n v="0.4"/>
    <n v="0.32"/>
    <n v="6"/>
    <x v="55"/>
  </r>
  <r>
    <x v="31"/>
    <x v="3"/>
    <n v="10"/>
    <n v="29"/>
    <n v="74"/>
    <n v="71"/>
    <n v="24"/>
    <n v="4"/>
    <n v="21"/>
    <n v="0.3"/>
    <n v="0.46"/>
    <n v="11"/>
    <x v="84"/>
  </r>
  <r>
    <x v="31"/>
    <x v="3"/>
    <n v="8"/>
    <n v="32"/>
    <n v="80"/>
    <n v="74"/>
    <n v="26"/>
    <n v="4"/>
    <n v="22"/>
    <n v="0.4"/>
    <n v="0.23"/>
    <n v="6"/>
    <x v="132"/>
  </r>
  <r>
    <x v="31"/>
    <x v="3"/>
    <n v="17"/>
    <n v="49"/>
    <n v="74"/>
    <n v="78"/>
    <n v="35"/>
    <n v="12"/>
    <n v="23"/>
    <n v="0.4"/>
    <n v="0.56999999999999995"/>
    <n v="20"/>
    <x v="65"/>
  </r>
  <r>
    <x v="31"/>
    <x v="3"/>
    <n v="33"/>
    <n v="56"/>
    <n v="63"/>
    <n v="74"/>
    <n v="32"/>
    <n v="18"/>
    <n v="14"/>
    <n v="0.4"/>
    <n v="0.94"/>
    <n v="30"/>
    <x v="4"/>
  </r>
  <r>
    <x v="31"/>
    <x v="3"/>
    <n v="23"/>
    <n v="45"/>
    <n v="66"/>
    <n v="59"/>
    <n v="23"/>
    <n v="11"/>
    <n v="13"/>
    <n v="0.4"/>
    <n v="0.96"/>
    <n v="22"/>
    <x v="136"/>
  </r>
  <r>
    <x v="31"/>
    <x v="3"/>
    <n v="22"/>
    <n v="16"/>
    <n v="42"/>
    <n v="34"/>
    <n v="9"/>
    <n v="4"/>
    <n v="5"/>
    <n v="0.3"/>
    <n v="1.1100000000000001"/>
    <n v="10"/>
    <x v="81"/>
  </r>
  <r>
    <x v="31"/>
    <x v="3"/>
    <n v="6"/>
    <n v="3"/>
    <n v="33"/>
    <n v="29"/>
    <n v="7"/>
    <n v="0"/>
    <n v="7"/>
    <n v="0.2"/>
    <n v="0.28999999999999998"/>
    <n v="2"/>
    <x v="108"/>
  </r>
  <r>
    <x v="31"/>
    <x v="3"/>
    <n v="1"/>
    <n v="3"/>
    <n v="75"/>
    <n v="28"/>
    <n v="10"/>
    <n v="1"/>
    <n v="9"/>
    <n v="0.4"/>
    <n v="0"/>
    <n v="0"/>
    <x v="72"/>
  </r>
  <r>
    <x v="31"/>
    <x v="3"/>
    <n v="6"/>
    <n v="9"/>
    <n v="60"/>
    <n v="30"/>
    <n v="12"/>
    <n v="2"/>
    <n v="11"/>
    <n v="0.4"/>
    <n v="0.25"/>
    <n v="3"/>
    <x v="85"/>
  </r>
  <r>
    <x v="31"/>
    <x v="3"/>
    <n v="16"/>
    <n v="19"/>
    <n v="54"/>
    <n v="37"/>
    <n v="16"/>
    <n v="4"/>
    <n v="12"/>
    <n v="0.4"/>
    <n v="0.5"/>
    <n v="8"/>
    <x v="55"/>
  </r>
  <r>
    <x v="31"/>
    <x v="3"/>
    <n v="4"/>
    <n v="22"/>
    <n v="85"/>
    <n v="40"/>
    <n v="21"/>
    <n v="3"/>
    <n v="18"/>
    <n v="0.5"/>
    <n v="0.24"/>
    <n v="5"/>
    <x v="113"/>
  </r>
  <r>
    <x v="31"/>
    <x v="3"/>
    <n v="4"/>
    <n v="19"/>
    <n v="83"/>
    <n v="55"/>
    <n v="25"/>
    <n v="2"/>
    <n v="23"/>
    <n v="0.5"/>
    <n v="0.32"/>
    <n v="8"/>
    <x v="107"/>
  </r>
  <r>
    <x v="31"/>
    <x v="3"/>
    <n v="3"/>
    <n v="37"/>
    <n v="93"/>
    <n v="65"/>
    <n v="32"/>
    <n v="5"/>
    <n v="27"/>
    <n v="0.5"/>
    <n v="0.28000000000000003"/>
    <n v="9"/>
    <x v="132"/>
  </r>
  <r>
    <x v="32"/>
    <x v="4"/>
    <n v="3"/>
    <n v="57"/>
    <n v="95"/>
    <n v="76"/>
    <n v="33"/>
    <n v="9"/>
    <n v="24"/>
    <n v="0.4"/>
    <n v="0.73"/>
    <n v="24"/>
    <x v="67"/>
  </r>
  <r>
    <x v="32"/>
    <x v="4"/>
    <n v="18"/>
    <n v="65"/>
    <n v="78"/>
    <n v="84"/>
    <n v="35"/>
    <n v="11"/>
    <n v="23"/>
    <n v="0.4"/>
    <n v="0.94"/>
    <n v="33"/>
    <x v="109"/>
  </r>
  <r>
    <x v="32"/>
    <x v="4"/>
    <n v="3"/>
    <n v="50"/>
    <n v="94"/>
    <n v="104"/>
    <n v="43"/>
    <n v="6"/>
    <n v="36"/>
    <n v="0.4"/>
    <n v="0.44"/>
    <n v="19"/>
    <x v="26"/>
  </r>
  <r>
    <x v="32"/>
    <x v="4"/>
    <n v="4"/>
    <n v="52"/>
    <n v="93"/>
    <n v="103"/>
    <n v="46"/>
    <n v="7"/>
    <n v="39"/>
    <n v="0.4"/>
    <n v="0.41"/>
    <n v="19"/>
    <x v="124"/>
  </r>
  <r>
    <x v="32"/>
    <x v="4"/>
    <n v="14"/>
    <n v="86"/>
    <n v="86"/>
    <n v="98"/>
    <n v="38"/>
    <n v="17"/>
    <n v="21"/>
    <n v="0.4"/>
    <n v="1.05"/>
    <n v="40"/>
    <x v="70"/>
  </r>
  <r>
    <x v="32"/>
    <x v="4"/>
    <n v="16"/>
    <n v="71"/>
    <n v="82"/>
    <n v="92"/>
    <n v="31"/>
    <n v="16"/>
    <n v="15"/>
    <n v="0.3"/>
    <n v="0.94"/>
    <n v="29"/>
    <x v="18"/>
  </r>
  <r>
    <x v="32"/>
    <x v="4"/>
    <n v="15"/>
    <n v="58"/>
    <n v="79"/>
    <n v="85"/>
    <n v="30"/>
    <n v="9"/>
    <n v="21"/>
    <n v="0.4"/>
    <n v="0.67"/>
    <n v="20"/>
    <x v="139"/>
  </r>
  <r>
    <x v="32"/>
    <x v="4"/>
    <n v="6"/>
    <n v="23"/>
    <n v="79"/>
    <n v="94"/>
    <n v="25"/>
    <n v="2"/>
    <n v="23"/>
    <n v="0.3"/>
    <n v="0.2"/>
    <n v="5"/>
    <x v="10"/>
  </r>
  <r>
    <x v="32"/>
    <x v="4"/>
    <n v="3"/>
    <n v="24"/>
    <n v="89"/>
    <n v="85"/>
    <n v="29"/>
    <n v="3"/>
    <n v="26"/>
    <n v="0.3"/>
    <n v="0.21"/>
    <n v="6"/>
    <x v="133"/>
  </r>
  <r>
    <x v="32"/>
    <x v="4"/>
    <n v="4"/>
    <n v="26"/>
    <n v="87"/>
    <n v="76"/>
    <n v="29"/>
    <n v="3"/>
    <n v="26"/>
    <n v="0.4"/>
    <n v="0.1"/>
    <n v="3"/>
    <x v="91"/>
  </r>
  <r>
    <x v="32"/>
    <x v="4"/>
    <n v="6"/>
    <n v="31"/>
    <n v="84"/>
    <n v="66"/>
    <n v="25"/>
    <n v="4"/>
    <n v="20"/>
    <n v="0.4"/>
    <n v="0.36"/>
    <n v="9"/>
    <x v="35"/>
  </r>
  <r>
    <x v="32"/>
    <x v="4"/>
    <n v="5"/>
    <n v="31"/>
    <n v="86"/>
    <n v="70"/>
    <n v="26"/>
    <n v="6"/>
    <n v="20"/>
    <n v="0.4"/>
    <n v="0.38"/>
    <n v="10"/>
    <x v="75"/>
  </r>
  <r>
    <x v="32"/>
    <x v="4"/>
    <n v="5"/>
    <n v="30"/>
    <n v="86"/>
    <n v="68"/>
    <n v="25"/>
    <n v="4"/>
    <n v="20"/>
    <n v="0.4"/>
    <n v="0.32"/>
    <n v="8"/>
    <x v="55"/>
  </r>
  <r>
    <x v="32"/>
    <x v="4"/>
    <n v="5"/>
    <n v="49"/>
    <n v="91"/>
    <n v="84"/>
    <n v="34"/>
    <n v="8"/>
    <n v="26"/>
    <n v="0.4"/>
    <n v="0.5"/>
    <n v="17"/>
    <x v="31"/>
  </r>
  <r>
    <x v="32"/>
    <x v="4"/>
    <n v="24"/>
    <n v="67"/>
    <n v="74"/>
    <n v="71"/>
    <n v="30"/>
    <n v="16"/>
    <n v="14"/>
    <n v="0.4"/>
    <n v="1.07"/>
    <n v="32"/>
    <x v="50"/>
  </r>
  <r>
    <x v="32"/>
    <x v="4"/>
    <n v="33"/>
    <n v="53"/>
    <n v="62"/>
    <n v="55"/>
    <n v="20"/>
    <n v="9"/>
    <n v="11"/>
    <n v="0.4"/>
    <n v="1"/>
    <n v="20"/>
    <x v="59"/>
  </r>
  <r>
    <x v="32"/>
    <x v="4"/>
    <n v="16"/>
    <n v="19"/>
    <n v="54"/>
    <n v="38"/>
    <n v="12"/>
    <n v="4"/>
    <n v="8"/>
    <n v="0.3"/>
    <n v="0.75"/>
    <n v="9"/>
    <x v="55"/>
  </r>
  <r>
    <x v="32"/>
    <x v="4"/>
    <n v="2"/>
    <n v="4"/>
    <n v="67"/>
    <n v="30"/>
    <n v="9"/>
    <n v="0"/>
    <n v="9"/>
    <n v="0.3"/>
    <n v="0"/>
    <n v="0"/>
    <x v="56"/>
  </r>
  <r>
    <x v="32"/>
    <x v="4"/>
    <n v="0"/>
    <n v="2"/>
    <n v="100"/>
    <n v="25"/>
    <n v="9"/>
    <n v="0"/>
    <n v="9"/>
    <n v="0.4"/>
    <n v="0"/>
    <n v="0"/>
    <x v="101"/>
  </r>
  <r>
    <x v="32"/>
    <x v="4"/>
    <n v="2"/>
    <n v="3"/>
    <n v="60"/>
    <n v="27"/>
    <n v="11"/>
    <n v="0"/>
    <n v="11"/>
    <n v="0.4"/>
    <n v="0.09"/>
    <n v="1"/>
    <x v="14"/>
  </r>
  <r>
    <x v="32"/>
    <x v="4"/>
    <n v="1"/>
    <n v="6"/>
    <n v="86"/>
    <n v="26"/>
    <n v="13"/>
    <n v="1"/>
    <n v="12"/>
    <n v="0.5"/>
    <n v="0.15"/>
    <n v="2"/>
    <x v="102"/>
  </r>
  <r>
    <x v="32"/>
    <x v="4"/>
    <n v="1"/>
    <n v="4"/>
    <n v="80"/>
    <n v="34"/>
    <n v="13"/>
    <n v="1"/>
    <n v="12"/>
    <n v="0.4"/>
    <n v="0.15"/>
    <n v="2"/>
    <x v="14"/>
  </r>
  <r>
    <x v="32"/>
    <x v="4"/>
    <n v="2"/>
    <n v="19"/>
    <n v="90"/>
    <n v="46"/>
    <n v="19"/>
    <n v="2"/>
    <n v="17"/>
    <n v="0.4"/>
    <n v="0.37"/>
    <n v="7"/>
    <x v="86"/>
  </r>
  <r>
    <x v="32"/>
    <x v="4"/>
    <n v="6"/>
    <n v="39"/>
    <n v="87"/>
    <n v="54"/>
    <n v="24"/>
    <n v="5"/>
    <n v="19"/>
    <n v="0.4"/>
    <n v="0.5"/>
    <n v="12"/>
    <x v="16"/>
  </r>
  <r>
    <x v="33"/>
    <x v="5"/>
    <n v="0"/>
    <n v="43"/>
    <n v="100"/>
    <n v="63"/>
    <n v="24"/>
    <n v="5"/>
    <n v="19"/>
    <n v="0.4"/>
    <n v="0.63"/>
    <n v="15"/>
    <x v="66"/>
  </r>
  <r>
    <x v="33"/>
    <x v="5"/>
    <n v="11"/>
    <n v="51"/>
    <n v="82"/>
    <n v="68"/>
    <n v="28"/>
    <n v="8"/>
    <n v="20"/>
    <n v="0.4"/>
    <n v="0.71"/>
    <n v="20"/>
    <x v="32"/>
  </r>
  <r>
    <x v="33"/>
    <x v="5"/>
    <n v="6"/>
    <n v="44"/>
    <n v="88"/>
    <n v="69"/>
    <n v="31"/>
    <n v="5"/>
    <n v="26"/>
    <n v="0.4"/>
    <n v="0.57999999999999996"/>
    <n v="18"/>
    <x v="69"/>
  </r>
  <r>
    <x v="33"/>
    <x v="5"/>
    <n v="13"/>
    <n v="49"/>
    <n v="79"/>
    <n v="84"/>
    <n v="33"/>
    <n v="11"/>
    <n v="22"/>
    <n v="0.4"/>
    <n v="0.55000000000000004"/>
    <n v="18"/>
    <x v="32"/>
  </r>
  <r>
    <x v="33"/>
    <x v="5"/>
    <n v="17"/>
    <n v="75"/>
    <n v="82"/>
    <n v="85"/>
    <n v="31"/>
    <n v="14"/>
    <n v="17"/>
    <n v="0.4"/>
    <n v="1"/>
    <n v="31"/>
    <x v="88"/>
  </r>
  <r>
    <x v="33"/>
    <x v="5"/>
    <n v="13"/>
    <n v="60"/>
    <n v="82"/>
    <n v="78"/>
    <n v="29"/>
    <n v="13"/>
    <n v="16"/>
    <n v="0.4"/>
    <n v="0.93"/>
    <n v="27"/>
    <x v="139"/>
  </r>
  <r>
    <x v="33"/>
    <x v="5"/>
    <n v="15"/>
    <n v="50"/>
    <n v="77"/>
    <n v="83"/>
    <n v="23"/>
    <n v="8"/>
    <n v="15"/>
    <n v="0.3"/>
    <n v="0.65"/>
    <n v="15"/>
    <x v="9"/>
  </r>
  <r>
    <x v="33"/>
    <x v="5"/>
    <n v="6"/>
    <n v="37"/>
    <n v="86"/>
    <n v="80"/>
    <n v="25"/>
    <n v="3"/>
    <n v="23"/>
    <n v="0.3"/>
    <n v="0.32"/>
    <n v="8"/>
    <x v="66"/>
  </r>
  <r>
    <x v="33"/>
    <x v="5"/>
    <n v="5"/>
    <n v="16"/>
    <n v="76"/>
    <n v="76"/>
    <n v="20"/>
    <n v="1"/>
    <n v="19"/>
    <n v="0.3"/>
    <n v="0.2"/>
    <n v="4"/>
    <x v="86"/>
  </r>
  <r>
    <x v="33"/>
    <x v="5"/>
    <n v="5"/>
    <n v="21"/>
    <n v="81"/>
    <n v="66"/>
    <n v="19"/>
    <n v="3"/>
    <n v="16"/>
    <n v="0.3"/>
    <n v="0.21"/>
    <n v="4"/>
    <x v="113"/>
  </r>
  <r>
    <x v="33"/>
    <x v="5"/>
    <n v="3"/>
    <n v="22"/>
    <n v="88"/>
    <n v="61"/>
    <n v="22"/>
    <n v="3"/>
    <n v="20"/>
    <n v="0.4"/>
    <n v="0.27"/>
    <n v="6"/>
    <x v="114"/>
  </r>
  <r>
    <x v="33"/>
    <x v="5"/>
    <n v="7"/>
    <n v="34"/>
    <n v="83"/>
    <n v="63"/>
    <n v="19"/>
    <n v="3"/>
    <n v="15"/>
    <n v="0.3"/>
    <n v="0.42"/>
    <n v="8"/>
    <x v="0"/>
  </r>
  <r>
    <x v="33"/>
    <x v="5"/>
    <n v="2"/>
    <n v="24"/>
    <n v="92"/>
    <n v="67"/>
    <n v="22"/>
    <n v="3"/>
    <n v="19"/>
    <n v="0.3"/>
    <n v="0.32"/>
    <n v="7"/>
    <x v="113"/>
  </r>
  <r>
    <x v="33"/>
    <x v="5"/>
    <n v="13"/>
    <n v="34"/>
    <n v="72"/>
    <n v="66"/>
    <n v="27"/>
    <n v="8"/>
    <n v="19"/>
    <n v="0.4"/>
    <n v="0.44"/>
    <n v="12"/>
    <x v="94"/>
  </r>
  <r>
    <x v="33"/>
    <x v="5"/>
    <n v="41"/>
    <n v="52"/>
    <n v="56"/>
    <n v="59"/>
    <n v="24"/>
    <n v="15"/>
    <n v="9"/>
    <n v="0.4"/>
    <n v="1.21"/>
    <n v="29"/>
    <x v="1"/>
  </r>
  <r>
    <x v="33"/>
    <x v="5"/>
    <n v="58"/>
    <n v="35"/>
    <n v="38"/>
    <n v="44"/>
    <n v="14"/>
    <n v="8"/>
    <n v="7"/>
    <n v="0.3"/>
    <n v="1.07"/>
    <n v="15"/>
    <x v="1"/>
  </r>
  <r>
    <x v="33"/>
    <x v="5"/>
    <n v="27"/>
    <n v="14"/>
    <n v="34"/>
    <n v="32"/>
    <n v="10"/>
    <n v="3"/>
    <n v="7"/>
    <n v="0.3"/>
    <n v="0.6"/>
    <n v="6"/>
    <x v="0"/>
  </r>
  <r>
    <x v="33"/>
    <x v="5"/>
    <n v="2"/>
    <n v="4"/>
    <n v="67"/>
    <n v="25"/>
    <n v="11"/>
    <n v="1"/>
    <n v="11"/>
    <n v="0.4"/>
    <n v="0.36"/>
    <n v="4"/>
    <x v="56"/>
  </r>
  <r>
    <x v="33"/>
    <x v="5"/>
    <n v="2"/>
    <n v="1"/>
    <n v="33"/>
    <n v="23"/>
    <n v="10"/>
    <n v="0"/>
    <n v="10"/>
    <n v="0.4"/>
    <n v="0"/>
    <n v="0"/>
    <x v="73"/>
  </r>
  <r>
    <x v="33"/>
    <x v="5"/>
    <n v="1"/>
    <n v="1"/>
    <n v="50"/>
    <n v="22"/>
    <n v="10"/>
    <n v="0"/>
    <n v="10"/>
    <n v="0.5"/>
    <n v="0"/>
    <n v="0"/>
    <x v="101"/>
  </r>
  <r>
    <x v="33"/>
    <x v="5"/>
    <n v="1"/>
    <n v="2"/>
    <n v="67"/>
    <n v="25"/>
    <n v="12"/>
    <n v="0"/>
    <n v="12"/>
    <n v="0.5"/>
    <n v="0"/>
    <n v="0"/>
    <x v="73"/>
  </r>
  <r>
    <x v="33"/>
    <x v="5"/>
    <n v="0"/>
    <n v="5"/>
    <n v="100"/>
    <n v="26"/>
    <n v="14"/>
    <n v="1"/>
    <n v="14"/>
    <n v="0.5"/>
    <n v="0.14000000000000001"/>
    <n v="2"/>
    <x v="14"/>
  </r>
  <r>
    <x v="33"/>
    <x v="5"/>
    <n v="1"/>
    <n v="4"/>
    <n v="80"/>
    <n v="39"/>
    <n v="15"/>
    <n v="0"/>
    <n v="15"/>
    <n v="0.4"/>
    <n v="7.0000000000000007E-2"/>
    <n v="1"/>
    <x v="14"/>
  </r>
  <r>
    <x v="33"/>
    <x v="5"/>
    <n v="4"/>
    <n v="23"/>
    <n v="85"/>
    <n v="46"/>
    <n v="21"/>
    <n v="4"/>
    <n v="17"/>
    <n v="0.5"/>
    <n v="0.43"/>
    <n v="9"/>
    <x v="133"/>
  </r>
  <r>
    <x v="34"/>
    <x v="6"/>
    <n v="10"/>
    <n v="26"/>
    <n v="72"/>
    <n v="52"/>
    <n v="21"/>
    <n v="6"/>
    <n v="16"/>
    <n v="0.4"/>
    <n v="0.71"/>
    <n v="15"/>
    <x v="75"/>
  </r>
  <r>
    <x v="34"/>
    <x v="6"/>
    <n v="7"/>
    <n v="31"/>
    <n v="82"/>
    <n v="65"/>
    <n v="27"/>
    <n v="5"/>
    <n v="22"/>
    <n v="0.4"/>
    <n v="0.48"/>
    <n v="13"/>
    <x v="81"/>
  </r>
  <r>
    <x v="34"/>
    <x v="6"/>
    <n v="4"/>
    <n v="38"/>
    <n v="90"/>
    <n v="76"/>
    <n v="35"/>
    <n v="7"/>
    <n v="28"/>
    <n v="0.5"/>
    <n v="0.56999999999999995"/>
    <n v="20"/>
    <x v="93"/>
  </r>
  <r>
    <x v="34"/>
    <x v="6"/>
    <n v="6"/>
    <n v="37"/>
    <n v="86"/>
    <n v="85"/>
    <n v="31"/>
    <n v="7"/>
    <n v="24"/>
    <n v="0.4"/>
    <n v="0.65"/>
    <n v="20"/>
    <x v="66"/>
  </r>
  <r>
    <x v="34"/>
    <x v="6"/>
    <n v="10"/>
    <n v="54"/>
    <n v="84"/>
    <n v="94"/>
    <n v="33"/>
    <n v="9"/>
    <n v="24"/>
    <n v="0.4"/>
    <n v="0.48"/>
    <n v="16"/>
    <x v="98"/>
  </r>
  <r>
    <x v="34"/>
    <x v="6"/>
    <n v="11"/>
    <n v="59"/>
    <n v="84"/>
    <n v="74"/>
    <n v="28"/>
    <n v="14"/>
    <n v="14"/>
    <n v="0.4"/>
    <n v="0.86"/>
    <n v="24"/>
    <x v="6"/>
  </r>
  <r>
    <x v="34"/>
    <x v="6"/>
    <n v="0"/>
    <n v="37"/>
    <n v="100"/>
    <n v="71"/>
    <n v="31"/>
    <n v="7"/>
    <n v="25"/>
    <n v="0.4"/>
    <n v="0.52"/>
    <n v="16"/>
    <x v="35"/>
  </r>
  <r>
    <x v="34"/>
    <x v="6"/>
    <n v="5"/>
    <n v="28"/>
    <n v="85"/>
    <n v="65"/>
    <n v="21"/>
    <n v="3"/>
    <n v="18"/>
    <n v="0.3"/>
    <n v="0.43"/>
    <n v="9"/>
    <x v="123"/>
  </r>
  <r>
    <x v="34"/>
    <x v="6"/>
    <n v="2"/>
    <n v="23"/>
    <n v="92"/>
    <n v="68"/>
    <n v="27"/>
    <n v="2"/>
    <n v="24"/>
    <n v="0.4"/>
    <n v="0.11"/>
    <n v="3"/>
    <x v="114"/>
  </r>
  <r>
    <x v="34"/>
    <x v="6"/>
    <n v="7"/>
    <n v="21"/>
    <n v="75"/>
    <n v="68"/>
    <n v="25"/>
    <n v="2"/>
    <n v="23"/>
    <n v="0.4"/>
    <n v="0.2"/>
    <n v="5"/>
    <x v="99"/>
  </r>
  <r>
    <x v="34"/>
    <x v="6"/>
    <n v="4"/>
    <n v="25"/>
    <n v="86"/>
    <n v="68"/>
    <n v="25"/>
    <n v="2"/>
    <n v="23"/>
    <n v="0.4"/>
    <n v="0.16"/>
    <n v="4"/>
    <x v="10"/>
  </r>
  <r>
    <x v="34"/>
    <x v="6"/>
    <n v="3"/>
    <n v="19"/>
    <n v="86"/>
    <n v="72"/>
    <n v="25"/>
    <n v="2"/>
    <n v="23"/>
    <n v="0.3"/>
    <n v="0.16"/>
    <n v="4"/>
    <x v="11"/>
  </r>
  <r>
    <x v="34"/>
    <x v="6"/>
    <n v="5"/>
    <n v="22"/>
    <n v="81"/>
    <n v="69"/>
    <n v="27"/>
    <n v="4"/>
    <n v="23"/>
    <n v="0.4"/>
    <n v="0.3"/>
    <n v="8"/>
    <x v="133"/>
  </r>
  <r>
    <x v="34"/>
    <x v="6"/>
    <n v="12"/>
    <n v="43"/>
    <n v="78"/>
    <n v="65"/>
    <n v="24"/>
    <n v="7"/>
    <n v="17"/>
    <n v="0.4"/>
    <n v="0.54"/>
    <n v="13"/>
    <x v="30"/>
  </r>
  <r>
    <x v="34"/>
    <x v="6"/>
    <n v="43"/>
    <n v="42"/>
    <n v="49"/>
    <n v="55"/>
    <n v="20"/>
    <n v="12"/>
    <n v="7"/>
    <n v="0.4"/>
    <n v="0.95"/>
    <n v="19"/>
    <x v="52"/>
  </r>
  <r>
    <x v="34"/>
    <x v="6"/>
    <n v="38"/>
    <n v="39"/>
    <n v="51"/>
    <n v="47"/>
    <n v="16"/>
    <n v="9"/>
    <n v="7"/>
    <n v="0.3"/>
    <n v="1.19"/>
    <n v="19"/>
    <x v="58"/>
  </r>
  <r>
    <x v="34"/>
    <x v="6"/>
    <n v="22"/>
    <n v="25"/>
    <n v="53"/>
    <n v="37"/>
    <n v="9"/>
    <n v="4"/>
    <n v="6"/>
    <n v="0.2"/>
    <n v="1.1100000000000001"/>
    <n v="10"/>
    <x v="94"/>
  </r>
  <r>
    <x v="34"/>
    <x v="6"/>
    <n v="1"/>
    <n v="5"/>
    <n v="83"/>
    <n v="23"/>
    <n v="7"/>
    <n v="1"/>
    <n v="6"/>
    <n v="0.3"/>
    <n v="0.14000000000000001"/>
    <n v="1"/>
    <x v="56"/>
  </r>
  <r>
    <x v="34"/>
    <x v="6"/>
    <n v="4"/>
    <n v="4"/>
    <n v="50"/>
    <n v="16"/>
    <n v="6"/>
    <n v="1"/>
    <n v="5"/>
    <n v="0.4"/>
    <n v="0.5"/>
    <n v="3"/>
    <x v="74"/>
  </r>
  <r>
    <x v="34"/>
    <x v="6"/>
    <n v="4"/>
    <n v="4"/>
    <n v="50"/>
    <n v="15"/>
    <n v="6"/>
    <n v="0"/>
    <n v="6"/>
    <n v="0.4"/>
    <n v="0"/>
    <n v="0"/>
    <x v="74"/>
  </r>
  <r>
    <x v="34"/>
    <x v="6"/>
    <n v="1"/>
    <n v="2"/>
    <n v="67"/>
    <n v="18"/>
    <n v="7"/>
    <n v="0"/>
    <n v="7"/>
    <n v="0.4"/>
    <n v="0"/>
    <n v="0"/>
    <x v="73"/>
  </r>
  <r>
    <x v="34"/>
    <x v="6"/>
    <n v="3"/>
    <n v="6"/>
    <n v="67"/>
    <n v="21"/>
    <n v="7"/>
    <n v="0"/>
    <n v="7"/>
    <n v="0.3"/>
    <n v="0.14000000000000001"/>
    <n v="1"/>
    <x v="108"/>
  </r>
  <r>
    <x v="34"/>
    <x v="6"/>
    <n v="8"/>
    <n v="8"/>
    <n v="50"/>
    <n v="29"/>
    <n v="9"/>
    <n v="1"/>
    <n v="8"/>
    <n v="0.3"/>
    <n v="0.22"/>
    <n v="2"/>
    <x v="129"/>
  </r>
  <r>
    <x v="34"/>
    <x v="6"/>
    <n v="9"/>
    <n v="15"/>
    <n v="63"/>
    <n v="38"/>
    <n v="14"/>
    <n v="3"/>
    <n v="11"/>
    <n v="0.4"/>
    <n v="0.43"/>
    <n v="6"/>
    <x v="1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879B2-615E-4221-84E7-2D0116206836}" name="PivotTable4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Date">
  <location ref="B7:E42" firstHeaderRow="0" firstDataRow="1" firstDataCol="1"/>
  <pivotFields count="13">
    <pivotField axis="axisRow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Finished_Rides" fld="11" baseField="0" baseItem="0"/>
    <dataField name="Total__Demand" fld="12" baseField="0" baseItem="0"/>
    <dataField name="Avg. Coverage Ratio(%)" fld="4" subtotal="average" baseField="0" baseItem="0" numFmtId="164"/>
  </dataFields>
  <formats count="19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field="0" type="button" dataOnly="0" labelOnly="1" outline="0" axis="axisRow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field="0" type="button" dataOnly="0" labelOnly="1" outline="0" axis="axisRow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3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F057B-5135-4DDF-A02C-DB31BBE9DC96}" name="PivotTable3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ay">
  <location ref="N7:Q15" firstHeaderRow="0" firstDataRow="1" firstDataCol="1"/>
  <pivotFields count="16">
    <pivotField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People saw +1 cars (unique)" fld="6" baseField="0" baseItem="0"/>
    <dataField name="Total_Active_Drivers" fld="8" baseField="2" baseItem="0"/>
    <dataField name="Total__Demand" fld="15" baseField="2" baseItem="0"/>
  </dataFields>
  <formats count="6">
    <format dxfId="109">
      <pivotArea field="2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7">
      <pivotArea field="2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5">
      <pivotArea field="2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955AF-95E6-4B37-9A4B-DFB5D9F37026}" name="PivotTable3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Day">
  <location ref="H7:K14" firstHeaderRow="0" firstDataRow="1" firstDataCol="1"/>
  <pivotFields count="16">
    <pivotField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inished_Rides" fld="14" subtotal="average" baseField="4" baseItem="0"/>
    <dataField name="Average of Coverage Ratio (%)" fld="7" subtotal="average" baseField="2" baseItem="0"/>
    <dataField name="Average of Total_Demand" fld="15" subtotal="average" baseField="2" baseItem="0"/>
  </dataFields>
  <formats count="7"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3">
      <pivotArea field="2" type="button" dataOnly="0" labelOnly="1" outline="0" axis="axisRow" fieldPosition="0"/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1">
      <pivotArea field="2" type="button" dataOnly="0" labelOnly="1" outline="0" axis="axisRow" fieldPosition="0"/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4"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26B73-9630-4EA4-AE78-9407A0F1E8BB}" name="PivotTable2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s" colHeaderCaption="Days">
  <location ref="K6:R31" firstHeaderRow="1" firstDataRow="2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Coverage Ratio (%)" fld="7" subtotal="average" baseField="1" baseItem="0"/>
  </dataFields>
  <formats count="3">
    <format dxfId="80">
      <pivotArea type="origin" dataOnly="0" labelOnly="1" outline="0" fieldPosition="0"/>
    </format>
    <format dxfId="79">
      <pivotArea field="2" type="button" dataOnly="0" labelOnly="1" outline="0" axis="axisCol" fieldPosition="0"/>
    </format>
    <format dxfId="78">
      <pivotArea type="topRight" dataOnly="0" labelOnly="1" outline="0" fieldPosition="0"/>
    </format>
  </formats>
  <conditionalFormats count="1">
    <conditionalFormat priority="13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E8093-8EC1-4489-BE09-8F8AC3FBB087}" name="PivotTable2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s" colHeaderCaption="Days">
  <location ref="B6:I31" firstHeaderRow="1" firstDataRow="2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Finished_Rides" fld="14" subtotal="average" baseField="1" baseItem="0"/>
  </dataFields>
  <formats count="1">
    <format dxfId="81">
      <pivotArea type="origin" dataOnly="0" labelOnly="1" outline="0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4B762-EA13-4918-A5BC-7A30F027C289}" name="PivotTable2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s" colHeaderCaption="Days">
  <location ref="T6:AA31" firstHeaderRow="1" firstDataRow="2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Online(H)" fld="9" subtotal="average" baseField="1" baseItem="14"/>
  </dataFields>
  <formats count="3">
    <format dxfId="84">
      <pivotArea type="origin" dataOnly="0" labelOnly="1" outline="0" fieldPosition="0"/>
    </format>
    <format dxfId="83">
      <pivotArea field="2" type="button" dataOnly="0" labelOnly="1" outline="0" axis="axisCol" fieldPosition="0"/>
    </format>
    <format dxfId="82">
      <pivotArea type="topRight" dataOnly="0" labelOnly="1" outline="0" fieldPosition="0"/>
    </format>
  </formats>
  <conditionalFormats count="1">
    <conditionalFormat priority="10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59C47-C651-4958-B291-5B6EE1D0BFB7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Hours">
  <location ref="B6:D30" firstHeaderRow="0" firstDataRow="1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Total_ People saw +1 cars (unique)" fld="6" baseField="1" baseItem="0"/>
    <dataField name="Total__Demand" fld="15" baseField="1" baseItem="0"/>
  </dataFields>
  <formats count="2">
    <format dxfId="77">
      <pivotArea field="1" type="button" dataOnly="0" labelOnly="1" outline="0" axis="axisRow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all" outline="0" fieldPosition="0"/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11B00-A59C-402E-9030-3C35ECDCBE81}" name="PivotTable3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">
  <location ref="C14:E38" firstHeaderRow="0" firstDataRow="1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Avg. Total Demand" fld="15" subtotal="average" baseField="1" baseItem="0"/>
    <dataField name="Avg. Finished Rides(Supply)" fld="14" subtotal="average" baseField="1" baseItem="0"/>
  </dataFields>
  <formats count="18">
    <format dxfId="75">
      <pivotArea outline="0" collapsedLevelsAreSubtotals="1" fieldPosition="0"/>
    </format>
    <format dxfId="74">
      <pivotArea field="1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15E9D-35A0-446C-B7D1-E289E1BE752F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s">
  <location ref="S1:Z26" firstHeaderRow="1" firstDataRow="2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Online(H)" fld="9" subtotal="average" baseField="1" baseItem="14"/>
  </dataFields>
  <conditionalFormats count="1">
    <conditionalFormat priority="4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2CDF0-F984-4DE2-AA5D-E6E1994A563E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s">
  <location ref="J1:Q26" firstHeaderRow="1" firstDataRow="2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Coverage Ratio (%)" fld="7" subtotal="average" baseField="1" baseItem="0"/>
  </dataFields>
  <conditionalFormats count="1">
    <conditionalFormat priority="7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82974-DD9D-4D2F-8F12-A816A8B28901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chartFormat="4" rowHeaderCaption="Day">
  <location ref="B5:E12" firstHeaderRow="0" firstDataRow="1" firstDataCol="1"/>
  <pivotFields count="16">
    <pivotField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inished_Rides" fld="14" subtotal="average" baseField="4" baseItem="0"/>
    <dataField name="Average of Coverage Ratio (%)" fld="7" subtotal="average" baseField="2" baseItem="0"/>
    <dataField name="Average of Total_Demand" fld="15" subtotal="average" baseField="2" baseItem="0"/>
  </dataFields>
  <formats count="3"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3">
    <conditionalFormat priority="2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06AD7-5311-4467-AEF7-D7738B65CB17}" name="PivotTable4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91:B116" firstHeaderRow="1" firstDataRow="1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Coverage Ratio (%)" fld="7" subtotal="average" baseField="1" baseItem="0"/>
  </dataFields>
  <formats count="1">
    <format dxfId="4">
      <pivotArea outline="0" collapsedLevelsAreSubtotals="1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D5809-9775-4819-8F6D-E015D4999640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63:C88" firstHeaderRow="0" firstDataRow="1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inished_Rides" fld="14" subtotal="average" baseField="1" baseItem="0"/>
    <dataField name="Average of Total_Demand" fld="15" subtotal="average" baseField="1" baseItem="0"/>
  </dataFields>
  <formats count="1">
    <format dxfId="5">
      <pivotArea outline="0" collapsedLevelsAreSubtotals="1" fieldPosition="0"/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3C4D7-B6B3-4DF2-9B08-3719380E888F}" name="PivotTable1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ate">
  <location ref="A16:D51" firstHeaderRow="0" firstDataRow="1" firstDataCol="1"/>
  <pivotFields count="13">
    <pivotField axis="axisRow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Finished_Rides" fld="11" baseField="0" baseItem="0"/>
    <dataField name="Total__Demand" fld="12" baseField="0" baseItem="0"/>
    <dataField name="Avg. Coverage Ratio(%)" fld="4" subtotal="average" baseField="0" baseItem="0" numFmtId="164"/>
  </dataFields>
  <formats count="17"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E62D4-E414-42BF-9941-94E7FA8C8A62}" name="PivotTable2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 rowHeaderCaption="Date">
  <location ref="H43:J78" firstHeaderRow="0" firstDataRow="1" firstDataCol="1"/>
  <pivotFields count="13">
    <pivotField axis="axisRow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Fields count="1">
    <field x="-2"/>
  </colFields>
  <colItems count="2">
    <i>
      <x/>
    </i>
    <i i="1">
      <x v="1"/>
    </i>
  </colItems>
  <dataFields count="2">
    <dataField name="Total_Finished_Rides" fld="11" baseField="0" baseItem="0"/>
    <dataField name="Total__Demand" fld="12" baseField="0" baseItem="0"/>
  </dataFields>
  <formats count="1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0D8A5-C3AA-4E92-8956-C397607A0E94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Hours">
  <location ref="P16:R40" firstHeaderRow="0" firstDataRow="1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Total_ People saw +1 cars (unique)" fld="6" baseField="1" baseItem="0"/>
    <dataField name="Total__Demand" fld="15" baseField="1" baseItem="0"/>
  </dataFields>
  <formats count="2">
    <format dxfId="40">
      <pivotArea field="1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5">
      <pivotAreas count="1">
        <pivotArea type="all" outline="0" fieldPosition="0"/>
      </pivotAreas>
    </conditionalFormat>
  </conditionalFormat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0A3C4-F2FC-4A14-8979-2E22D02B1BA6}" name="PivotTable2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N80:P104" firstHeaderRow="0" firstDataRow="1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Avg. Total Demand" fld="15" subtotal="average" baseField="1" baseItem="0"/>
    <dataField name="Avg. Finished Rides" fld="14" subtotal="average" baseField="1" baseItem="0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6DBA3-0E1F-4858-AC74-6C61EC741ACE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urs">
  <location ref="G16:N41" firstHeaderRow="1" firstDataRow="2" firstDataCol="1"/>
  <pivotFields count="16">
    <pivotField showAll="0"/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Finished_Rides" fld="14" subtotal="average" baseField="1" baseItem="0"/>
  </dataFields>
  <formats count="1">
    <format dxfId="42">
      <pivotArea type="origin" dataOnly="0" labelOnly="1" outline="0" fieldPosition="0"/>
    </format>
  </formats>
  <conditionalFormats count="1">
    <conditionalFormat priority="18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DDF29-84D6-4F63-A8E9-557ABC339B3B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Day">
  <location ref="R4:U12" firstHeaderRow="0" firstDataRow="1" firstDataCol="1"/>
  <pivotFields count="16">
    <pivotField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eople saw +1 cars (unique)" fld="6" baseField="0" baseItem="0"/>
    <dataField name="Total_Active_Drivers" fld="8" baseField="2" baseItem="0"/>
    <dataField name="Total__Demand" fld="15" baseField="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4E46BE-9AC2-4DD1-8F7E-F20A5A2AC824}" autoFormatId="16" applyNumberFormats="0" applyBorderFormats="0" applyFontFormats="0" applyPatternFormats="0" applyAlignmentFormats="0" applyWidthHeightFormats="0">
  <queryTableRefresh nextId="18" unboundColumnsRight="9">
    <queryTableFields count="17">
      <queryTableField id="1" name="Date" tableColumnId="1"/>
      <queryTableField id="8" dataBound="0" tableColumnId="8"/>
      <queryTableField id="7" dataBound="0" tableColumnId="7"/>
      <queryTableField id="6" dataBound="0" tableColumnId="6"/>
      <queryTableField id="5" dataBound="0" tableColumnId="5"/>
      <queryTableField id="2" name="People saw 0 cars (unique)" tableColumnId="2"/>
      <queryTableField id="3" name="People saw +1 cars (unique)" tableColumnId="3"/>
      <queryTableField id="4" name="Coverage Ratio (%)" tableColumnId="4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9D74D2D-2335-4706-98FD-C61ADD21D1C1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Active drivers" tableColumnId="2"/>
      <queryTableField id="3" name="Online (h)" tableColumnId="3"/>
      <queryTableField id="4" name="Has booking (h)" tableColumnId="4"/>
      <queryTableField id="5" name="Waiting for booking (h)" tableColumnId="5"/>
      <queryTableField id="6" name="Hours per active driver" tableColumnId="6"/>
      <queryTableField id="7" name="Rides per online hour" tableColumnId="7"/>
      <queryTableField id="8" name="Finished Rid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0700A0-7668-4703-84F1-86556AD297B4}" name="Demand_Data___Hourly_OverviewSearch_1_csv" displayName="Demand_Data___Hourly_OverviewSearch_1_csv" ref="A1:Q840" tableType="queryTable" totalsRowShown="0" headerRowDxfId="57">
  <autoFilter ref="A1:Q840" xr:uid="{A20700A0-7668-4703-84F1-86556AD297B4}"/>
  <tableColumns count="17">
    <tableColumn id="1" xr3:uid="{7E6E6CC1-6645-4744-B3B0-68458A06AC4B}" uniqueName="1" name="Date" queryTableFieldId="1" dataDxfId="56"/>
    <tableColumn id="8" xr3:uid="{6D57DB73-77F0-4234-A3CF-192DCA0263ED}" uniqueName="8" name="Hour" queryTableFieldId="8" dataDxfId="55">
      <calculatedColumnFormula>RIGHT(A2,3)</calculatedColumnFormula>
    </tableColumn>
    <tableColumn id="7" xr3:uid="{D2ACFAC5-92AD-4957-B8AC-851F6A878B07}" uniqueName="7" name="Day" queryTableFieldId="7" dataDxfId="54">
      <calculatedColumnFormula>WEEKDAY(DATEVALUE(LEFT(A2,FIND(" ",A2))),2)</calculatedColumnFormula>
    </tableColumn>
    <tableColumn id="6" xr3:uid="{406F9646-DE2D-4249-82C9-94EE812638C1}" uniqueName="6" name="Date_Only" queryTableFieldId="6" dataDxfId="53">
      <calculatedColumnFormula>LEFT(A2,11)</calculatedColumnFormula>
    </tableColumn>
    <tableColumn id="5" xr3:uid="{2EB1E6F1-E487-474B-BA54-415F61B1CFF2}" uniqueName="5" name="WeekDay" queryTableFieldId="5" dataDxfId="52">
      <calculatedColumnFormula>TEXT(Demand_Data___Hourly_OverviewSearch_1_csv[[#This Row],[Day]],"dddd")</calculatedColumnFormula>
    </tableColumn>
    <tableColumn id="2" xr3:uid="{694AFCD7-4CD5-484F-B0C7-692CD5CD66D1}" uniqueName="2" name="People saw 0 cars (unique)" queryTableFieldId="2"/>
    <tableColumn id="3" xr3:uid="{BF2CA4E3-A3C1-4E48-9F34-8D9DF6206A1B}" uniqueName="3" name="People saw +1 cars (unique)" queryTableFieldId="3"/>
    <tableColumn id="4" xr3:uid="{6509E8B4-79BC-4BD2-BF01-47B745BEF007}" uniqueName="4" name="Coverage Ratio (%)" queryTableFieldId="4"/>
    <tableColumn id="9" xr3:uid="{0492145B-24E6-4E0D-94B4-81BE5DE10C2E}" uniqueName="9" name="Active_Drivers" queryTableFieldId="9" dataDxfId="51">
      <calculatedColumnFormula>VLOOKUP(Demand_Data___Hourly_OverviewSearch_1_csv[[#This Row],[Date]],Supply_Data___Hourly_DriverActivity_1_csv__3[#All],2,FALSE)</calculatedColumnFormula>
    </tableColumn>
    <tableColumn id="10" xr3:uid="{99334536-AB49-401E-8FC1-D58ADBDB1474}" uniqueName="10" name="Online(H)" queryTableFieldId="10" dataDxfId="50">
      <calculatedColumnFormula>VLOOKUP(Demand_Data___Hourly_OverviewSearch_1_csv[[#This Row],[Date]],Supply_Data___Hourly_DriverActivity_1_csv__3[#All],3,FALSE)</calculatedColumnFormula>
    </tableColumn>
    <tableColumn id="11" xr3:uid="{E4A3648D-65EB-4C9E-AA8F-2D91E6FE9E0E}" uniqueName="11" name="Has Booking(H)" queryTableFieldId="11" dataDxfId="49">
      <calculatedColumnFormula>VLOOKUP(Demand_Data___Hourly_OverviewSearch_1_csv[[#This Row],[Date]],Supply_Data___Hourly_DriverActivity_1_csv__3[#All],4,FALSE)</calculatedColumnFormula>
    </tableColumn>
    <tableColumn id="12" xr3:uid="{6B1A1A79-FE5F-4BD8-9B58-E6C437031608}" uniqueName="12" name="Waiting for booking (h)" queryTableFieldId="12" dataDxfId="48">
      <calculatedColumnFormula>VLOOKUP(Demand_Data___Hourly_OverviewSearch_1_csv[[#This Row],[Date]],Supply_Data___Hourly_DriverActivity_1_csv__3[#All],5,FALSE)</calculatedColumnFormula>
    </tableColumn>
    <tableColumn id="13" xr3:uid="{750C395E-8A2C-4867-AA38-849D92E53591}" uniqueName="13" name="Hours per active driver" queryTableFieldId="13" dataDxfId="47">
      <calculatedColumnFormula>VLOOKUP(Demand_Data___Hourly_OverviewSearch_1_csv[[#This Row],[Date]],Supply_Data___Hourly_DriverActivity_1_csv__3[#All],6,FALSE)</calculatedColumnFormula>
    </tableColumn>
    <tableColumn id="14" xr3:uid="{234A2FF8-D305-4F93-AA90-F6B062EF516D}" uniqueName="14" name="Rides per online hour" queryTableFieldId="14" dataDxfId="46">
      <calculatedColumnFormula>VLOOKUP(Demand_Data___Hourly_OverviewSearch_1_csv[[#This Row],[Date]],Supply_Data___Hourly_DriverActivity_1_csv__3[#All],7,FALSE)</calculatedColumnFormula>
    </tableColumn>
    <tableColumn id="15" xr3:uid="{7DCE90A7-ED77-45B7-8B4B-6C608346AE81}" uniqueName="15" name="Finished_Rides" queryTableFieldId="15" dataDxfId="45">
      <calculatedColumnFormula>VLOOKUP(Demand_Data___Hourly_OverviewSearch_1_csv[[#This Row],[Date]],Supply_Data___Hourly_DriverActivity_1_csv__3[#All],8,FALSE)</calculatedColumnFormula>
    </tableColumn>
    <tableColumn id="16" xr3:uid="{2EFF0850-B069-430A-ABC8-1B3E8AD9FF7E}" uniqueName="16" name="Total_Demand" queryTableFieldId="16" dataDxfId="44">
      <calculatedColumnFormula>(Demand_Data___Hourly_OverviewSearch_1_csv[[#This Row],[People saw 0 cars (unique)]]+Demand_Data___Hourly_OverviewSearch_1_csv[[#This Row],[People saw +1 cars (unique)]])</calculatedColumnFormula>
    </tableColumn>
    <tableColumn id="17" xr3:uid="{507077A4-1BCB-4991-B522-C51C59C14450}" uniqueName="17" name="Waiting for Booking hours" queryTableFieldId="17" dataDxfId="0">
      <calculatedColumnFormula>(J2-K2)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40392-98D9-4AC8-A2C2-34E21361A2C5}" name="Supply_Data___Hourly_DriverActivity_1_csv__3" displayName="Supply_Data___Hourly_DriverActivity_1_csv__3" ref="A1:H841" tableType="queryTable" totalsRowShown="0">
  <autoFilter ref="A1:H841" xr:uid="{07F40392-98D9-4AC8-A2C2-34E21361A2C5}"/>
  <tableColumns count="8">
    <tableColumn id="1" xr3:uid="{B87306EF-463A-4A7B-950A-516F6C084522}" uniqueName="1" name="Date" queryTableFieldId="1" dataDxfId="43"/>
    <tableColumn id="2" xr3:uid="{076DE7D0-D30E-48F6-9400-2E1E346AC2CA}" uniqueName="2" name="Active drivers" queryTableFieldId="2"/>
    <tableColumn id="3" xr3:uid="{F01CDEF2-343A-4F0F-83CE-73861B0ED719}" uniqueName="3" name="Online (h)" queryTableFieldId="3"/>
    <tableColumn id="4" xr3:uid="{E2344CD5-D1A7-4EFB-9527-6B36AFDE156E}" uniqueName="4" name="Has booking (h)" queryTableFieldId="4"/>
    <tableColumn id="5" xr3:uid="{027E54EF-E3AC-487D-A51E-FF2004C9FAF8}" uniqueName="5" name="Waiting for booking (h)" queryTableFieldId="5"/>
    <tableColumn id="6" xr3:uid="{57AD55C0-D1BB-4462-A8E8-E2CE2B43B16C}" uniqueName="6" name="Hours per active driver" queryTableFieldId="6"/>
    <tableColumn id="7" xr3:uid="{0709C583-0289-4DA5-A7FD-76097B1AD204}" uniqueName="7" name="Rides per online hour" queryTableFieldId="7"/>
    <tableColumn id="8" xr3:uid="{816E3CB2-76A9-451D-B430-DDA7E25ABE28}" uniqueName="8" name="Finished Ride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Relationship Id="rId9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5359-F2D1-40B3-BC91-DFE46EEE93CA}">
  <dimension ref="A1:W55"/>
  <sheetViews>
    <sheetView tabSelected="1" topLeftCell="A20" zoomScale="70" zoomScaleNormal="70" workbookViewId="0">
      <selection activeCell="J52" sqref="J52"/>
    </sheetView>
  </sheetViews>
  <sheetFormatPr defaultRowHeight="14.4" x14ac:dyDescent="0.3"/>
  <sheetData>
    <row r="1" spans="1:23" ht="14.4" customHeight="1" x14ac:dyDescent="0.3">
      <c r="A1" s="111" t="s">
        <v>1046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spans="1:23" ht="14.4" customHeight="1" x14ac:dyDescent="0.3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spans="1:23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3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1:23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spans="1:23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pans="1:23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 spans="1:23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3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spans="1:23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spans="1:23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spans="1:23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spans="1:23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spans="1:23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spans="1:23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spans="1:23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spans="1:23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spans="1:23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pans="1:23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spans="1:23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spans="1:23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spans="1:23" ht="14.4" customHeight="1" x14ac:dyDescent="0.3">
      <c r="A23" s="31"/>
      <c r="B23" s="96" t="s">
        <v>1050</v>
      </c>
      <c r="C23" s="97"/>
      <c r="D23" s="97"/>
      <c r="E23" s="97"/>
      <c r="F23" s="97"/>
      <c r="G23" s="97"/>
      <c r="H23" s="97"/>
      <c r="I23" s="97"/>
      <c r="J23" s="97"/>
      <c r="K23" s="98"/>
      <c r="L23" s="77"/>
      <c r="M23" s="96" t="s">
        <v>1049</v>
      </c>
      <c r="N23" s="97"/>
      <c r="O23" s="97"/>
      <c r="P23" s="97"/>
      <c r="Q23" s="97"/>
      <c r="R23" s="97"/>
      <c r="S23" s="97"/>
      <c r="T23" s="97"/>
      <c r="U23" s="98"/>
      <c r="V23" s="31"/>
      <c r="W23" s="31"/>
    </row>
    <row r="24" spans="1:23" ht="14.4" customHeight="1" x14ac:dyDescent="0.3">
      <c r="A24" s="31"/>
      <c r="B24" s="99"/>
      <c r="C24" s="100"/>
      <c r="D24" s="100"/>
      <c r="E24" s="100"/>
      <c r="F24" s="100"/>
      <c r="G24" s="100"/>
      <c r="H24" s="100"/>
      <c r="I24" s="100"/>
      <c r="J24" s="100"/>
      <c r="K24" s="101"/>
      <c r="L24" s="77"/>
      <c r="M24" s="99"/>
      <c r="N24" s="100"/>
      <c r="O24" s="100"/>
      <c r="P24" s="100"/>
      <c r="Q24" s="100"/>
      <c r="R24" s="100"/>
      <c r="S24" s="100"/>
      <c r="T24" s="100"/>
      <c r="U24" s="101"/>
      <c r="V24" s="31"/>
      <c r="W24" s="31"/>
    </row>
    <row r="25" spans="1:23" ht="14.4" customHeight="1" x14ac:dyDescent="0.3">
      <c r="A25" s="31"/>
      <c r="B25" s="102"/>
      <c r="C25" s="103"/>
      <c r="D25" s="103"/>
      <c r="E25" s="103"/>
      <c r="F25" s="103"/>
      <c r="G25" s="103"/>
      <c r="H25" s="103"/>
      <c r="I25" s="103"/>
      <c r="J25" s="103"/>
      <c r="K25" s="104"/>
      <c r="L25" s="77"/>
      <c r="M25" s="102"/>
      <c r="N25" s="103"/>
      <c r="O25" s="103"/>
      <c r="P25" s="103"/>
      <c r="Q25" s="103"/>
      <c r="R25" s="103"/>
      <c r="S25" s="103"/>
      <c r="T25" s="103"/>
      <c r="U25" s="104"/>
      <c r="V25" s="31"/>
      <c r="W25" s="31"/>
    </row>
    <row r="26" spans="1:23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spans="1:23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spans="1:23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spans="1:23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spans="1:23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spans="1:23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 spans="1:23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</row>
    <row r="33" spans="1:23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spans="1:23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spans="1:23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3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spans="1:23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spans="1:23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spans="1:23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spans="1:23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spans="1:23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spans="1:23" ht="14.4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spans="1:23" ht="14.4" customHeight="1" x14ac:dyDescent="0.3">
      <c r="A43" s="31"/>
      <c r="B43" s="105" t="s">
        <v>1051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7"/>
      <c r="V43" s="31"/>
      <c r="W43" s="31"/>
    </row>
    <row r="44" spans="1:23" ht="14.4" customHeight="1" x14ac:dyDescent="0.3">
      <c r="A44" s="31"/>
      <c r="B44" s="108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10"/>
      <c r="V44" s="31"/>
      <c r="W44" s="31"/>
    </row>
    <row r="45" spans="1:23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3" ht="21" x14ac:dyDescent="0.4">
      <c r="A46" s="31"/>
      <c r="B46" s="84" t="s">
        <v>1052</v>
      </c>
      <c r="C46" s="85"/>
      <c r="D46" s="85"/>
      <c r="E46" s="86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3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3" ht="18" x14ac:dyDescent="0.35">
      <c r="A48" s="31"/>
      <c r="B48" s="87" t="s">
        <v>1059</v>
      </c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9"/>
      <c r="V48" s="31"/>
      <c r="W48" s="31"/>
    </row>
    <row r="49" spans="1:23" ht="18" customHeight="1" x14ac:dyDescent="0.35">
      <c r="A49" s="31"/>
      <c r="B49" s="90" t="s">
        <v>1058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2"/>
      <c r="V49" s="31"/>
      <c r="W49" s="31"/>
    </row>
    <row r="50" spans="1:23" ht="18" customHeight="1" x14ac:dyDescent="0.35">
      <c r="A50" s="31"/>
      <c r="B50" s="93" t="s">
        <v>1060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5"/>
      <c r="V50" s="31"/>
      <c r="W50" s="31"/>
    </row>
    <row r="51" spans="1:23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3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3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3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3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</sheetData>
  <mergeCells count="8">
    <mergeCell ref="A1:W2"/>
    <mergeCell ref="B46:E46"/>
    <mergeCell ref="B48:U48"/>
    <mergeCell ref="B49:U49"/>
    <mergeCell ref="B50:U50"/>
    <mergeCell ref="B23:K25"/>
    <mergeCell ref="M23:U25"/>
    <mergeCell ref="B43:U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364-1B5C-4F20-8B49-435E43EE3E50}">
  <dimension ref="A1:U52"/>
  <sheetViews>
    <sheetView workbookViewId="0">
      <selection activeCell="S18" sqref="S18"/>
    </sheetView>
  </sheetViews>
  <sheetFormatPr defaultRowHeight="14.4" x14ac:dyDescent="0.3"/>
  <sheetData>
    <row r="1" spans="1:21" x14ac:dyDescent="0.3">
      <c r="A1" s="111" t="s">
        <v>1061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</row>
    <row r="2" spans="1:21" x14ac:dyDescent="0.3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</row>
    <row r="3" spans="1:2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x14ac:dyDescent="0.3">
      <c r="A5" s="31"/>
      <c r="B5" s="31"/>
      <c r="C5" s="31"/>
      <c r="D5" s="31"/>
      <c r="E5" s="14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spans="1:2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x14ac:dyDescent="0.3">
      <c r="A7" s="31"/>
      <c r="B7" s="31"/>
      <c r="C7" s="31"/>
      <c r="D7" s="31"/>
      <c r="E7" s="31"/>
      <c r="F7" s="142" t="s">
        <v>1062</v>
      </c>
      <c r="G7" s="142"/>
      <c r="H7" s="31"/>
      <c r="I7" s="31"/>
      <c r="J7" s="31"/>
      <c r="K7" s="31"/>
      <c r="L7" s="31"/>
      <c r="M7" s="142" t="s">
        <v>1062</v>
      </c>
      <c r="N7" s="142"/>
      <c r="O7" s="31"/>
      <c r="P7" s="31"/>
      <c r="Q7" s="31"/>
      <c r="R7" s="31"/>
      <c r="S7" s="31"/>
      <c r="T7" s="31"/>
      <c r="U7" s="31"/>
    </row>
    <row r="8" spans="1:21" x14ac:dyDescent="0.3">
      <c r="A8" s="31"/>
      <c r="B8" s="31"/>
      <c r="C8" s="31"/>
      <c r="D8" s="31"/>
      <c r="E8" s="31"/>
      <c r="F8" s="142"/>
      <c r="G8" s="142"/>
      <c r="H8" s="31"/>
      <c r="I8" s="31"/>
      <c r="J8" s="31"/>
      <c r="K8" s="31"/>
      <c r="L8" s="31"/>
      <c r="M8" s="142"/>
      <c r="N8" s="142"/>
      <c r="O8" s="31"/>
      <c r="P8" s="31"/>
      <c r="Q8" s="31"/>
      <c r="R8" s="31"/>
      <c r="S8" s="31"/>
      <c r="T8" s="31"/>
      <c r="U8" s="31"/>
    </row>
    <row r="9" spans="1:21" ht="18" x14ac:dyDescent="0.35">
      <c r="A9" s="31"/>
      <c r="B9" s="31"/>
      <c r="C9" s="31"/>
      <c r="D9" s="31"/>
      <c r="E9" s="31"/>
      <c r="F9" s="31"/>
      <c r="G9" s="31"/>
      <c r="H9" s="31"/>
      <c r="I9" s="31"/>
      <c r="J9" s="140"/>
      <c r="K9" s="139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x14ac:dyDescent="0.3">
      <c r="A12" s="31"/>
      <c r="B12" s="31"/>
      <c r="C12" s="31"/>
      <c r="D12" s="142" t="s">
        <v>1062</v>
      </c>
      <c r="E12" s="141"/>
      <c r="F12" s="31"/>
      <c r="G12" s="142" t="s">
        <v>1062</v>
      </c>
      <c r="H12" s="141"/>
      <c r="I12" s="31"/>
      <c r="J12" s="31"/>
      <c r="K12" s="31"/>
      <c r="L12" s="142" t="s">
        <v>1062</v>
      </c>
      <c r="M12" s="141"/>
      <c r="N12" s="31"/>
      <c r="O12" s="142" t="s">
        <v>1062</v>
      </c>
      <c r="P12" s="141"/>
      <c r="Q12" s="31"/>
      <c r="R12" s="31"/>
      <c r="S12" s="31"/>
      <c r="T12" s="31"/>
      <c r="U12" s="31"/>
    </row>
    <row r="13" spans="1:21" x14ac:dyDescent="0.3">
      <c r="A13" s="31"/>
      <c r="B13" s="31"/>
      <c r="C13" s="31"/>
      <c r="D13" s="141"/>
      <c r="E13" s="141"/>
      <c r="F13" s="31"/>
      <c r="G13" s="141"/>
      <c r="H13" s="141"/>
      <c r="I13" s="31"/>
      <c r="J13" s="31"/>
      <c r="K13" s="31"/>
      <c r="L13" s="141"/>
      <c r="M13" s="141"/>
      <c r="N13" s="31"/>
      <c r="O13" s="141"/>
      <c r="P13" s="141"/>
      <c r="Q13" s="31"/>
      <c r="R13" s="31"/>
      <c r="S13" s="31"/>
      <c r="T13" s="31"/>
      <c r="U13" s="31"/>
    </row>
    <row r="14" spans="1:2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ht="14.4" customHeight="1" x14ac:dyDescent="0.3">
      <c r="A17" s="31"/>
      <c r="B17" s="31"/>
      <c r="C17" s="31"/>
      <c r="D17" s="31"/>
      <c r="E17" s="31"/>
      <c r="F17" s="31"/>
      <c r="G17" s="31"/>
      <c r="H17" s="31"/>
      <c r="I17" s="147"/>
      <c r="J17" s="147"/>
      <c r="K17" s="145" t="s">
        <v>1062</v>
      </c>
      <c r="L17" s="31"/>
      <c r="M17" s="145" t="s">
        <v>1062</v>
      </c>
      <c r="N17" s="147"/>
      <c r="O17" s="31"/>
      <c r="P17" s="144" t="s">
        <v>1062</v>
      </c>
      <c r="Q17" s="144"/>
      <c r="R17" s="144"/>
      <c r="S17" s="31"/>
      <c r="T17" s="31"/>
      <c r="U17" s="31"/>
    </row>
    <row r="18" spans="1:21" ht="14.4" customHeight="1" x14ac:dyDescent="0.3">
      <c r="A18" s="31"/>
      <c r="B18" s="31"/>
      <c r="C18" s="31"/>
      <c r="D18" s="31"/>
      <c r="E18" s="31"/>
      <c r="F18" s="31"/>
      <c r="G18" s="31"/>
      <c r="H18" s="31"/>
      <c r="I18" s="147"/>
      <c r="J18" s="147"/>
      <c r="K18" s="145"/>
      <c r="L18" s="31"/>
      <c r="M18" s="145"/>
      <c r="N18" s="147"/>
      <c r="O18" s="31"/>
      <c r="P18" s="144"/>
      <c r="Q18" s="144"/>
      <c r="R18" s="144"/>
      <c r="S18" s="31"/>
      <c r="T18" s="31"/>
      <c r="U18" s="31"/>
    </row>
    <row r="19" spans="1:21" ht="14.4" customHeight="1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144"/>
      <c r="Q19" s="144"/>
      <c r="R19" s="144"/>
      <c r="S19" s="31"/>
      <c r="T19" s="31"/>
      <c r="U19" s="31"/>
    </row>
    <row r="20" spans="1:21" ht="14.4" customHeight="1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44"/>
      <c r="Q20" s="144"/>
      <c r="R20" s="144"/>
      <c r="S20" s="31"/>
      <c r="T20" s="31"/>
      <c r="U20" s="31"/>
    </row>
    <row r="21" spans="1:21" ht="14.4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144"/>
      <c r="Q21" s="144"/>
      <c r="R21" s="144"/>
      <c r="S21" s="31"/>
      <c r="T21" s="31"/>
      <c r="U21" s="31"/>
    </row>
    <row r="22" spans="1:21" ht="14.4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144"/>
      <c r="Q22" s="144"/>
      <c r="R22" s="144"/>
      <c r="S22" s="31"/>
      <c r="T22" s="31"/>
      <c r="U22" s="31"/>
    </row>
    <row r="23" spans="1:2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1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1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1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</sheetData>
  <mergeCells count="11">
    <mergeCell ref="K17:K18"/>
    <mergeCell ref="M17:M18"/>
    <mergeCell ref="P17:R22"/>
    <mergeCell ref="A1:U2"/>
    <mergeCell ref="J9:K9"/>
    <mergeCell ref="F7:G8"/>
    <mergeCell ref="M7:N8"/>
    <mergeCell ref="D12:E13"/>
    <mergeCell ref="G12:H13"/>
    <mergeCell ref="L12:M13"/>
    <mergeCell ref="O12:P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9497-F938-4130-AEAD-2A43E0165AAA}">
  <dimension ref="A1:V18"/>
  <sheetViews>
    <sheetView zoomScale="97" workbookViewId="0">
      <selection sqref="A1:U2"/>
    </sheetView>
  </sheetViews>
  <sheetFormatPr defaultRowHeight="14.4" x14ac:dyDescent="0.3"/>
  <sheetData>
    <row r="1" spans="1:22" ht="14.4" customHeight="1" x14ac:dyDescent="0.3">
      <c r="A1" s="111" t="s">
        <v>1045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31"/>
    </row>
    <row r="2" spans="1:22" ht="14.4" customHeight="1" x14ac:dyDescent="0.3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31"/>
    </row>
    <row r="3" spans="1:22" x14ac:dyDescent="0.3">
      <c r="A3" s="31"/>
      <c r="B3" s="31"/>
      <c r="C3" s="31"/>
      <c r="D3" s="31"/>
      <c r="E3" s="31"/>
      <c r="F3" s="31"/>
      <c r="G3" s="112" t="s">
        <v>1044</v>
      </c>
      <c r="H3" s="112"/>
      <c r="I3" s="112"/>
      <c r="J3" s="112"/>
      <c r="K3" s="112"/>
      <c r="L3" s="112"/>
      <c r="M3" s="112"/>
      <c r="N3" s="112"/>
      <c r="O3" s="112"/>
      <c r="P3" s="31"/>
      <c r="Q3" s="31"/>
      <c r="R3" s="31"/>
      <c r="S3" s="31"/>
      <c r="T3" s="31"/>
      <c r="U3" s="31"/>
      <c r="V3" s="31"/>
    </row>
    <row r="4" spans="1:2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ht="21" x14ac:dyDescent="0.4">
      <c r="A5" s="31"/>
      <c r="B5" s="76" t="s">
        <v>1039</v>
      </c>
      <c r="C5" s="113" t="s">
        <v>1053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31"/>
    </row>
    <row r="6" spans="1:22" ht="21" x14ac:dyDescent="0.4">
      <c r="A6" s="31"/>
      <c r="B6" s="76" t="s">
        <v>1040</v>
      </c>
      <c r="C6" s="113" t="s">
        <v>1034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31"/>
    </row>
    <row r="7" spans="1:22" ht="21" x14ac:dyDescent="0.4">
      <c r="A7" s="31"/>
      <c r="B7" s="76" t="s">
        <v>1041</v>
      </c>
      <c r="C7" s="113" t="s">
        <v>1035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31"/>
    </row>
    <row r="8" spans="1:22" ht="21" x14ac:dyDescent="0.4">
      <c r="A8" s="31"/>
      <c r="B8" s="76" t="s">
        <v>1042</v>
      </c>
      <c r="C8" s="113" t="s">
        <v>1048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31"/>
    </row>
    <row r="9" spans="1:22" ht="21" x14ac:dyDescent="0.4">
      <c r="A9" s="31"/>
      <c r="B9" s="76" t="s">
        <v>1043</v>
      </c>
      <c r="C9" s="113" t="s">
        <v>1047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31"/>
    </row>
    <row r="10" spans="1:22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2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</sheetData>
  <mergeCells count="7">
    <mergeCell ref="C8:U8"/>
    <mergeCell ref="C9:U9"/>
    <mergeCell ref="A1:U2"/>
    <mergeCell ref="G3:O3"/>
    <mergeCell ref="C5:U5"/>
    <mergeCell ref="C6:U6"/>
    <mergeCell ref="C7:U7"/>
  </mergeCells>
  <phoneticPr fontId="3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CE1-83E7-49FA-B115-3FE374B53C0A}">
  <dimension ref="A1:U47"/>
  <sheetViews>
    <sheetView zoomScale="80" zoomScaleNormal="80" workbookViewId="0">
      <selection activeCell="K9" sqref="K9"/>
    </sheetView>
  </sheetViews>
  <sheetFormatPr defaultRowHeight="14.4" x14ac:dyDescent="0.3"/>
  <cols>
    <col min="2" max="2" width="10.77734375" bestFit="1" customWidth="1"/>
    <col min="3" max="3" width="13.77734375" bestFit="1" customWidth="1"/>
    <col min="4" max="4" width="14.5546875" bestFit="1" customWidth="1"/>
    <col min="5" max="6" width="14" customWidth="1"/>
    <col min="8" max="8" width="10.77734375" bestFit="1" customWidth="1"/>
    <col min="9" max="9" width="17.77734375" customWidth="1"/>
    <col min="10" max="10" width="13.6640625" customWidth="1"/>
    <col min="11" max="11" width="14.88671875" customWidth="1"/>
    <col min="14" max="14" width="10.77734375" bestFit="1" customWidth="1"/>
    <col min="15" max="15" width="22.6640625" customWidth="1"/>
    <col min="16" max="16" width="11.77734375" customWidth="1"/>
    <col min="17" max="17" width="16.21875" customWidth="1"/>
    <col min="18" max="18" width="8.88671875" customWidth="1"/>
  </cols>
  <sheetData>
    <row r="1" spans="1:21" ht="14.4" customHeight="1" x14ac:dyDescent="0.3">
      <c r="A1" s="82" t="s">
        <v>1038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21" ht="14.4" customHeight="1" x14ac:dyDescent="0.3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18" customHeight="1" x14ac:dyDescent="0.35">
      <c r="A4" s="81" t="s">
        <v>983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spans="1:21" ht="15.6" x14ac:dyDescent="0.3">
      <c r="A6" s="31"/>
      <c r="B6" s="78" t="s">
        <v>1036</v>
      </c>
      <c r="C6" s="78"/>
      <c r="D6" s="78"/>
      <c r="E6" s="74"/>
      <c r="F6" s="74"/>
      <c r="G6" s="74"/>
      <c r="H6" s="83" t="s">
        <v>937</v>
      </c>
      <c r="I6" s="83"/>
      <c r="J6" s="83"/>
      <c r="K6" s="83"/>
      <c r="L6" s="83"/>
      <c r="M6" s="31"/>
      <c r="N6" s="71" t="s">
        <v>1033</v>
      </c>
      <c r="O6" s="71"/>
      <c r="P6" s="71"/>
      <c r="Q6" s="71"/>
      <c r="R6" s="39"/>
      <c r="S6" s="31"/>
      <c r="T6" s="31"/>
      <c r="U6" s="31"/>
    </row>
    <row r="7" spans="1:21" ht="43.2" x14ac:dyDescent="0.3">
      <c r="A7" s="31"/>
      <c r="B7" s="28" t="s">
        <v>0</v>
      </c>
      <c r="C7" s="29" t="s">
        <v>943</v>
      </c>
      <c r="D7" s="29" t="s">
        <v>936</v>
      </c>
      <c r="E7" s="29" t="s">
        <v>944</v>
      </c>
      <c r="F7" s="30" t="s">
        <v>1037</v>
      </c>
      <c r="G7" s="31"/>
      <c r="H7" s="59" t="s">
        <v>852</v>
      </c>
      <c r="I7" s="59" t="s">
        <v>894</v>
      </c>
      <c r="J7" s="9" t="s">
        <v>897</v>
      </c>
      <c r="K7" s="9" t="s">
        <v>938</v>
      </c>
      <c r="L7" s="73" t="s">
        <v>939</v>
      </c>
      <c r="M7" s="31"/>
      <c r="N7" s="59" t="s">
        <v>852</v>
      </c>
      <c r="O7" s="59" t="s">
        <v>982</v>
      </c>
      <c r="P7" s="9" t="s">
        <v>935</v>
      </c>
      <c r="Q7" s="9" t="s">
        <v>936</v>
      </c>
      <c r="R7" s="31"/>
      <c r="S7" s="31"/>
      <c r="T7" s="31"/>
      <c r="U7" s="31"/>
    </row>
    <row r="8" spans="1:21" x14ac:dyDescent="0.3">
      <c r="A8" s="31"/>
      <c r="B8" s="10" t="s">
        <v>934</v>
      </c>
      <c r="C8" s="10">
        <v>231</v>
      </c>
      <c r="D8" s="10">
        <v>832</v>
      </c>
      <c r="E8" s="24">
        <v>73.5</v>
      </c>
      <c r="F8" s="75">
        <f>($D8-$C8)</f>
        <v>601</v>
      </c>
      <c r="G8" s="31"/>
      <c r="H8" s="2">
        <v>1</v>
      </c>
      <c r="I8" s="21">
        <v>10.608333333333333</v>
      </c>
      <c r="J8" s="21">
        <v>73.25</v>
      </c>
      <c r="K8" s="21">
        <v>37.133333333333333</v>
      </c>
      <c r="L8" s="36" t="s">
        <v>940</v>
      </c>
      <c r="M8" s="31"/>
      <c r="N8" s="2">
        <v>1</v>
      </c>
      <c r="O8">
        <v>252</v>
      </c>
      <c r="P8">
        <v>316</v>
      </c>
      <c r="Q8">
        <v>420</v>
      </c>
      <c r="R8" s="31"/>
      <c r="S8" s="31"/>
      <c r="T8" s="31"/>
      <c r="U8" s="31"/>
    </row>
    <row r="9" spans="1:21" x14ac:dyDescent="0.3">
      <c r="A9" s="31"/>
      <c r="B9" s="10" t="s">
        <v>933</v>
      </c>
      <c r="C9" s="10">
        <v>259</v>
      </c>
      <c r="D9" s="10">
        <v>954</v>
      </c>
      <c r="E9" s="24">
        <v>74.083333333333329</v>
      </c>
      <c r="F9" s="75">
        <f t="shared" ref="F9:F42" si="0">($D9-$C9)</f>
        <v>695</v>
      </c>
      <c r="G9" s="31"/>
      <c r="H9" s="2">
        <v>2</v>
      </c>
      <c r="I9" s="21">
        <v>12.966666666666667</v>
      </c>
      <c r="J9" s="21">
        <v>74.841666666666669</v>
      </c>
      <c r="K9" s="21">
        <v>44.19166666666667</v>
      </c>
      <c r="L9" s="36" t="s">
        <v>941</v>
      </c>
      <c r="M9" s="31"/>
      <c r="N9" s="2">
        <v>2</v>
      </c>
      <c r="O9">
        <v>281</v>
      </c>
      <c r="P9">
        <v>346</v>
      </c>
      <c r="Q9">
        <v>464</v>
      </c>
      <c r="R9" s="31"/>
      <c r="S9" s="31"/>
      <c r="T9" s="31"/>
      <c r="U9" s="31"/>
    </row>
    <row r="10" spans="1:21" x14ac:dyDescent="0.3">
      <c r="A10" s="31"/>
      <c r="B10" s="10" t="s">
        <v>932</v>
      </c>
      <c r="C10" s="10">
        <v>327</v>
      </c>
      <c r="D10" s="10">
        <v>1063</v>
      </c>
      <c r="E10" s="24">
        <v>82.041666666666671</v>
      </c>
      <c r="F10" s="75">
        <f t="shared" si="0"/>
        <v>736</v>
      </c>
      <c r="G10" s="31"/>
      <c r="H10" s="2">
        <v>3</v>
      </c>
      <c r="I10" s="21">
        <v>13.907563025210084</v>
      </c>
      <c r="J10" s="21">
        <v>78.268907563025209</v>
      </c>
      <c r="K10" s="21">
        <v>48.184873949579831</v>
      </c>
      <c r="L10" s="36" t="s">
        <v>941</v>
      </c>
      <c r="M10" s="31"/>
      <c r="N10" s="2">
        <v>3</v>
      </c>
      <c r="O10">
        <v>282</v>
      </c>
      <c r="P10">
        <v>359</v>
      </c>
      <c r="Q10">
        <v>444</v>
      </c>
      <c r="R10" s="31"/>
      <c r="S10" s="31"/>
      <c r="T10" s="31"/>
      <c r="U10" s="31"/>
    </row>
    <row r="11" spans="1:21" x14ac:dyDescent="0.3">
      <c r="A11" s="31"/>
      <c r="B11" s="10" t="s">
        <v>931</v>
      </c>
      <c r="C11" s="10">
        <v>345</v>
      </c>
      <c r="D11" s="10">
        <v>1300</v>
      </c>
      <c r="E11" s="24">
        <v>72.5</v>
      </c>
      <c r="F11" s="75">
        <f t="shared" si="0"/>
        <v>955</v>
      </c>
      <c r="G11" s="31"/>
      <c r="H11" s="2">
        <v>4</v>
      </c>
      <c r="I11" s="21">
        <v>15.675000000000001</v>
      </c>
      <c r="J11" s="21">
        <v>72.341666666666669</v>
      </c>
      <c r="K11" s="21">
        <v>53.93333333333333</v>
      </c>
      <c r="L11" s="36" t="s">
        <v>941</v>
      </c>
      <c r="M11" s="31"/>
      <c r="N11" s="2">
        <v>4</v>
      </c>
      <c r="O11">
        <v>271</v>
      </c>
      <c r="P11">
        <v>325</v>
      </c>
      <c r="Q11">
        <v>403</v>
      </c>
      <c r="R11" s="31"/>
      <c r="S11" s="31"/>
      <c r="T11" s="31"/>
      <c r="U11" s="31"/>
    </row>
    <row r="12" spans="1:21" x14ac:dyDescent="0.3">
      <c r="A12" s="31"/>
      <c r="B12" s="10" t="s">
        <v>930</v>
      </c>
      <c r="C12" s="10">
        <v>375</v>
      </c>
      <c r="D12" s="10">
        <v>1200</v>
      </c>
      <c r="E12" s="24">
        <v>72.875</v>
      </c>
      <c r="F12" s="75">
        <f t="shared" si="0"/>
        <v>825</v>
      </c>
      <c r="G12" s="31"/>
      <c r="H12" s="2">
        <v>5</v>
      </c>
      <c r="I12" s="21">
        <v>16.7</v>
      </c>
      <c r="J12" s="21">
        <v>71.174999999999997</v>
      </c>
      <c r="K12" s="21">
        <v>62.791666666666664</v>
      </c>
      <c r="L12" s="36" t="s">
        <v>942</v>
      </c>
      <c r="M12" s="31"/>
      <c r="N12" s="2">
        <v>5</v>
      </c>
      <c r="O12">
        <v>283</v>
      </c>
      <c r="P12">
        <v>305</v>
      </c>
      <c r="Q12">
        <v>511</v>
      </c>
      <c r="R12" s="31"/>
      <c r="S12" s="31"/>
      <c r="T12" s="31"/>
      <c r="U12" s="31"/>
    </row>
    <row r="13" spans="1:21" x14ac:dyDescent="0.3">
      <c r="A13" s="31"/>
      <c r="B13" s="10" t="s">
        <v>929</v>
      </c>
      <c r="C13" s="10">
        <v>289</v>
      </c>
      <c r="D13" s="10">
        <v>924</v>
      </c>
      <c r="E13" s="24">
        <v>79.958333333333329</v>
      </c>
      <c r="F13" s="75">
        <f t="shared" si="0"/>
        <v>635</v>
      </c>
      <c r="G13" s="31"/>
      <c r="H13" s="2">
        <v>6</v>
      </c>
      <c r="I13" s="21">
        <v>14.725</v>
      </c>
      <c r="J13" s="21">
        <v>79.724999999999994</v>
      </c>
      <c r="K13" s="21">
        <v>49.116666666666667</v>
      </c>
      <c r="L13" s="36" t="s">
        <v>941</v>
      </c>
      <c r="M13" s="31"/>
      <c r="N13" s="2">
        <v>6</v>
      </c>
      <c r="O13">
        <v>92</v>
      </c>
      <c r="P13">
        <v>193</v>
      </c>
      <c r="Q13">
        <v>161</v>
      </c>
      <c r="R13" s="31"/>
      <c r="S13" s="31"/>
      <c r="T13" s="31"/>
      <c r="U13" s="31"/>
    </row>
    <row r="14" spans="1:21" x14ac:dyDescent="0.3">
      <c r="A14" s="31"/>
      <c r="B14" s="10" t="s">
        <v>928</v>
      </c>
      <c r="C14" s="10">
        <v>245</v>
      </c>
      <c r="D14" s="10">
        <v>760</v>
      </c>
      <c r="E14" s="24">
        <v>87.25</v>
      </c>
      <c r="F14" s="75">
        <f t="shared" si="0"/>
        <v>515</v>
      </c>
      <c r="G14" s="31"/>
      <c r="H14" s="2">
        <v>7</v>
      </c>
      <c r="I14" s="21">
        <v>13.35</v>
      </c>
      <c r="J14" s="21">
        <v>80.05</v>
      </c>
      <c r="K14" s="21">
        <v>42.625</v>
      </c>
      <c r="L14" s="36" t="s">
        <v>941</v>
      </c>
      <c r="M14" s="31"/>
      <c r="N14" s="2">
        <v>7</v>
      </c>
      <c r="O14">
        <v>68</v>
      </c>
      <c r="P14">
        <v>155</v>
      </c>
      <c r="Q14">
        <v>100</v>
      </c>
      <c r="R14" s="31"/>
      <c r="S14" s="31"/>
      <c r="T14" s="31"/>
      <c r="U14" s="31"/>
    </row>
    <row r="15" spans="1:21" x14ac:dyDescent="0.3">
      <c r="A15" s="31"/>
      <c r="B15" s="10" t="s">
        <v>927</v>
      </c>
      <c r="C15" s="10">
        <v>222</v>
      </c>
      <c r="D15" s="10">
        <v>775</v>
      </c>
      <c r="E15" s="24">
        <v>76.541666666666671</v>
      </c>
      <c r="F15" s="75">
        <f t="shared" si="0"/>
        <v>553</v>
      </c>
      <c r="G15" s="31"/>
      <c r="H15" s="31"/>
      <c r="I15" s="31"/>
      <c r="J15" s="31"/>
      <c r="K15" s="31"/>
      <c r="L15" s="31"/>
      <c r="M15" s="31"/>
      <c r="N15" s="2" t="s">
        <v>878</v>
      </c>
      <c r="O15">
        <v>1529</v>
      </c>
      <c r="P15">
        <v>1999</v>
      </c>
      <c r="Q15">
        <v>2503</v>
      </c>
      <c r="R15" s="31"/>
      <c r="S15" s="31"/>
      <c r="T15" s="31"/>
      <c r="U15" s="31"/>
    </row>
    <row r="16" spans="1:21" x14ac:dyDescent="0.3">
      <c r="A16" s="31"/>
      <c r="B16" s="10" t="s">
        <v>926</v>
      </c>
      <c r="C16" s="10">
        <v>224</v>
      </c>
      <c r="D16" s="10">
        <v>727</v>
      </c>
      <c r="E16" s="24">
        <v>85.708333333333329</v>
      </c>
      <c r="F16" s="75">
        <f t="shared" si="0"/>
        <v>503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ht="13.2" customHeight="1" x14ac:dyDescent="0.3">
      <c r="A17" s="31"/>
      <c r="B17" s="10" t="s">
        <v>925</v>
      </c>
      <c r="C17" s="10">
        <v>329</v>
      </c>
      <c r="D17" s="10">
        <v>1111</v>
      </c>
      <c r="E17" s="24">
        <v>84.416666666666671</v>
      </c>
      <c r="F17" s="75">
        <f t="shared" si="0"/>
        <v>782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3">
      <c r="A18" s="31"/>
      <c r="B18" s="10" t="s">
        <v>924</v>
      </c>
      <c r="C18" s="10">
        <v>340</v>
      </c>
      <c r="D18" s="10">
        <v>1136</v>
      </c>
      <c r="E18" s="24">
        <v>79.25</v>
      </c>
      <c r="F18" s="75">
        <f t="shared" si="0"/>
        <v>796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x14ac:dyDescent="0.3">
      <c r="A19" s="31"/>
      <c r="B19" s="10" t="s">
        <v>923</v>
      </c>
      <c r="C19" s="10">
        <v>370</v>
      </c>
      <c r="D19" s="10">
        <v>1239</v>
      </c>
      <c r="E19" s="24">
        <v>79.833333333333329</v>
      </c>
      <c r="F19" s="75">
        <f t="shared" si="0"/>
        <v>869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x14ac:dyDescent="0.3">
      <c r="A20" s="31"/>
      <c r="B20" s="10" t="s">
        <v>922</v>
      </c>
      <c r="C20" s="10">
        <v>313</v>
      </c>
      <c r="D20" s="10">
        <v>903</v>
      </c>
      <c r="E20" s="24">
        <v>91.166666666666671</v>
      </c>
      <c r="F20" s="75">
        <f t="shared" si="0"/>
        <v>590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x14ac:dyDescent="0.3">
      <c r="A21" s="31"/>
      <c r="B21" s="10" t="s">
        <v>921</v>
      </c>
      <c r="C21" s="10">
        <v>318</v>
      </c>
      <c r="D21" s="10">
        <v>905</v>
      </c>
      <c r="E21" s="24">
        <v>85.458333333333329</v>
      </c>
      <c r="F21" s="75">
        <f t="shared" si="0"/>
        <v>587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ht="16.8" customHeight="1" x14ac:dyDescent="0.5">
      <c r="A22" s="31"/>
      <c r="B22" s="10" t="s">
        <v>920</v>
      </c>
      <c r="C22" s="10">
        <v>267</v>
      </c>
      <c r="D22" s="10">
        <v>876</v>
      </c>
      <c r="E22" s="24">
        <v>77.541666666666671</v>
      </c>
      <c r="F22" s="75">
        <f t="shared" si="0"/>
        <v>609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0"/>
      <c r="U22" s="31"/>
    </row>
    <row r="23" spans="1:21" x14ac:dyDescent="0.3">
      <c r="A23" s="31"/>
      <c r="B23" s="10" t="s">
        <v>919</v>
      </c>
      <c r="C23" s="10">
        <v>413</v>
      </c>
      <c r="D23" s="10">
        <v>1332</v>
      </c>
      <c r="E23" s="24">
        <v>75.083333333333329</v>
      </c>
      <c r="F23" s="75">
        <f t="shared" si="0"/>
        <v>919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3">
      <c r="A24" s="31"/>
      <c r="B24" s="10" t="s">
        <v>918</v>
      </c>
      <c r="C24" s="10">
        <v>280</v>
      </c>
      <c r="D24" s="10">
        <v>959</v>
      </c>
      <c r="E24" s="24">
        <v>79.166666666666671</v>
      </c>
      <c r="F24" s="75">
        <f t="shared" si="0"/>
        <v>679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x14ac:dyDescent="0.3">
      <c r="A25" s="31"/>
      <c r="B25" s="10" t="s">
        <v>917</v>
      </c>
      <c r="C25" s="10">
        <v>235</v>
      </c>
      <c r="D25" s="10">
        <v>839</v>
      </c>
      <c r="E25" s="24">
        <v>77.875</v>
      </c>
      <c r="F25" s="75">
        <f t="shared" si="0"/>
        <v>604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x14ac:dyDescent="0.3">
      <c r="A26" s="31"/>
      <c r="B26" s="10" t="s">
        <v>916</v>
      </c>
      <c r="C26" s="10">
        <v>202</v>
      </c>
      <c r="D26" s="10">
        <v>656</v>
      </c>
      <c r="E26" s="24">
        <v>82.625</v>
      </c>
      <c r="F26" s="75">
        <f t="shared" si="0"/>
        <v>454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x14ac:dyDescent="0.3">
      <c r="A27" s="31"/>
      <c r="B27" s="10" t="s">
        <v>915</v>
      </c>
      <c r="C27" s="10">
        <v>161</v>
      </c>
      <c r="D27" s="10">
        <v>547</v>
      </c>
      <c r="E27" s="24">
        <v>88.666666666666671</v>
      </c>
      <c r="F27" s="75">
        <f t="shared" si="0"/>
        <v>386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x14ac:dyDescent="0.3">
      <c r="A28" s="31"/>
      <c r="B28" s="10" t="s">
        <v>914</v>
      </c>
      <c r="C28" s="10">
        <v>242</v>
      </c>
      <c r="D28" s="10">
        <v>854</v>
      </c>
      <c r="E28" s="24">
        <v>84.208333333333329</v>
      </c>
      <c r="F28" s="75">
        <f t="shared" si="0"/>
        <v>612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x14ac:dyDescent="0.3">
      <c r="A29" s="31"/>
      <c r="B29" s="10" t="s">
        <v>913</v>
      </c>
      <c r="C29" s="10">
        <v>287</v>
      </c>
      <c r="D29" s="10">
        <v>1047</v>
      </c>
      <c r="E29" s="24">
        <v>76.375</v>
      </c>
      <c r="F29" s="75">
        <f t="shared" si="0"/>
        <v>760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x14ac:dyDescent="0.3">
      <c r="A30" s="31"/>
      <c r="B30" s="10" t="s">
        <v>912</v>
      </c>
      <c r="C30" s="10">
        <v>307</v>
      </c>
      <c r="D30" s="10">
        <v>1034</v>
      </c>
      <c r="E30" s="24">
        <v>70.875</v>
      </c>
      <c r="F30" s="75">
        <f t="shared" si="0"/>
        <v>727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x14ac:dyDescent="0.3">
      <c r="A31" s="31"/>
      <c r="B31" s="10" t="s">
        <v>911</v>
      </c>
      <c r="C31" s="10">
        <v>321</v>
      </c>
      <c r="D31" s="10">
        <v>1127</v>
      </c>
      <c r="E31" s="24">
        <v>79.434782608695656</v>
      </c>
      <c r="F31" s="75">
        <f t="shared" si="0"/>
        <v>806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x14ac:dyDescent="0.3">
      <c r="A32" s="31"/>
      <c r="B32" s="10" t="s">
        <v>910</v>
      </c>
      <c r="C32" s="10">
        <v>447</v>
      </c>
      <c r="D32" s="10">
        <v>1350</v>
      </c>
      <c r="E32" s="24">
        <v>71.291666666666671</v>
      </c>
      <c r="F32" s="75">
        <f t="shared" si="0"/>
        <v>903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x14ac:dyDescent="0.3">
      <c r="A33" s="31"/>
      <c r="B33" s="10" t="s">
        <v>909</v>
      </c>
      <c r="C33" s="10">
        <v>512</v>
      </c>
      <c r="D33" s="10">
        <v>1709</v>
      </c>
      <c r="E33" s="24">
        <v>65.25</v>
      </c>
      <c r="F33" s="75">
        <f t="shared" si="0"/>
        <v>1197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ht="14.4" customHeight="1" x14ac:dyDescent="0.3">
      <c r="A34" s="31"/>
      <c r="B34" s="10" t="s">
        <v>908</v>
      </c>
      <c r="C34" s="10">
        <v>442</v>
      </c>
      <c r="D34" s="10">
        <v>1395</v>
      </c>
      <c r="E34" s="24">
        <v>75.583333333333329</v>
      </c>
      <c r="F34" s="75">
        <f t="shared" si="0"/>
        <v>953</v>
      </c>
      <c r="G34" s="31"/>
      <c r="H34" s="79" t="s">
        <v>984</v>
      </c>
      <c r="I34" s="79"/>
      <c r="J34" s="79"/>
      <c r="K34" s="79"/>
      <c r="L34" s="79"/>
      <c r="M34" s="79"/>
      <c r="N34" s="79"/>
      <c r="O34" s="79"/>
      <c r="P34" s="79"/>
      <c r="Q34" s="79"/>
      <c r="R34" s="31"/>
      <c r="S34" s="31"/>
      <c r="T34" s="31"/>
      <c r="U34" s="31"/>
    </row>
    <row r="35" spans="1:21" ht="14.4" customHeight="1" x14ac:dyDescent="0.3">
      <c r="A35" s="31"/>
      <c r="B35" s="10" t="s">
        <v>907</v>
      </c>
      <c r="C35" s="10">
        <v>377</v>
      </c>
      <c r="D35" s="10">
        <v>1258</v>
      </c>
      <c r="E35" s="24">
        <v>65.25</v>
      </c>
      <c r="F35" s="75">
        <f t="shared" si="0"/>
        <v>881</v>
      </c>
      <c r="G35" s="31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31"/>
      <c r="S35" s="31"/>
      <c r="T35" s="31"/>
      <c r="U35" s="31"/>
    </row>
    <row r="36" spans="1:21" ht="14.4" customHeight="1" x14ac:dyDescent="0.3">
      <c r="A36" s="31"/>
      <c r="B36" s="10" t="s">
        <v>906</v>
      </c>
      <c r="C36" s="10">
        <v>266</v>
      </c>
      <c r="D36" s="10">
        <v>926</v>
      </c>
      <c r="E36" s="24">
        <v>62.291666666666664</v>
      </c>
      <c r="F36" s="75">
        <f t="shared" si="0"/>
        <v>660</v>
      </c>
      <c r="G36" s="31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31"/>
      <c r="S36" s="31"/>
      <c r="T36" s="31"/>
      <c r="U36" s="31"/>
    </row>
    <row r="37" spans="1:21" ht="14.4" customHeight="1" x14ac:dyDescent="0.3">
      <c r="A37" s="31"/>
      <c r="B37" s="10" t="s">
        <v>905</v>
      </c>
      <c r="C37" s="10">
        <v>353</v>
      </c>
      <c r="D37" s="10">
        <v>1256</v>
      </c>
      <c r="E37" s="24">
        <v>68.458333333333329</v>
      </c>
      <c r="F37" s="75">
        <f t="shared" si="0"/>
        <v>903</v>
      </c>
      <c r="G37" s="31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31"/>
      <c r="S37" s="31"/>
      <c r="T37" s="31"/>
      <c r="U37" s="31"/>
    </row>
    <row r="38" spans="1:21" x14ac:dyDescent="0.3">
      <c r="A38" s="31"/>
      <c r="B38" s="10" t="s">
        <v>904</v>
      </c>
      <c r="C38" s="10">
        <v>398</v>
      </c>
      <c r="D38" s="10">
        <v>1474</v>
      </c>
      <c r="E38" s="24">
        <v>66.333333333333329</v>
      </c>
      <c r="F38" s="75">
        <f t="shared" si="0"/>
        <v>1076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x14ac:dyDescent="0.3">
      <c r="A39" s="31"/>
      <c r="B39" s="10" t="s">
        <v>903</v>
      </c>
      <c r="C39" s="10">
        <v>514</v>
      </c>
      <c r="D39" s="10">
        <v>1847</v>
      </c>
      <c r="E39" s="24">
        <v>60.791666666666664</v>
      </c>
      <c r="F39" s="75">
        <f t="shared" si="0"/>
        <v>1333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x14ac:dyDescent="0.3">
      <c r="A40" s="31"/>
      <c r="B40" s="10" t="s">
        <v>902</v>
      </c>
      <c r="C40" s="10">
        <v>545</v>
      </c>
      <c r="D40" s="10">
        <v>2731</v>
      </c>
      <c r="E40" s="24">
        <v>55.291666666666664</v>
      </c>
      <c r="F40" s="75">
        <f t="shared" si="0"/>
        <v>2186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x14ac:dyDescent="0.3">
      <c r="A41" s="31"/>
      <c r="B41" s="10" t="s">
        <v>901</v>
      </c>
      <c r="C41" s="10">
        <v>562</v>
      </c>
      <c r="D41" s="10">
        <v>2125</v>
      </c>
      <c r="E41" s="24">
        <v>63.25</v>
      </c>
      <c r="F41" s="75">
        <f t="shared" si="0"/>
        <v>1563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x14ac:dyDescent="0.3">
      <c r="A42" s="31"/>
      <c r="B42" s="10" t="s">
        <v>900</v>
      </c>
      <c r="C42" s="10">
        <v>420</v>
      </c>
      <c r="D42" s="10">
        <v>1338</v>
      </c>
      <c r="E42" s="24">
        <v>78.083333333333329</v>
      </c>
      <c r="F42" s="75">
        <f t="shared" si="0"/>
        <v>918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ht="25.8" x14ac:dyDescent="0.5">
      <c r="A44" s="80" t="s">
        <v>985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</row>
    <row r="45" spans="1:2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</sheetData>
  <mergeCells count="6">
    <mergeCell ref="B6:D6"/>
    <mergeCell ref="H34:Q37"/>
    <mergeCell ref="A44:U44"/>
    <mergeCell ref="A4:U4"/>
    <mergeCell ref="A1:U2"/>
    <mergeCell ref="H6:L6"/>
  </mergeCells>
  <conditionalFormatting sqref="H7:L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L7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K8:K1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Q8:Q1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I8:I14">
    <cfRule type="colorScale" priority="8">
      <colorScale>
        <cfvo type="min"/>
        <cfvo type="max"/>
        <color rgb="FFFFEF9C"/>
        <color rgb="FF63BE7B"/>
      </colorScale>
    </cfRule>
  </conditionalFormatting>
  <conditionalFormatting pivot="1" sqref="J8:J14">
    <cfRule type="colorScale" priority="6">
      <colorScale>
        <cfvo type="min"/>
        <cfvo type="max"/>
        <color rgb="FFFFEF9C"/>
        <color rgb="FF63BE7B"/>
      </colorScale>
    </cfRule>
  </conditionalFormatting>
  <conditionalFormatting pivot="1" sqref="K8:K14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D8:D42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E8:E42">
    <cfRule type="colorScale" priority="3">
      <colorScale>
        <cfvo type="min"/>
        <cfvo type="max"/>
        <color rgb="FFFFEF9C"/>
        <color rgb="FF63BE7B"/>
      </colorScale>
    </cfRule>
  </conditionalFormatting>
  <conditionalFormatting sqref="F8:F42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C8:C4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7391-58EF-402D-BF21-D1ADC11A3457}">
  <dimension ref="A1:AK50"/>
  <sheetViews>
    <sheetView topLeftCell="A20" zoomScale="60" zoomScaleNormal="60" workbookViewId="0">
      <selection activeCell="K56" sqref="K56:K58"/>
    </sheetView>
  </sheetViews>
  <sheetFormatPr defaultRowHeight="14.4" x14ac:dyDescent="0.3"/>
  <cols>
    <col min="2" max="2" width="12.109375" customWidth="1"/>
    <col min="11" max="11" width="16.77734375" customWidth="1"/>
    <col min="12" max="12" width="11.6640625" customWidth="1"/>
    <col min="20" max="20" width="10.6640625" customWidth="1"/>
  </cols>
  <sheetData>
    <row r="1" spans="1:37" ht="14.4" customHeight="1" x14ac:dyDescent="0.3">
      <c r="A1" s="82" t="s">
        <v>998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</row>
    <row r="2" spans="1:37" ht="14.4" customHeight="1" x14ac:dyDescent="0.3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</row>
    <row r="3" spans="1:37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21" x14ac:dyDescent="0.4">
      <c r="A4" s="114" t="s">
        <v>987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</row>
    <row r="5" spans="1:37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 spans="1:37" s="8" customFormat="1" ht="40.799999999999997" customHeight="1" x14ac:dyDescent="0.3">
      <c r="A6" s="41"/>
      <c r="B6" s="13" t="s">
        <v>894</v>
      </c>
      <c r="C6" s="1" t="s">
        <v>986</v>
      </c>
      <c r="D6"/>
      <c r="E6"/>
      <c r="F6"/>
      <c r="G6"/>
      <c r="H6"/>
      <c r="I6"/>
      <c r="J6" s="41"/>
      <c r="K6" s="13" t="s">
        <v>897</v>
      </c>
      <c r="L6" s="13" t="s">
        <v>986</v>
      </c>
      <c r="S6" s="41"/>
      <c r="T6" s="13" t="s">
        <v>898</v>
      </c>
      <c r="U6" s="13" t="s">
        <v>986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</row>
    <row r="7" spans="1:37" x14ac:dyDescent="0.3">
      <c r="A7" s="31"/>
      <c r="B7" s="1" t="s">
        <v>895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 s="31"/>
      <c r="K7" s="1" t="s">
        <v>895</v>
      </c>
      <c r="L7">
        <v>1</v>
      </c>
      <c r="M7">
        <v>2</v>
      </c>
      <c r="N7">
        <v>3</v>
      </c>
      <c r="O7">
        <v>4</v>
      </c>
      <c r="P7">
        <v>5</v>
      </c>
      <c r="Q7">
        <v>6</v>
      </c>
      <c r="R7">
        <v>7</v>
      </c>
      <c r="S7" s="31"/>
      <c r="T7" s="1" t="s">
        <v>895</v>
      </c>
      <c r="U7">
        <v>1</v>
      </c>
      <c r="V7">
        <v>2</v>
      </c>
      <c r="W7">
        <v>3</v>
      </c>
      <c r="X7">
        <v>4</v>
      </c>
      <c r="Y7">
        <v>5</v>
      </c>
      <c r="Z7">
        <v>6</v>
      </c>
      <c r="AA7">
        <v>7</v>
      </c>
      <c r="AB7" s="31"/>
      <c r="AC7" s="7" t="s">
        <v>895</v>
      </c>
      <c r="AD7" s="7">
        <v>1</v>
      </c>
      <c r="AE7" s="7">
        <v>2</v>
      </c>
      <c r="AF7" s="7">
        <v>3</v>
      </c>
      <c r="AG7" s="7">
        <v>4</v>
      </c>
      <c r="AH7" s="7">
        <v>5</v>
      </c>
      <c r="AI7" s="7">
        <v>6</v>
      </c>
      <c r="AJ7" s="7">
        <v>7</v>
      </c>
      <c r="AK7" s="31"/>
    </row>
    <row r="8" spans="1:37" x14ac:dyDescent="0.3">
      <c r="A8" s="31"/>
      <c r="B8" s="2" t="s">
        <v>854</v>
      </c>
      <c r="C8">
        <v>7</v>
      </c>
      <c r="D8">
        <v>8</v>
      </c>
      <c r="E8">
        <v>15.6</v>
      </c>
      <c r="F8">
        <v>20.2</v>
      </c>
      <c r="G8">
        <v>24.8</v>
      </c>
      <c r="H8">
        <v>28.6</v>
      </c>
      <c r="I8">
        <v>33.6</v>
      </c>
      <c r="J8" s="31"/>
      <c r="K8" s="2" t="s">
        <v>854</v>
      </c>
      <c r="L8">
        <v>75.8</v>
      </c>
      <c r="M8">
        <v>80.8</v>
      </c>
      <c r="N8">
        <v>88.6</v>
      </c>
      <c r="O8">
        <v>84</v>
      </c>
      <c r="P8">
        <v>81.8</v>
      </c>
      <c r="Q8">
        <v>90.2</v>
      </c>
      <c r="R8">
        <v>93.4</v>
      </c>
      <c r="S8" s="31"/>
      <c r="T8" s="2" t="s">
        <v>854</v>
      </c>
      <c r="U8">
        <v>14.6</v>
      </c>
      <c r="V8">
        <v>17</v>
      </c>
      <c r="W8">
        <v>22.6</v>
      </c>
      <c r="X8">
        <v>25.2</v>
      </c>
      <c r="Y8">
        <v>24.6</v>
      </c>
      <c r="Z8">
        <v>34.6</v>
      </c>
      <c r="AA8">
        <v>34</v>
      </c>
      <c r="AB8" s="31"/>
      <c r="AC8" s="2" t="s">
        <v>854</v>
      </c>
      <c r="AD8" s="42">
        <f>$U8*(100-$L8)/$L8</f>
        <v>4.6612137203166233</v>
      </c>
      <c r="AE8" s="42">
        <f>$V8*(100-$M8)/$M8</f>
        <v>4.0396039603960405</v>
      </c>
      <c r="AF8" s="42">
        <f>$W8*(100-$N8)/$N8</f>
        <v>2.9079006772009048</v>
      </c>
      <c r="AG8" s="42">
        <f>$X8*(100-$O8)/$O8</f>
        <v>4.8</v>
      </c>
      <c r="AH8" s="42">
        <f>$Y8*(100-$P8)/$P8</f>
        <v>5.4733496332518348</v>
      </c>
      <c r="AI8" s="42">
        <f>$Z8*(100-$Q8)/$Q8</f>
        <v>3.7592017738359194</v>
      </c>
      <c r="AJ8" s="42">
        <f>$AA8*(100-$R8)/$R8</f>
        <v>2.4025695931477493</v>
      </c>
      <c r="AK8" s="31"/>
    </row>
    <row r="9" spans="1:37" x14ac:dyDescent="0.3">
      <c r="A9" s="31"/>
      <c r="B9" s="2" t="s">
        <v>855</v>
      </c>
      <c r="C9">
        <v>3.2</v>
      </c>
      <c r="D9">
        <v>1.4</v>
      </c>
      <c r="E9">
        <v>7</v>
      </c>
      <c r="F9">
        <v>8.6</v>
      </c>
      <c r="G9">
        <v>13.6</v>
      </c>
      <c r="H9">
        <v>30.8</v>
      </c>
      <c r="I9">
        <v>25.6</v>
      </c>
      <c r="J9" s="31"/>
      <c r="K9" s="2" t="s">
        <v>855</v>
      </c>
      <c r="L9">
        <v>69.2</v>
      </c>
      <c r="M9">
        <v>68.8</v>
      </c>
      <c r="N9">
        <v>81.8</v>
      </c>
      <c r="O9">
        <v>87</v>
      </c>
      <c r="P9">
        <v>81.8</v>
      </c>
      <c r="Q9">
        <v>84.4</v>
      </c>
      <c r="R9">
        <v>89.8</v>
      </c>
      <c r="S9" s="31"/>
      <c r="T9" s="2" t="s">
        <v>855</v>
      </c>
      <c r="U9">
        <v>10.4</v>
      </c>
      <c r="V9">
        <v>10.8</v>
      </c>
      <c r="W9">
        <v>18.399999999999999</v>
      </c>
      <c r="X9">
        <v>20.399999999999999</v>
      </c>
      <c r="Y9">
        <v>19.600000000000001</v>
      </c>
      <c r="Z9">
        <v>30.8</v>
      </c>
      <c r="AA9">
        <v>32.6</v>
      </c>
      <c r="AB9" s="31"/>
      <c r="AC9" s="2" t="s">
        <v>855</v>
      </c>
      <c r="AD9" s="42">
        <f t="shared" ref="AD9:AD31" si="0">$U9*(100-$L9)/$L9</f>
        <v>4.6289017341040459</v>
      </c>
      <c r="AE9" s="42">
        <f t="shared" ref="AE9:AE31" si="1">$V9*(100-$M9)/$M9</f>
        <v>4.8976744186046517</v>
      </c>
      <c r="AF9" s="42">
        <f t="shared" ref="AF9:AF31" si="2">$W9*(100-$N9)/$N9</f>
        <v>4.0938875305623483</v>
      </c>
      <c r="AG9" s="42">
        <f t="shared" ref="AG9:AG31" si="3">$X9*(100-$O9)/$O9</f>
        <v>3.0482758620689654</v>
      </c>
      <c r="AH9" s="42">
        <f t="shared" ref="AH9:AH31" si="4">$Y9*(100-$P9)/$P9</f>
        <v>4.3608801955990231</v>
      </c>
      <c r="AI9" s="42">
        <f t="shared" ref="AI9:AI31" si="5">$Z9*(100-$Q9)/$Q9</f>
        <v>5.6928909952606617</v>
      </c>
      <c r="AJ9" s="42">
        <f t="shared" ref="AJ9:AJ31" si="6">$AA9*(100-$R9)/$R9</f>
        <v>3.7028953229398676</v>
      </c>
      <c r="AK9" s="31"/>
    </row>
    <row r="10" spans="1:37" x14ac:dyDescent="0.3">
      <c r="A10" s="31"/>
      <c r="B10" s="2" t="s">
        <v>856</v>
      </c>
      <c r="C10">
        <v>2.4</v>
      </c>
      <c r="D10">
        <v>1.2</v>
      </c>
      <c r="E10">
        <v>4.2</v>
      </c>
      <c r="F10">
        <v>5</v>
      </c>
      <c r="G10">
        <v>8.8000000000000007</v>
      </c>
      <c r="H10">
        <v>23.4</v>
      </c>
      <c r="I10">
        <v>19.8</v>
      </c>
      <c r="J10" s="31"/>
      <c r="K10" s="2" t="s">
        <v>856</v>
      </c>
      <c r="L10">
        <v>69.599999999999994</v>
      </c>
      <c r="M10">
        <v>70.2</v>
      </c>
      <c r="N10">
        <v>74.400000000000006</v>
      </c>
      <c r="O10">
        <v>69.400000000000006</v>
      </c>
      <c r="P10">
        <v>76.400000000000006</v>
      </c>
      <c r="Q10">
        <v>83.4</v>
      </c>
      <c r="R10">
        <v>89.8</v>
      </c>
      <c r="S10" s="31"/>
      <c r="T10" s="2" t="s">
        <v>856</v>
      </c>
      <c r="U10">
        <v>7.6</v>
      </c>
      <c r="V10">
        <v>9</v>
      </c>
      <c r="W10">
        <v>11.8</v>
      </c>
      <c r="X10">
        <v>13.4</v>
      </c>
      <c r="Y10">
        <v>15.4</v>
      </c>
      <c r="Z10">
        <v>27.4</v>
      </c>
      <c r="AA10">
        <v>26.4</v>
      </c>
      <c r="AB10" s="31"/>
      <c r="AC10" s="2" t="s">
        <v>856</v>
      </c>
      <c r="AD10" s="42">
        <f t="shared" si="0"/>
        <v>3.319540229885058</v>
      </c>
      <c r="AE10" s="42">
        <f t="shared" si="1"/>
        <v>3.8205128205128203</v>
      </c>
      <c r="AF10" s="42">
        <f t="shared" si="2"/>
        <v>4.0602150537634394</v>
      </c>
      <c r="AG10" s="42">
        <f t="shared" si="3"/>
        <v>5.9083573487031682</v>
      </c>
      <c r="AH10" s="42">
        <f t="shared" si="4"/>
        <v>4.7570680628272237</v>
      </c>
      <c r="AI10" s="42">
        <f t="shared" si="5"/>
        <v>5.4537170263788939</v>
      </c>
      <c r="AJ10" s="42">
        <f t="shared" si="6"/>
        <v>2.9986636971046781</v>
      </c>
      <c r="AK10" s="31"/>
    </row>
    <row r="11" spans="1:37" x14ac:dyDescent="0.3">
      <c r="A11" s="31"/>
      <c r="B11" s="2" t="s">
        <v>857</v>
      </c>
      <c r="C11">
        <v>0.4</v>
      </c>
      <c r="D11">
        <v>0.4</v>
      </c>
      <c r="E11">
        <v>3.6</v>
      </c>
      <c r="F11">
        <v>4.2</v>
      </c>
      <c r="G11">
        <v>7.4</v>
      </c>
      <c r="H11">
        <v>21</v>
      </c>
      <c r="I11">
        <v>19.2</v>
      </c>
      <c r="J11" s="31"/>
      <c r="K11" s="2" t="s">
        <v>857</v>
      </c>
      <c r="L11">
        <v>56.6</v>
      </c>
      <c r="M11">
        <v>56</v>
      </c>
      <c r="N11">
        <v>64.8</v>
      </c>
      <c r="O11">
        <v>44.8</v>
      </c>
      <c r="P11">
        <v>62</v>
      </c>
      <c r="Q11">
        <v>74.400000000000006</v>
      </c>
      <c r="R11">
        <v>86.8</v>
      </c>
      <c r="S11" s="31"/>
      <c r="T11" s="2" t="s">
        <v>857</v>
      </c>
      <c r="U11">
        <v>5.4</v>
      </c>
      <c r="V11">
        <v>8</v>
      </c>
      <c r="W11">
        <v>9.8000000000000007</v>
      </c>
      <c r="X11">
        <v>9.1999999999999993</v>
      </c>
      <c r="Y11">
        <v>11.4</v>
      </c>
      <c r="Z11">
        <v>21.8</v>
      </c>
      <c r="AA11">
        <v>23.6</v>
      </c>
      <c r="AB11" s="31"/>
      <c r="AC11" s="2" t="s">
        <v>857</v>
      </c>
      <c r="AD11" s="42">
        <f t="shared" si="0"/>
        <v>4.1406360424028268</v>
      </c>
      <c r="AE11" s="42">
        <f t="shared" si="1"/>
        <v>6.2857142857142856</v>
      </c>
      <c r="AF11" s="42">
        <f t="shared" si="2"/>
        <v>5.3234567901234575</v>
      </c>
      <c r="AG11" s="42">
        <f t="shared" si="3"/>
        <v>11.335714285714285</v>
      </c>
      <c r="AH11" s="42">
        <f t="shared" si="4"/>
        <v>6.9870967741935486</v>
      </c>
      <c r="AI11" s="42">
        <f t="shared" si="5"/>
        <v>7.5010752688172024</v>
      </c>
      <c r="AJ11" s="42">
        <f t="shared" si="6"/>
        <v>3.5889400921658998</v>
      </c>
      <c r="AK11" s="31"/>
    </row>
    <row r="12" spans="1:37" x14ac:dyDescent="0.3">
      <c r="A12" s="31"/>
      <c r="B12" s="2" t="s">
        <v>858</v>
      </c>
      <c r="C12">
        <v>0.6</v>
      </c>
      <c r="D12">
        <v>0.4</v>
      </c>
      <c r="E12">
        <v>3.2</v>
      </c>
      <c r="F12">
        <v>1.6</v>
      </c>
      <c r="G12">
        <v>3.8</v>
      </c>
      <c r="H12">
        <v>17.2</v>
      </c>
      <c r="I12">
        <v>17.2</v>
      </c>
      <c r="J12" s="31"/>
      <c r="K12" s="2" t="s">
        <v>858</v>
      </c>
      <c r="L12">
        <v>35.4</v>
      </c>
      <c r="M12">
        <v>67</v>
      </c>
      <c r="N12">
        <v>49</v>
      </c>
      <c r="O12">
        <v>42.6</v>
      </c>
      <c r="P12">
        <v>47.4</v>
      </c>
      <c r="Q12">
        <v>62.4</v>
      </c>
      <c r="R12">
        <v>70.2</v>
      </c>
      <c r="S12" s="31"/>
      <c r="T12" s="2" t="s">
        <v>858</v>
      </c>
      <c r="U12">
        <v>4.8</v>
      </c>
      <c r="V12">
        <v>7.8</v>
      </c>
      <c r="W12">
        <v>9.6</v>
      </c>
      <c r="X12">
        <v>8.1999999999999993</v>
      </c>
      <c r="Y12">
        <v>7.8</v>
      </c>
      <c r="Z12">
        <v>16.399999999999999</v>
      </c>
      <c r="AA12">
        <v>17.600000000000001</v>
      </c>
      <c r="AB12" s="31"/>
      <c r="AC12" s="2" t="s">
        <v>858</v>
      </c>
      <c r="AD12" s="42">
        <f t="shared" si="0"/>
        <v>8.7593220338983055</v>
      </c>
      <c r="AE12" s="42">
        <f t="shared" si="1"/>
        <v>3.841791044776119</v>
      </c>
      <c r="AF12" s="42">
        <f t="shared" si="2"/>
        <v>9.9918367346938766</v>
      </c>
      <c r="AG12" s="42">
        <f t="shared" si="3"/>
        <v>11.048826291079811</v>
      </c>
      <c r="AH12" s="42">
        <f t="shared" si="4"/>
        <v>8.6556962025316473</v>
      </c>
      <c r="AI12" s="42">
        <f t="shared" si="5"/>
        <v>9.8820512820512825</v>
      </c>
      <c r="AJ12" s="42">
        <f t="shared" si="6"/>
        <v>7.4712250712250716</v>
      </c>
      <c r="AK12" s="31"/>
    </row>
    <row r="13" spans="1:37" x14ac:dyDescent="0.3">
      <c r="A13" s="31"/>
      <c r="B13" s="2" t="s">
        <v>859</v>
      </c>
      <c r="C13">
        <v>1</v>
      </c>
      <c r="D13">
        <v>0.2</v>
      </c>
      <c r="E13">
        <v>1</v>
      </c>
      <c r="F13">
        <v>1</v>
      </c>
      <c r="G13">
        <v>1.8</v>
      </c>
      <c r="H13">
        <v>7.6</v>
      </c>
      <c r="I13">
        <v>7.8</v>
      </c>
      <c r="J13" s="31"/>
      <c r="K13" s="2" t="s">
        <v>859</v>
      </c>
      <c r="L13">
        <v>38.6</v>
      </c>
      <c r="M13">
        <v>65</v>
      </c>
      <c r="N13">
        <v>80.25</v>
      </c>
      <c r="O13">
        <v>73</v>
      </c>
      <c r="P13">
        <v>56</v>
      </c>
      <c r="Q13">
        <v>78.400000000000006</v>
      </c>
      <c r="R13">
        <v>75.8</v>
      </c>
      <c r="S13" s="31"/>
      <c r="T13" s="2" t="s">
        <v>859</v>
      </c>
      <c r="U13">
        <v>4.5999999999999996</v>
      </c>
      <c r="V13">
        <v>8</v>
      </c>
      <c r="W13">
        <v>10</v>
      </c>
      <c r="X13">
        <v>8.8000000000000007</v>
      </c>
      <c r="Y13">
        <v>8.4</v>
      </c>
      <c r="Z13">
        <v>14.2</v>
      </c>
      <c r="AA13">
        <v>14.6</v>
      </c>
      <c r="AB13" s="31"/>
      <c r="AC13" s="2" t="s">
        <v>859</v>
      </c>
      <c r="AD13" s="42">
        <f t="shared" si="0"/>
        <v>7.317098445595855</v>
      </c>
      <c r="AE13" s="42">
        <f t="shared" si="1"/>
        <v>4.3076923076923075</v>
      </c>
      <c r="AF13" s="42">
        <f t="shared" si="2"/>
        <v>2.4610591900311527</v>
      </c>
      <c r="AG13" s="42">
        <f t="shared" si="3"/>
        <v>3.2547945205479456</v>
      </c>
      <c r="AH13" s="42">
        <f t="shared" si="4"/>
        <v>6.6000000000000005</v>
      </c>
      <c r="AI13" s="42">
        <f t="shared" si="5"/>
        <v>3.9122448979591824</v>
      </c>
      <c r="AJ13" s="42">
        <f t="shared" si="6"/>
        <v>4.6612137203166233</v>
      </c>
      <c r="AK13" s="31"/>
    </row>
    <row r="14" spans="1:37" x14ac:dyDescent="0.3">
      <c r="A14" s="31"/>
      <c r="B14" s="2" t="s">
        <v>860</v>
      </c>
      <c r="C14">
        <v>1.6</v>
      </c>
      <c r="D14">
        <v>2</v>
      </c>
      <c r="E14">
        <v>1.4</v>
      </c>
      <c r="F14">
        <v>1</v>
      </c>
      <c r="G14">
        <v>0.8</v>
      </c>
      <c r="H14">
        <v>3</v>
      </c>
      <c r="I14">
        <v>3.4</v>
      </c>
      <c r="J14" s="31"/>
      <c r="K14" s="2" t="s">
        <v>860</v>
      </c>
      <c r="L14">
        <v>48.8</v>
      </c>
      <c r="M14">
        <v>58.8</v>
      </c>
      <c r="N14">
        <v>69.400000000000006</v>
      </c>
      <c r="O14">
        <v>40.4</v>
      </c>
      <c r="P14">
        <v>43</v>
      </c>
      <c r="Q14">
        <v>73.2</v>
      </c>
      <c r="R14">
        <v>78.8</v>
      </c>
      <c r="S14" s="31"/>
      <c r="T14" s="2" t="s">
        <v>860</v>
      </c>
      <c r="U14">
        <v>6.2</v>
      </c>
      <c r="V14">
        <v>9.4</v>
      </c>
      <c r="W14">
        <v>9.6</v>
      </c>
      <c r="X14">
        <v>8.4</v>
      </c>
      <c r="Y14">
        <v>7</v>
      </c>
      <c r="Z14">
        <v>11.4</v>
      </c>
      <c r="AA14">
        <v>11.2</v>
      </c>
      <c r="AB14" s="31"/>
      <c r="AC14" s="2" t="s">
        <v>860</v>
      </c>
      <c r="AD14" s="42">
        <f t="shared" si="0"/>
        <v>6.504918032786887</v>
      </c>
      <c r="AE14" s="42">
        <f t="shared" si="1"/>
        <v>6.5863945578231302</v>
      </c>
      <c r="AF14" s="42">
        <f t="shared" si="2"/>
        <v>4.2328530259365982</v>
      </c>
      <c r="AG14" s="42">
        <f t="shared" si="3"/>
        <v>12.392079207920794</v>
      </c>
      <c r="AH14" s="42">
        <f t="shared" si="4"/>
        <v>9.279069767441861</v>
      </c>
      <c r="AI14" s="42">
        <f t="shared" si="5"/>
        <v>4.1737704918032783</v>
      </c>
      <c r="AJ14" s="42">
        <f t="shared" si="6"/>
        <v>3.0131979695431474</v>
      </c>
      <c r="AK14" s="31"/>
    </row>
    <row r="15" spans="1:37" x14ac:dyDescent="0.3">
      <c r="A15" s="31"/>
      <c r="B15" s="2" t="s">
        <v>861</v>
      </c>
      <c r="C15">
        <v>10</v>
      </c>
      <c r="D15">
        <v>10</v>
      </c>
      <c r="E15">
        <v>8</v>
      </c>
      <c r="F15">
        <v>6.6</v>
      </c>
      <c r="G15">
        <v>8.8000000000000007</v>
      </c>
      <c r="H15">
        <v>2.4</v>
      </c>
      <c r="I15">
        <v>1.8</v>
      </c>
      <c r="J15" s="31"/>
      <c r="K15" s="2" t="s">
        <v>861</v>
      </c>
      <c r="L15">
        <v>50.8</v>
      </c>
      <c r="M15">
        <v>53</v>
      </c>
      <c r="N15">
        <v>62.2</v>
      </c>
      <c r="O15">
        <v>52.4</v>
      </c>
      <c r="P15">
        <v>52.2</v>
      </c>
      <c r="Q15">
        <v>66.599999999999994</v>
      </c>
      <c r="R15">
        <v>68.8</v>
      </c>
      <c r="S15" s="31"/>
      <c r="T15" s="2" t="s">
        <v>861</v>
      </c>
      <c r="U15">
        <v>11.2</v>
      </c>
      <c r="V15">
        <v>14.6</v>
      </c>
      <c r="W15">
        <v>15</v>
      </c>
      <c r="X15">
        <v>11.6</v>
      </c>
      <c r="Y15">
        <v>11.6</v>
      </c>
      <c r="Z15">
        <v>10.8</v>
      </c>
      <c r="AA15">
        <v>9.8000000000000007</v>
      </c>
      <c r="AB15" s="31"/>
      <c r="AC15" s="2" t="s">
        <v>861</v>
      </c>
      <c r="AD15" s="43">
        <f t="shared" si="0"/>
        <v>10.84724409448819</v>
      </c>
      <c r="AE15" s="43">
        <f t="shared" si="1"/>
        <v>12.947169811320753</v>
      </c>
      <c r="AF15" s="43">
        <f t="shared" si="2"/>
        <v>9.115755627009646</v>
      </c>
      <c r="AG15" s="43">
        <f t="shared" si="3"/>
        <v>10.537404580152671</v>
      </c>
      <c r="AH15" s="43">
        <f t="shared" si="4"/>
        <v>10.62222222222222</v>
      </c>
      <c r="AI15" s="42">
        <f t="shared" si="5"/>
        <v>5.4162162162162177</v>
      </c>
      <c r="AJ15" s="42">
        <f t="shared" si="6"/>
        <v>4.4441860465116285</v>
      </c>
      <c r="AK15" s="31"/>
    </row>
    <row r="16" spans="1:37" x14ac:dyDescent="0.3">
      <c r="A16" s="31"/>
      <c r="B16" s="2" t="s">
        <v>862</v>
      </c>
      <c r="C16">
        <v>19.600000000000001</v>
      </c>
      <c r="D16">
        <v>21.6</v>
      </c>
      <c r="E16">
        <v>17</v>
      </c>
      <c r="F16">
        <v>19.399999999999999</v>
      </c>
      <c r="G16">
        <v>18.8</v>
      </c>
      <c r="H16">
        <v>3.8</v>
      </c>
      <c r="I16">
        <v>2.6</v>
      </c>
      <c r="J16" s="31"/>
      <c r="K16" s="2" t="s">
        <v>862</v>
      </c>
      <c r="L16">
        <v>53.8</v>
      </c>
      <c r="M16">
        <v>58</v>
      </c>
      <c r="N16">
        <v>61.8</v>
      </c>
      <c r="O16">
        <v>60.6</v>
      </c>
      <c r="P16">
        <v>61.4</v>
      </c>
      <c r="Q16">
        <v>60.8</v>
      </c>
      <c r="R16">
        <v>62.8</v>
      </c>
      <c r="S16" s="31"/>
      <c r="T16" s="2" t="s">
        <v>862</v>
      </c>
      <c r="U16">
        <v>18.600000000000001</v>
      </c>
      <c r="V16">
        <v>22</v>
      </c>
      <c r="W16">
        <v>23.2</v>
      </c>
      <c r="X16">
        <v>20</v>
      </c>
      <c r="Y16">
        <v>17.600000000000001</v>
      </c>
      <c r="Z16">
        <v>11.8</v>
      </c>
      <c r="AA16">
        <v>8</v>
      </c>
      <c r="AB16" s="31"/>
      <c r="AC16" s="2" t="s">
        <v>862</v>
      </c>
      <c r="AD16" s="43">
        <f t="shared" si="0"/>
        <v>15.972490706319707</v>
      </c>
      <c r="AE16" s="43">
        <f t="shared" si="1"/>
        <v>15.931034482758621</v>
      </c>
      <c r="AF16" s="43">
        <f t="shared" si="2"/>
        <v>14.340453074433658</v>
      </c>
      <c r="AG16" s="43">
        <f t="shared" si="3"/>
        <v>13.003300330033003</v>
      </c>
      <c r="AH16" s="43">
        <f t="shared" si="4"/>
        <v>11.064495114006517</v>
      </c>
      <c r="AI16" s="42">
        <f t="shared" si="5"/>
        <v>7.6078947368421064</v>
      </c>
      <c r="AJ16" s="42">
        <f t="shared" si="6"/>
        <v>4.7388535031847141</v>
      </c>
      <c r="AK16" s="31"/>
    </row>
    <row r="17" spans="1:37" x14ac:dyDescent="0.3">
      <c r="A17" s="31"/>
      <c r="B17" s="2" t="s">
        <v>863</v>
      </c>
      <c r="C17">
        <v>25.4</v>
      </c>
      <c r="D17">
        <v>27.4</v>
      </c>
      <c r="E17">
        <v>26</v>
      </c>
      <c r="F17">
        <v>28.2</v>
      </c>
      <c r="G17">
        <v>27</v>
      </c>
      <c r="H17">
        <v>5.6</v>
      </c>
      <c r="I17">
        <v>1.6</v>
      </c>
      <c r="J17" s="31"/>
      <c r="K17" s="2" t="s">
        <v>863</v>
      </c>
      <c r="L17">
        <v>60</v>
      </c>
      <c r="M17">
        <v>62.8</v>
      </c>
      <c r="N17">
        <v>65.8</v>
      </c>
      <c r="O17">
        <v>71.8</v>
      </c>
      <c r="P17">
        <v>62.8</v>
      </c>
      <c r="Q17">
        <v>65.400000000000006</v>
      </c>
      <c r="R17">
        <v>66.2</v>
      </c>
      <c r="S17" s="31"/>
      <c r="T17" s="2" t="s">
        <v>863</v>
      </c>
      <c r="U17">
        <v>24.4</v>
      </c>
      <c r="V17">
        <v>27.8</v>
      </c>
      <c r="W17">
        <v>27.8</v>
      </c>
      <c r="X17">
        <v>28.2</v>
      </c>
      <c r="Y17">
        <v>25.2</v>
      </c>
      <c r="Z17">
        <v>13.8</v>
      </c>
      <c r="AA17">
        <v>10.199999999999999</v>
      </c>
      <c r="AB17" s="31"/>
      <c r="AC17" s="2" t="s">
        <v>863</v>
      </c>
      <c r="AD17" s="43">
        <f t="shared" si="0"/>
        <v>16.266666666666666</v>
      </c>
      <c r="AE17" s="43">
        <f t="shared" si="1"/>
        <v>16.467515923566882</v>
      </c>
      <c r="AF17" s="43">
        <f t="shared" si="2"/>
        <v>14.44924012158055</v>
      </c>
      <c r="AG17" s="43">
        <f t="shared" si="3"/>
        <v>11.075766016713093</v>
      </c>
      <c r="AH17" s="43">
        <f t="shared" si="4"/>
        <v>14.927388535031849</v>
      </c>
      <c r="AI17" s="42">
        <f t="shared" si="5"/>
        <v>7.3009174311926595</v>
      </c>
      <c r="AJ17" s="42">
        <f t="shared" si="6"/>
        <v>5.2078549848942588</v>
      </c>
      <c r="AK17" s="31"/>
    </row>
    <row r="18" spans="1:37" x14ac:dyDescent="0.3">
      <c r="A18" s="31"/>
      <c r="B18" s="2" t="s">
        <v>864</v>
      </c>
      <c r="C18">
        <v>12.8</v>
      </c>
      <c r="D18">
        <v>14.2</v>
      </c>
      <c r="E18">
        <v>14</v>
      </c>
      <c r="F18">
        <v>17.399999999999999</v>
      </c>
      <c r="G18">
        <v>15.8</v>
      </c>
      <c r="H18">
        <v>9.4</v>
      </c>
      <c r="I18">
        <v>4.4000000000000004</v>
      </c>
      <c r="J18" s="31"/>
      <c r="K18" s="2" t="s">
        <v>864</v>
      </c>
      <c r="L18">
        <v>77</v>
      </c>
      <c r="M18">
        <v>76.2</v>
      </c>
      <c r="N18">
        <v>79.8</v>
      </c>
      <c r="O18">
        <v>75.400000000000006</v>
      </c>
      <c r="P18">
        <v>75</v>
      </c>
      <c r="Q18">
        <v>71.8</v>
      </c>
      <c r="R18">
        <v>71.599999999999994</v>
      </c>
      <c r="S18" s="31"/>
      <c r="T18" s="2" t="s">
        <v>864</v>
      </c>
      <c r="U18">
        <v>27.4</v>
      </c>
      <c r="V18">
        <v>29.2</v>
      </c>
      <c r="W18">
        <v>34.200000000000003</v>
      </c>
      <c r="X18">
        <v>31</v>
      </c>
      <c r="Y18">
        <v>28</v>
      </c>
      <c r="Z18">
        <v>16.600000000000001</v>
      </c>
      <c r="AA18">
        <v>12.4</v>
      </c>
      <c r="AB18" s="31"/>
      <c r="AC18" s="2" t="s">
        <v>864</v>
      </c>
      <c r="AD18" s="43">
        <f t="shared" si="0"/>
        <v>8.1844155844155839</v>
      </c>
      <c r="AE18" s="43">
        <f t="shared" si="1"/>
        <v>9.1202099737532798</v>
      </c>
      <c r="AF18" s="43">
        <f t="shared" si="2"/>
        <v>8.6571428571428601</v>
      </c>
      <c r="AG18" s="43">
        <f t="shared" si="3"/>
        <v>10.114058355437662</v>
      </c>
      <c r="AH18" s="43">
        <f t="shared" si="4"/>
        <v>9.3333333333333339</v>
      </c>
      <c r="AI18" s="42">
        <f t="shared" si="5"/>
        <v>6.5197771587743745</v>
      </c>
      <c r="AJ18" s="42">
        <f t="shared" si="6"/>
        <v>4.9184357541899457</v>
      </c>
      <c r="AK18" s="31"/>
    </row>
    <row r="19" spans="1:37" x14ac:dyDescent="0.3">
      <c r="A19" s="31"/>
      <c r="B19" s="2" t="s">
        <v>865</v>
      </c>
      <c r="C19">
        <v>8</v>
      </c>
      <c r="D19">
        <v>9.4</v>
      </c>
      <c r="E19">
        <v>8</v>
      </c>
      <c r="F19">
        <v>10.6</v>
      </c>
      <c r="G19">
        <v>10.4</v>
      </c>
      <c r="H19">
        <v>7.8</v>
      </c>
      <c r="I19">
        <v>6</v>
      </c>
      <c r="J19" s="31"/>
      <c r="K19" s="2" t="s">
        <v>865</v>
      </c>
      <c r="L19">
        <v>87.6</v>
      </c>
      <c r="M19">
        <v>85.4</v>
      </c>
      <c r="N19">
        <v>88.4</v>
      </c>
      <c r="O19">
        <v>81.2</v>
      </c>
      <c r="P19">
        <v>78.400000000000006</v>
      </c>
      <c r="Q19">
        <v>72.2</v>
      </c>
      <c r="R19">
        <v>67.2</v>
      </c>
      <c r="S19" s="31"/>
      <c r="T19" s="2" t="s">
        <v>865</v>
      </c>
      <c r="U19">
        <v>28</v>
      </c>
      <c r="V19">
        <v>26.2</v>
      </c>
      <c r="W19">
        <v>30.2</v>
      </c>
      <c r="X19">
        <v>26</v>
      </c>
      <c r="Y19">
        <v>26.2</v>
      </c>
      <c r="Z19">
        <v>18.600000000000001</v>
      </c>
      <c r="AA19">
        <v>13.4</v>
      </c>
      <c r="AB19" s="31"/>
      <c r="AC19" s="2" t="s">
        <v>865</v>
      </c>
      <c r="AD19" s="42">
        <f t="shared" si="0"/>
        <v>3.9634703196347054</v>
      </c>
      <c r="AE19" s="42">
        <f t="shared" si="1"/>
        <v>4.4791569086651037</v>
      </c>
      <c r="AF19" s="42">
        <f t="shared" si="2"/>
        <v>3.9628959276018079</v>
      </c>
      <c r="AG19" s="42">
        <f t="shared" si="3"/>
        <v>6.0197044334975365</v>
      </c>
      <c r="AH19" s="42">
        <f t="shared" si="4"/>
        <v>7.2183673469387726</v>
      </c>
      <c r="AI19" s="42">
        <f t="shared" si="5"/>
        <v>7.161772853185596</v>
      </c>
      <c r="AJ19" s="42">
        <f t="shared" si="6"/>
        <v>6.5404761904761903</v>
      </c>
      <c r="AK19" s="31"/>
    </row>
    <row r="20" spans="1:37" x14ac:dyDescent="0.3">
      <c r="A20" s="31"/>
      <c r="B20" s="2" t="s">
        <v>866</v>
      </c>
      <c r="C20">
        <v>7.8</v>
      </c>
      <c r="D20">
        <v>7.2</v>
      </c>
      <c r="E20">
        <v>8.6</v>
      </c>
      <c r="F20">
        <v>8.6</v>
      </c>
      <c r="G20">
        <v>10.4</v>
      </c>
      <c r="H20">
        <v>9.1999999999999993</v>
      </c>
      <c r="I20">
        <v>8</v>
      </c>
      <c r="J20" s="31"/>
      <c r="K20" s="2" t="s">
        <v>866</v>
      </c>
      <c r="L20">
        <v>88.6</v>
      </c>
      <c r="M20">
        <v>80.2</v>
      </c>
      <c r="N20">
        <v>86.8</v>
      </c>
      <c r="O20">
        <v>75.2</v>
      </c>
      <c r="P20">
        <v>75.8</v>
      </c>
      <c r="Q20">
        <v>79.2</v>
      </c>
      <c r="R20">
        <v>74.2</v>
      </c>
      <c r="S20" s="31"/>
      <c r="T20" s="2" t="s">
        <v>866</v>
      </c>
      <c r="U20">
        <v>22.8</v>
      </c>
      <c r="V20">
        <v>21.2</v>
      </c>
      <c r="W20">
        <v>25.8</v>
      </c>
      <c r="X20">
        <v>23</v>
      </c>
      <c r="Y20">
        <v>24</v>
      </c>
      <c r="Z20">
        <v>19.8</v>
      </c>
      <c r="AA20">
        <v>16.399999999999999</v>
      </c>
      <c r="AB20" s="31"/>
      <c r="AC20" s="2" t="s">
        <v>866</v>
      </c>
      <c r="AD20" s="42">
        <f t="shared" si="0"/>
        <v>2.9336343115124168</v>
      </c>
      <c r="AE20" s="42">
        <f t="shared" si="1"/>
        <v>5.233915211970074</v>
      </c>
      <c r="AF20" s="42">
        <f t="shared" si="2"/>
        <v>3.9235023041474664</v>
      </c>
      <c r="AG20" s="42">
        <f t="shared" si="3"/>
        <v>7.5851063829787231</v>
      </c>
      <c r="AH20" s="42">
        <f t="shared" si="4"/>
        <v>7.6622691292876004</v>
      </c>
      <c r="AI20" s="42">
        <f t="shared" si="5"/>
        <v>5.1999999999999993</v>
      </c>
      <c r="AJ20" s="42">
        <f t="shared" si="6"/>
        <v>5.7024258760107802</v>
      </c>
      <c r="AK20" s="31"/>
    </row>
    <row r="21" spans="1:37" x14ac:dyDescent="0.3">
      <c r="A21" s="31"/>
      <c r="B21" s="2" t="s">
        <v>867</v>
      </c>
      <c r="C21">
        <v>6.6</v>
      </c>
      <c r="D21">
        <v>9</v>
      </c>
      <c r="E21">
        <v>9.1999999999999993</v>
      </c>
      <c r="F21">
        <v>8</v>
      </c>
      <c r="G21">
        <v>10.199999999999999</v>
      </c>
      <c r="H21">
        <v>6.4</v>
      </c>
      <c r="I21">
        <v>10.6</v>
      </c>
      <c r="J21" s="31"/>
      <c r="K21" s="2" t="s">
        <v>867</v>
      </c>
      <c r="L21">
        <v>82.2</v>
      </c>
      <c r="M21">
        <v>83</v>
      </c>
      <c r="N21">
        <v>84.6</v>
      </c>
      <c r="O21">
        <v>73</v>
      </c>
      <c r="P21">
        <v>67.400000000000006</v>
      </c>
      <c r="Q21">
        <v>81.2</v>
      </c>
      <c r="R21">
        <v>77.400000000000006</v>
      </c>
      <c r="S21" s="31"/>
      <c r="T21" s="2" t="s">
        <v>867</v>
      </c>
      <c r="U21">
        <v>20.6</v>
      </c>
      <c r="V21">
        <v>21.8</v>
      </c>
      <c r="W21">
        <v>24.2</v>
      </c>
      <c r="X21">
        <v>20</v>
      </c>
      <c r="Y21">
        <v>20.2</v>
      </c>
      <c r="Z21">
        <v>21.6</v>
      </c>
      <c r="AA21">
        <v>17.600000000000001</v>
      </c>
      <c r="AB21" s="31"/>
      <c r="AC21" s="2" t="s">
        <v>867</v>
      </c>
      <c r="AD21" s="42">
        <f t="shared" si="0"/>
        <v>4.460827250608272</v>
      </c>
      <c r="AE21" s="42">
        <f t="shared" si="1"/>
        <v>4.4650602409638553</v>
      </c>
      <c r="AF21" s="42">
        <f t="shared" si="2"/>
        <v>4.4052009456264791</v>
      </c>
      <c r="AG21" s="42">
        <f t="shared" si="3"/>
        <v>7.397260273972603</v>
      </c>
      <c r="AH21" s="42">
        <f t="shared" si="4"/>
        <v>9.7703264094955458</v>
      </c>
      <c r="AI21" s="42">
        <f t="shared" si="5"/>
        <v>5.0009852216748767</v>
      </c>
      <c r="AJ21" s="42">
        <f t="shared" si="6"/>
        <v>5.1390180878552956</v>
      </c>
      <c r="AK21" s="31"/>
    </row>
    <row r="22" spans="1:37" x14ac:dyDescent="0.3">
      <c r="A22" s="31"/>
      <c r="B22" s="2" t="s">
        <v>868</v>
      </c>
      <c r="C22">
        <v>6.2</v>
      </c>
      <c r="D22">
        <v>7</v>
      </c>
      <c r="E22">
        <v>6.4</v>
      </c>
      <c r="F22">
        <v>7</v>
      </c>
      <c r="G22">
        <v>11.2</v>
      </c>
      <c r="H22">
        <v>11</v>
      </c>
      <c r="I22">
        <v>10.8</v>
      </c>
      <c r="J22" s="31"/>
      <c r="K22" s="2" t="s">
        <v>868</v>
      </c>
      <c r="L22">
        <v>82.2</v>
      </c>
      <c r="M22">
        <v>82.4</v>
      </c>
      <c r="N22">
        <v>83.6</v>
      </c>
      <c r="O22">
        <v>78.8</v>
      </c>
      <c r="P22">
        <v>71</v>
      </c>
      <c r="Q22">
        <v>80.400000000000006</v>
      </c>
      <c r="R22">
        <v>81.400000000000006</v>
      </c>
      <c r="S22" s="31"/>
      <c r="T22" s="2" t="s">
        <v>868</v>
      </c>
      <c r="U22">
        <v>21.2</v>
      </c>
      <c r="V22">
        <v>21.4</v>
      </c>
      <c r="W22">
        <v>24</v>
      </c>
      <c r="X22">
        <v>21.6</v>
      </c>
      <c r="Y22">
        <v>20</v>
      </c>
      <c r="Z22">
        <v>20.8</v>
      </c>
      <c r="AA22">
        <v>21.8</v>
      </c>
      <c r="AB22" s="31"/>
      <c r="AC22" s="2" t="s">
        <v>868</v>
      </c>
      <c r="AD22" s="42">
        <f t="shared" si="0"/>
        <v>4.5907542579075411</v>
      </c>
      <c r="AE22" s="42">
        <f t="shared" si="1"/>
        <v>4.5708737864077653</v>
      </c>
      <c r="AF22" s="42">
        <f t="shared" si="2"/>
        <v>4.7081339712918684</v>
      </c>
      <c r="AG22" s="42">
        <f t="shared" si="3"/>
        <v>5.8111675126903561</v>
      </c>
      <c r="AH22" s="42">
        <f t="shared" si="4"/>
        <v>8.169014084507042</v>
      </c>
      <c r="AI22" s="42">
        <f t="shared" si="5"/>
        <v>5.0706467661691521</v>
      </c>
      <c r="AJ22" s="42">
        <f t="shared" si="6"/>
        <v>4.9813267813267794</v>
      </c>
      <c r="AK22" s="31"/>
    </row>
    <row r="23" spans="1:37" x14ac:dyDescent="0.3">
      <c r="A23" s="31"/>
      <c r="B23" s="2" t="s">
        <v>869</v>
      </c>
      <c r="C23">
        <v>6</v>
      </c>
      <c r="D23">
        <v>6.6</v>
      </c>
      <c r="E23">
        <v>8</v>
      </c>
      <c r="F23">
        <v>8.4</v>
      </c>
      <c r="G23">
        <v>15.4</v>
      </c>
      <c r="H23">
        <v>9.6</v>
      </c>
      <c r="I23">
        <v>9.6</v>
      </c>
      <c r="J23" s="31"/>
      <c r="K23" s="2" t="s">
        <v>869</v>
      </c>
      <c r="L23">
        <v>80.8</v>
      </c>
      <c r="M23">
        <v>79.2</v>
      </c>
      <c r="N23">
        <v>85.8</v>
      </c>
      <c r="O23">
        <v>79</v>
      </c>
      <c r="P23">
        <v>66.400000000000006</v>
      </c>
      <c r="Q23">
        <v>85.6</v>
      </c>
      <c r="R23">
        <v>89</v>
      </c>
      <c r="S23" s="31"/>
      <c r="T23" s="2" t="s">
        <v>869</v>
      </c>
      <c r="U23">
        <v>24.8</v>
      </c>
      <c r="V23">
        <v>21.8</v>
      </c>
      <c r="W23">
        <v>24.6</v>
      </c>
      <c r="X23">
        <v>22.6</v>
      </c>
      <c r="Y23">
        <v>21.6</v>
      </c>
      <c r="Z23">
        <v>22.4</v>
      </c>
      <c r="AA23">
        <v>25.2</v>
      </c>
      <c r="AB23" s="31"/>
      <c r="AC23" s="2" t="s">
        <v>869</v>
      </c>
      <c r="AD23" s="42">
        <f t="shared" si="0"/>
        <v>5.8930693069306939</v>
      </c>
      <c r="AE23" s="42">
        <f t="shared" si="1"/>
        <v>5.7252525252525244</v>
      </c>
      <c r="AF23" s="42">
        <f t="shared" si="2"/>
        <v>4.0713286713286729</v>
      </c>
      <c r="AG23" s="42">
        <f t="shared" si="3"/>
        <v>6.0075949367088608</v>
      </c>
      <c r="AH23" s="42">
        <f t="shared" si="4"/>
        <v>10.930120481927709</v>
      </c>
      <c r="AI23" s="42">
        <f t="shared" si="5"/>
        <v>3.7682242990654222</v>
      </c>
      <c r="AJ23" s="42">
        <f t="shared" si="6"/>
        <v>3.1146067415730334</v>
      </c>
      <c r="AK23" s="31"/>
    </row>
    <row r="24" spans="1:37" x14ac:dyDescent="0.3">
      <c r="A24" s="31"/>
      <c r="B24" s="2" t="s">
        <v>870</v>
      </c>
      <c r="C24">
        <v>10</v>
      </c>
      <c r="D24">
        <v>8.6</v>
      </c>
      <c r="E24">
        <v>9.1999999999999993</v>
      </c>
      <c r="F24">
        <v>14.2</v>
      </c>
      <c r="G24">
        <v>13.4</v>
      </c>
      <c r="H24">
        <v>12.2</v>
      </c>
      <c r="I24">
        <v>16.2</v>
      </c>
      <c r="J24" s="31"/>
      <c r="K24" s="2" t="s">
        <v>870</v>
      </c>
      <c r="L24">
        <v>86.4</v>
      </c>
      <c r="M24">
        <v>81.8</v>
      </c>
      <c r="N24">
        <v>86</v>
      </c>
      <c r="O24">
        <v>83.2</v>
      </c>
      <c r="P24">
        <v>67.599999999999994</v>
      </c>
      <c r="Q24">
        <v>85.2</v>
      </c>
      <c r="R24">
        <v>81</v>
      </c>
      <c r="S24" s="31"/>
      <c r="T24" s="2" t="s">
        <v>870</v>
      </c>
      <c r="U24">
        <v>26.4</v>
      </c>
      <c r="V24">
        <v>25.6</v>
      </c>
      <c r="W24">
        <v>28</v>
      </c>
      <c r="X24">
        <v>26</v>
      </c>
      <c r="Y24">
        <v>25.4</v>
      </c>
      <c r="Z24">
        <v>23.6</v>
      </c>
      <c r="AA24">
        <v>24.2</v>
      </c>
      <c r="AB24" s="31"/>
      <c r="AC24" s="2" t="s">
        <v>870</v>
      </c>
      <c r="AD24" s="42">
        <f t="shared" si="0"/>
        <v>4.1555555555555532</v>
      </c>
      <c r="AE24" s="42">
        <f t="shared" si="1"/>
        <v>5.6958435207823968</v>
      </c>
      <c r="AF24" s="42">
        <f t="shared" si="2"/>
        <v>4.558139534883721</v>
      </c>
      <c r="AG24" s="42">
        <f t="shared" si="3"/>
        <v>5.2499999999999991</v>
      </c>
      <c r="AH24" s="42">
        <f t="shared" si="4"/>
        <v>12.173964497041423</v>
      </c>
      <c r="AI24" s="42">
        <f t="shared" si="5"/>
        <v>4.0995305164319245</v>
      </c>
      <c r="AJ24" s="42">
        <f t="shared" si="6"/>
        <v>5.6765432098765434</v>
      </c>
      <c r="AK24" s="31"/>
    </row>
    <row r="25" spans="1:37" x14ac:dyDescent="0.3">
      <c r="A25" s="31"/>
      <c r="B25" s="2" t="s">
        <v>871</v>
      </c>
      <c r="C25">
        <v>17</v>
      </c>
      <c r="D25">
        <v>19.2</v>
      </c>
      <c r="E25">
        <v>18.600000000000001</v>
      </c>
      <c r="F25">
        <v>20.8</v>
      </c>
      <c r="G25">
        <v>23.4</v>
      </c>
      <c r="H25">
        <v>12.8</v>
      </c>
      <c r="I25">
        <v>20</v>
      </c>
      <c r="J25" s="31"/>
      <c r="K25" s="2" t="s">
        <v>871</v>
      </c>
      <c r="L25">
        <v>94.2</v>
      </c>
      <c r="M25">
        <v>81</v>
      </c>
      <c r="N25">
        <v>84.6</v>
      </c>
      <c r="O25">
        <v>74.400000000000006</v>
      </c>
      <c r="P25">
        <v>81.599999999999994</v>
      </c>
      <c r="Q25">
        <v>86.6</v>
      </c>
      <c r="R25">
        <v>86.4</v>
      </c>
      <c r="S25" s="31"/>
      <c r="T25" s="2" t="s">
        <v>871</v>
      </c>
      <c r="U25">
        <v>33.799999999999997</v>
      </c>
      <c r="V25">
        <v>29.8</v>
      </c>
      <c r="W25">
        <v>32.4</v>
      </c>
      <c r="X25">
        <v>27.2</v>
      </c>
      <c r="Y25">
        <v>35</v>
      </c>
      <c r="Z25">
        <v>27</v>
      </c>
      <c r="AA25">
        <v>28.2</v>
      </c>
      <c r="AB25" s="31"/>
      <c r="AC25" s="2" t="s">
        <v>871</v>
      </c>
      <c r="AD25" s="42">
        <f t="shared" si="0"/>
        <v>2.0811040339702744</v>
      </c>
      <c r="AE25" s="42">
        <f t="shared" si="1"/>
        <v>6.9901234567901236</v>
      </c>
      <c r="AF25" s="42">
        <f t="shared" si="2"/>
        <v>5.8978723404255344</v>
      </c>
      <c r="AG25" s="42">
        <f t="shared" si="3"/>
        <v>9.3591397849462332</v>
      </c>
      <c r="AH25" s="42">
        <f t="shared" si="4"/>
        <v>7.8921568627451011</v>
      </c>
      <c r="AI25" s="42">
        <f t="shared" si="5"/>
        <v>4.1778290993071616</v>
      </c>
      <c r="AJ25" s="42">
        <f t="shared" si="6"/>
        <v>4.4388888888888864</v>
      </c>
      <c r="AK25" s="31"/>
    </row>
    <row r="26" spans="1:37" x14ac:dyDescent="0.3">
      <c r="A26" s="31"/>
      <c r="B26" s="2" t="s">
        <v>872</v>
      </c>
      <c r="C26">
        <v>29.8</v>
      </c>
      <c r="D26">
        <v>29.2</v>
      </c>
      <c r="E26">
        <v>29</v>
      </c>
      <c r="F26">
        <v>33</v>
      </c>
      <c r="G26">
        <v>31.6</v>
      </c>
      <c r="H26">
        <v>14.2</v>
      </c>
      <c r="I26">
        <v>19.399999999999999</v>
      </c>
      <c r="J26" s="31"/>
      <c r="K26" s="2" t="s">
        <v>872</v>
      </c>
      <c r="L26">
        <v>85.6</v>
      </c>
      <c r="M26">
        <v>69.400000000000006</v>
      </c>
      <c r="N26">
        <v>71.400000000000006</v>
      </c>
      <c r="O26">
        <v>66.8</v>
      </c>
      <c r="P26">
        <v>78</v>
      </c>
      <c r="Q26">
        <v>86.2</v>
      </c>
      <c r="R26">
        <v>85.8</v>
      </c>
      <c r="S26" s="31"/>
      <c r="T26" s="2" t="s">
        <v>872</v>
      </c>
      <c r="U26">
        <v>32.4</v>
      </c>
      <c r="V26">
        <v>31.4</v>
      </c>
      <c r="W26">
        <v>31.2</v>
      </c>
      <c r="X26">
        <v>34</v>
      </c>
      <c r="Y26">
        <v>40.200000000000003</v>
      </c>
      <c r="Z26">
        <v>33.799999999999997</v>
      </c>
      <c r="AA26">
        <v>29.4</v>
      </c>
      <c r="AB26" s="31"/>
      <c r="AC26" s="2" t="s">
        <v>872</v>
      </c>
      <c r="AD26" s="42">
        <f t="shared" si="0"/>
        <v>5.4504672897196285</v>
      </c>
      <c r="AE26" s="43">
        <f t="shared" si="1"/>
        <v>13.844956772334291</v>
      </c>
      <c r="AF26" s="43">
        <f t="shared" si="2"/>
        <v>12.497478991596635</v>
      </c>
      <c r="AG26" s="43">
        <f t="shared" si="3"/>
        <v>16.898203592814376</v>
      </c>
      <c r="AH26" s="43">
        <f t="shared" si="4"/>
        <v>11.338461538461539</v>
      </c>
      <c r="AI26" s="42">
        <f t="shared" si="5"/>
        <v>5.4111368909512745</v>
      </c>
      <c r="AJ26" s="42">
        <f t="shared" si="6"/>
        <v>4.8657342657342664</v>
      </c>
      <c r="AK26" s="31"/>
    </row>
    <row r="27" spans="1:37" x14ac:dyDescent="0.3">
      <c r="A27" s="31"/>
      <c r="B27" s="2" t="s">
        <v>873</v>
      </c>
      <c r="C27">
        <v>24.4</v>
      </c>
      <c r="D27">
        <v>32</v>
      </c>
      <c r="E27">
        <v>32</v>
      </c>
      <c r="F27">
        <v>33.4</v>
      </c>
      <c r="G27">
        <v>28</v>
      </c>
      <c r="H27">
        <v>22.2</v>
      </c>
      <c r="I27">
        <v>21.2</v>
      </c>
      <c r="J27" s="31"/>
      <c r="K27" s="2" t="s">
        <v>873</v>
      </c>
      <c r="L27">
        <v>84</v>
      </c>
      <c r="M27">
        <v>80.599999999999994</v>
      </c>
      <c r="N27">
        <v>76.400000000000006</v>
      </c>
      <c r="O27">
        <v>74.2</v>
      </c>
      <c r="P27">
        <v>81.2</v>
      </c>
      <c r="Q27">
        <v>82.2</v>
      </c>
      <c r="R27">
        <v>86</v>
      </c>
      <c r="S27" s="31"/>
      <c r="T27" s="2" t="s">
        <v>873</v>
      </c>
      <c r="U27">
        <v>37.200000000000003</v>
      </c>
      <c r="V27">
        <v>39.6</v>
      </c>
      <c r="W27">
        <v>36.6</v>
      </c>
      <c r="X27">
        <v>37.200000000000003</v>
      </c>
      <c r="Y27">
        <v>42.6</v>
      </c>
      <c r="Z27">
        <v>37.200000000000003</v>
      </c>
      <c r="AA27">
        <v>31.4</v>
      </c>
      <c r="AB27" s="31"/>
      <c r="AC27" s="2" t="s">
        <v>873</v>
      </c>
      <c r="AD27" s="42">
        <f t="shared" si="0"/>
        <v>7.0857142857142863</v>
      </c>
      <c r="AE27" s="43">
        <f t="shared" si="1"/>
        <v>9.5315136476426829</v>
      </c>
      <c r="AF27" s="43">
        <f t="shared" si="2"/>
        <v>11.305759162303662</v>
      </c>
      <c r="AG27" s="43">
        <f t="shared" si="3"/>
        <v>12.93477088948787</v>
      </c>
      <c r="AH27" s="43">
        <f t="shared" si="4"/>
        <v>9.863054187192116</v>
      </c>
      <c r="AI27" s="42">
        <f t="shared" si="5"/>
        <v>8.0554744525547441</v>
      </c>
      <c r="AJ27" s="42">
        <f t="shared" si="6"/>
        <v>5.1116279069767439</v>
      </c>
      <c r="AK27" s="31"/>
    </row>
    <row r="28" spans="1:37" x14ac:dyDescent="0.3">
      <c r="A28" s="31"/>
      <c r="B28" s="2" t="s">
        <v>874</v>
      </c>
      <c r="C28">
        <v>15.6</v>
      </c>
      <c r="D28">
        <v>23.4</v>
      </c>
      <c r="E28">
        <v>22</v>
      </c>
      <c r="F28">
        <v>29</v>
      </c>
      <c r="G28">
        <v>33.6</v>
      </c>
      <c r="H28">
        <v>27.2</v>
      </c>
      <c r="I28">
        <v>14.8</v>
      </c>
      <c r="J28" s="31"/>
      <c r="K28" s="2" t="s">
        <v>874</v>
      </c>
      <c r="L28">
        <v>93.4</v>
      </c>
      <c r="M28">
        <v>88.6</v>
      </c>
      <c r="N28">
        <v>88.6</v>
      </c>
      <c r="O28">
        <v>86.2</v>
      </c>
      <c r="P28">
        <v>80.599999999999994</v>
      </c>
      <c r="Q28">
        <v>81.599999999999994</v>
      </c>
      <c r="R28">
        <v>88.6</v>
      </c>
      <c r="S28" s="31"/>
      <c r="T28" s="2" t="s">
        <v>874</v>
      </c>
      <c r="U28">
        <v>37</v>
      </c>
      <c r="V28">
        <v>40</v>
      </c>
      <c r="W28">
        <v>41.8</v>
      </c>
      <c r="X28">
        <v>39.799999999999997</v>
      </c>
      <c r="Y28">
        <v>42.2</v>
      </c>
      <c r="Z28">
        <v>40</v>
      </c>
      <c r="AA28">
        <v>33.4</v>
      </c>
      <c r="AB28" s="31"/>
      <c r="AC28" s="2" t="s">
        <v>874</v>
      </c>
      <c r="AD28" s="42">
        <f t="shared" si="0"/>
        <v>2.6145610278372566</v>
      </c>
      <c r="AE28" s="42">
        <f t="shared" si="1"/>
        <v>5.1467268623024856</v>
      </c>
      <c r="AF28" s="42">
        <f t="shared" si="2"/>
        <v>5.3783295711060974</v>
      </c>
      <c r="AG28" s="42">
        <f t="shared" si="3"/>
        <v>6.3716937354988383</v>
      </c>
      <c r="AH28" s="42">
        <f t="shared" si="4"/>
        <v>10.157320099255587</v>
      </c>
      <c r="AI28" s="42">
        <f t="shared" si="5"/>
        <v>9.0196078431372584</v>
      </c>
      <c r="AJ28" s="42">
        <f t="shared" si="6"/>
        <v>4.2975169300225753</v>
      </c>
      <c r="AK28" s="31"/>
    </row>
    <row r="29" spans="1:37" x14ac:dyDescent="0.3">
      <c r="A29" s="31"/>
      <c r="B29" s="2" t="s">
        <v>875</v>
      </c>
      <c r="C29">
        <v>15.4</v>
      </c>
      <c r="D29">
        <v>26.8</v>
      </c>
      <c r="E29">
        <v>22.4</v>
      </c>
      <c r="F29">
        <v>31</v>
      </c>
      <c r="G29">
        <v>28.2</v>
      </c>
      <c r="H29">
        <v>22.6</v>
      </c>
      <c r="I29">
        <v>17</v>
      </c>
      <c r="J29" s="31"/>
      <c r="K29" s="2" t="s">
        <v>875</v>
      </c>
      <c r="L29">
        <v>87.2</v>
      </c>
      <c r="M29">
        <v>90</v>
      </c>
      <c r="N29">
        <v>90.4</v>
      </c>
      <c r="O29">
        <v>87.6</v>
      </c>
      <c r="P29">
        <v>84.4</v>
      </c>
      <c r="Q29">
        <v>92.6</v>
      </c>
      <c r="R29">
        <v>87.6</v>
      </c>
      <c r="S29" s="31"/>
      <c r="T29" s="2" t="s">
        <v>875</v>
      </c>
      <c r="U29">
        <v>30.8</v>
      </c>
      <c r="V29">
        <v>36.200000000000003</v>
      </c>
      <c r="W29">
        <v>35.799999999999997</v>
      </c>
      <c r="X29">
        <v>36.799999999999997</v>
      </c>
      <c r="Y29">
        <v>44.8</v>
      </c>
      <c r="Z29">
        <v>43.6</v>
      </c>
      <c r="AA29">
        <v>26.4</v>
      </c>
      <c r="AB29" s="31"/>
      <c r="AC29" s="2" t="s">
        <v>875</v>
      </c>
      <c r="AD29" s="42">
        <f t="shared" si="0"/>
        <v>4.5211009174311911</v>
      </c>
      <c r="AE29" s="42">
        <f t="shared" si="1"/>
        <v>4.0222222222222221</v>
      </c>
      <c r="AF29" s="42">
        <f t="shared" si="2"/>
        <v>3.8017699115044219</v>
      </c>
      <c r="AG29" s="42">
        <f t="shared" si="3"/>
        <v>5.2091324200913265</v>
      </c>
      <c r="AH29" s="42">
        <f t="shared" si="4"/>
        <v>8.2805687203791418</v>
      </c>
      <c r="AI29" s="42">
        <f t="shared" si="5"/>
        <v>3.4842332613390958</v>
      </c>
      <c r="AJ29" s="42">
        <f t="shared" si="6"/>
        <v>3.7369863013698645</v>
      </c>
      <c r="AK29" s="31"/>
    </row>
    <row r="30" spans="1:37" x14ac:dyDescent="0.3">
      <c r="A30" s="31"/>
      <c r="B30" s="2" t="s">
        <v>876</v>
      </c>
      <c r="C30">
        <v>13.2</v>
      </c>
      <c r="D30">
        <v>23.2</v>
      </c>
      <c r="E30">
        <v>26.2</v>
      </c>
      <c r="F30">
        <v>28.4</v>
      </c>
      <c r="G30">
        <v>24.8</v>
      </c>
      <c r="H30">
        <v>21.2</v>
      </c>
      <c r="I30">
        <v>17</v>
      </c>
      <c r="J30" s="31"/>
      <c r="K30" s="2" t="s">
        <v>876</v>
      </c>
      <c r="L30">
        <v>86.6</v>
      </c>
      <c r="M30">
        <v>89.4</v>
      </c>
      <c r="N30">
        <v>86.2</v>
      </c>
      <c r="O30">
        <v>91.6</v>
      </c>
      <c r="P30">
        <v>83.6</v>
      </c>
      <c r="Q30">
        <v>95.2</v>
      </c>
      <c r="R30">
        <v>84.8</v>
      </c>
      <c r="S30" s="31"/>
      <c r="T30" s="2" t="s">
        <v>876</v>
      </c>
      <c r="U30">
        <v>24.2</v>
      </c>
      <c r="V30">
        <v>32.799999999999997</v>
      </c>
      <c r="W30">
        <v>32.200000000000003</v>
      </c>
      <c r="X30">
        <v>35.200000000000003</v>
      </c>
      <c r="Y30">
        <v>46.4</v>
      </c>
      <c r="Z30">
        <v>42</v>
      </c>
      <c r="AA30">
        <v>23</v>
      </c>
      <c r="AB30" s="31"/>
      <c r="AC30" s="2" t="s">
        <v>876</v>
      </c>
      <c r="AD30" s="42">
        <f t="shared" si="0"/>
        <v>3.7445727482679003</v>
      </c>
      <c r="AE30" s="42">
        <f t="shared" si="1"/>
        <v>3.8890380313199078</v>
      </c>
      <c r="AF30" s="42">
        <f t="shared" si="2"/>
        <v>5.1549883990719252</v>
      </c>
      <c r="AG30" s="42">
        <f t="shared" si="3"/>
        <v>3.2279475982532779</v>
      </c>
      <c r="AH30" s="42">
        <f t="shared" si="4"/>
        <v>9.1023923444976109</v>
      </c>
      <c r="AI30" s="42">
        <f t="shared" si="5"/>
        <v>2.1176470588235281</v>
      </c>
      <c r="AJ30" s="42">
        <f t="shared" si="6"/>
        <v>4.1226415094339632</v>
      </c>
      <c r="AK30" s="31"/>
    </row>
    <row r="31" spans="1:37" x14ac:dyDescent="0.3">
      <c r="A31" s="31"/>
      <c r="B31" s="2" t="s">
        <v>877</v>
      </c>
      <c r="C31">
        <v>10.6</v>
      </c>
      <c r="D31">
        <v>22.8</v>
      </c>
      <c r="E31">
        <v>30.6</v>
      </c>
      <c r="F31">
        <v>30.6</v>
      </c>
      <c r="G31">
        <v>28.8</v>
      </c>
      <c r="H31">
        <v>24.2</v>
      </c>
      <c r="I31">
        <v>12.8</v>
      </c>
      <c r="J31" s="31"/>
      <c r="K31" s="2" t="s">
        <v>877</v>
      </c>
      <c r="L31">
        <v>83.6</v>
      </c>
      <c r="M31">
        <v>88.6</v>
      </c>
      <c r="N31">
        <v>88.2</v>
      </c>
      <c r="O31">
        <v>83.6</v>
      </c>
      <c r="P31">
        <v>92.4</v>
      </c>
      <c r="Q31">
        <v>94.2</v>
      </c>
      <c r="R31">
        <v>77.8</v>
      </c>
      <c r="S31" s="31"/>
      <c r="T31" s="2" t="s">
        <v>877</v>
      </c>
      <c r="U31">
        <v>20.6</v>
      </c>
      <c r="V31">
        <v>27.6</v>
      </c>
      <c r="W31">
        <v>29.8</v>
      </c>
      <c r="X31">
        <v>29</v>
      </c>
      <c r="Y31">
        <v>39</v>
      </c>
      <c r="Z31">
        <v>39.200000000000003</v>
      </c>
      <c r="AA31">
        <v>18</v>
      </c>
      <c r="AB31" s="31"/>
      <c r="AC31" s="2" t="s">
        <v>877</v>
      </c>
      <c r="AD31" s="42">
        <f t="shared" si="0"/>
        <v>4.0411483253588534</v>
      </c>
      <c r="AE31" s="42">
        <f t="shared" si="1"/>
        <v>3.5512415349887152</v>
      </c>
      <c r="AF31" s="42">
        <f t="shared" si="2"/>
        <v>3.9868480725623572</v>
      </c>
      <c r="AG31" s="42">
        <f t="shared" si="3"/>
        <v>5.6889952153110066</v>
      </c>
      <c r="AH31" s="42">
        <f t="shared" si="4"/>
        <v>3.2077922077922048</v>
      </c>
      <c r="AI31" s="42">
        <f t="shared" si="5"/>
        <v>2.413588110403396</v>
      </c>
      <c r="AJ31" s="42">
        <f t="shared" si="6"/>
        <v>5.1362467866323911</v>
      </c>
      <c r="AK31" s="31"/>
    </row>
    <row r="32" spans="1:37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</row>
    <row r="33" spans="1:37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</row>
    <row r="34" spans="1:37" x14ac:dyDescent="0.3">
      <c r="A34" s="31"/>
      <c r="B34" s="115" t="s">
        <v>1056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31"/>
    </row>
    <row r="35" spans="1:37" x14ac:dyDescent="0.3">
      <c r="A35" s="31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31"/>
    </row>
    <row r="36" spans="1:37" x14ac:dyDescent="0.3">
      <c r="A36" s="31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31"/>
    </row>
    <row r="37" spans="1:37" x14ac:dyDescent="0.3">
      <c r="A37" s="3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31"/>
    </row>
    <row r="38" spans="1:37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42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</row>
    <row r="39" spans="1:37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</row>
    <row r="40" spans="1:37" ht="25.8" x14ac:dyDescent="0.5">
      <c r="A40" s="31"/>
      <c r="B40" s="117" t="s">
        <v>1055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31"/>
      <c r="AB40" s="116" t="s">
        <v>994</v>
      </c>
      <c r="AC40" s="116"/>
      <c r="AD40" s="116"/>
      <c r="AE40" s="116"/>
      <c r="AF40" s="116"/>
      <c r="AG40" s="116"/>
      <c r="AH40" s="116"/>
      <c r="AI40" s="116"/>
      <c r="AJ40" s="31"/>
      <c r="AK40" s="31"/>
    </row>
    <row r="41" spans="1:37" ht="23.4" x14ac:dyDescent="0.45">
      <c r="A41" s="31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31"/>
      <c r="AB41" s="118" t="s">
        <v>995</v>
      </c>
      <c r="AC41" s="118"/>
      <c r="AD41" s="118"/>
      <c r="AE41" s="119">
        <f>SUM(AD15:AH18)</f>
        <v>242.97730741038674</v>
      </c>
      <c r="AF41" s="118"/>
      <c r="AG41" s="118"/>
      <c r="AH41" s="31"/>
      <c r="AI41" s="31"/>
      <c r="AJ41" s="31"/>
      <c r="AK41" s="31"/>
    </row>
    <row r="42" spans="1:37" ht="23.4" x14ac:dyDescent="0.45">
      <c r="A42" s="31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31"/>
      <c r="AB42" s="118" t="s">
        <v>996</v>
      </c>
      <c r="AC42" s="118"/>
      <c r="AD42" s="118"/>
      <c r="AE42" s="119">
        <f>SUM(AE26:AH27)</f>
        <v>98.214198781833176</v>
      </c>
      <c r="AF42" s="119"/>
      <c r="AG42" s="119"/>
      <c r="AH42" s="31"/>
      <c r="AI42" s="31"/>
      <c r="AJ42" s="31"/>
      <c r="AK42" s="31"/>
    </row>
    <row r="43" spans="1:37" ht="23.4" x14ac:dyDescent="0.3">
      <c r="A43" s="31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31"/>
      <c r="AB43" s="120" t="s">
        <v>997</v>
      </c>
      <c r="AC43" s="120"/>
      <c r="AD43" s="120"/>
      <c r="AE43" s="121">
        <f>AE41+AE42</f>
        <v>341.19150619221989</v>
      </c>
      <c r="AF43" s="120"/>
      <c r="AG43" s="120"/>
      <c r="AH43" s="31"/>
      <c r="AI43" s="31"/>
      <c r="AJ43" s="31"/>
      <c r="AK43" s="31"/>
    </row>
    <row r="44" spans="1:37" x14ac:dyDescent="0.3">
      <c r="A44" s="31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1:37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37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1:37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</sheetData>
  <mergeCells count="11">
    <mergeCell ref="A1:AK2"/>
    <mergeCell ref="A4:AK4"/>
    <mergeCell ref="B34:AJ37"/>
    <mergeCell ref="AB40:AI40"/>
    <mergeCell ref="B40:Z44"/>
    <mergeCell ref="AB41:AD41"/>
    <mergeCell ref="AB42:AD42"/>
    <mergeCell ref="AE42:AG42"/>
    <mergeCell ref="AE41:AG41"/>
    <mergeCell ref="AB43:AD43"/>
    <mergeCell ref="AE43:AG43"/>
  </mergeCells>
  <conditionalFormatting sqref="K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max"/>
        <color rgb="FFFF0000"/>
        <color rgb="FF00B050"/>
      </colorScale>
    </cfRule>
  </conditionalFormatting>
  <conditionalFormatting pivot="1" sqref="L8:R3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F0000"/>
        <color rgb="FF00B050"/>
      </colorScale>
    </cfRule>
  </conditionalFormatting>
  <conditionalFormatting pivot="1" sqref="U8:AA3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F0000"/>
        <color rgb="FF00B050"/>
      </colorScale>
    </cfRule>
  </conditionalFormatting>
  <conditionalFormatting sqref="AD8:AJ3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F0000"/>
        <color rgb="FF00B050"/>
      </colorScale>
    </cfRule>
  </conditionalFormatting>
  <conditionalFormatting pivot="1" sqref="C8:I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D20B-2E6E-4435-A634-C74CC74111C2}">
  <dimension ref="A1:V66"/>
  <sheetViews>
    <sheetView topLeftCell="A4" zoomScale="80" zoomScaleNormal="80" workbookViewId="0">
      <selection activeCell="D31" sqref="D31"/>
    </sheetView>
  </sheetViews>
  <sheetFormatPr defaultRowHeight="14.4" x14ac:dyDescent="0.3"/>
  <cols>
    <col min="3" max="3" width="20.21875" customWidth="1"/>
    <col min="4" max="4" width="17.5546875" customWidth="1"/>
    <col min="5" max="5" width="18.77734375" bestFit="1" customWidth="1"/>
    <col min="6" max="6" width="14.44140625" bestFit="1" customWidth="1"/>
    <col min="7" max="7" width="11" customWidth="1"/>
    <col min="8" max="8" width="13.109375" customWidth="1"/>
    <col min="10" max="10" width="12.109375" customWidth="1"/>
  </cols>
  <sheetData>
    <row r="1" spans="1:22" ht="14.4" customHeight="1" x14ac:dyDescent="0.55000000000000004">
      <c r="A1" s="82" t="s">
        <v>969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37"/>
      <c r="R1" s="37"/>
      <c r="S1" s="37"/>
      <c r="T1" s="37"/>
      <c r="U1" s="37"/>
      <c r="V1" s="37"/>
    </row>
    <row r="2" spans="1:22" ht="14.4" customHeight="1" x14ac:dyDescent="0.55000000000000004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37"/>
      <c r="R2" s="37"/>
      <c r="S2" s="37"/>
      <c r="T2" s="37"/>
      <c r="U2" s="37"/>
      <c r="V2" s="37"/>
    </row>
    <row r="3" spans="1:22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6"/>
      <c r="R3" s="36"/>
      <c r="S3" s="36"/>
      <c r="T3" s="36"/>
      <c r="U3" s="36"/>
      <c r="V3" s="36"/>
    </row>
    <row r="4" spans="1:22" ht="18" x14ac:dyDescent="0.35">
      <c r="A4" s="81" t="s">
        <v>981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36"/>
      <c r="R4" s="36"/>
      <c r="S4" s="36"/>
      <c r="T4" s="36"/>
      <c r="U4" s="36"/>
      <c r="V4" s="36"/>
    </row>
    <row r="5" spans="1:22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6"/>
      <c r="R5" s="36"/>
      <c r="S5" s="36"/>
      <c r="T5" s="36"/>
      <c r="U5" s="36"/>
      <c r="V5" s="36"/>
    </row>
    <row r="6" spans="1:22" ht="28.8" x14ac:dyDescent="0.3">
      <c r="A6" s="31"/>
      <c r="B6" s="13" t="s">
        <v>895</v>
      </c>
      <c r="C6" s="13" t="s">
        <v>968</v>
      </c>
      <c r="D6" s="8" t="s">
        <v>936</v>
      </c>
      <c r="E6" s="31"/>
      <c r="F6" s="123" t="s">
        <v>979</v>
      </c>
      <c r="G6" s="123"/>
      <c r="H6" s="123"/>
      <c r="I6" s="123"/>
      <c r="J6" s="123"/>
      <c r="K6" s="123"/>
      <c r="L6" s="123"/>
      <c r="M6" s="123"/>
      <c r="N6" s="123"/>
      <c r="O6" s="123"/>
      <c r="P6" s="31"/>
      <c r="Q6" s="36"/>
      <c r="R6" s="36"/>
      <c r="S6" s="36"/>
      <c r="T6" s="36"/>
      <c r="U6" s="36"/>
      <c r="V6" s="36"/>
    </row>
    <row r="7" spans="1:22" x14ac:dyDescent="0.3">
      <c r="A7" s="31"/>
      <c r="B7" s="2" t="s">
        <v>854</v>
      </c>
      <c r="C7">
        <v>1587</v>
      </c>
      <c r="D7">
        <v>1892</v>
      </c>
      <c r="E7" s="31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31"/>
      <c r="Q7" s="36"/>
      <c r="R7" s="36"/>
      <c r="S7" s="36"/>
      <c r="T7" s="36"/>
      <c r="U7" s="36"/>
      <c r="V7" s="36"/>
    </row>
    <row r="8" spans="1:22" x14ac:dyDescent="0.3">
      <c r="A8" s="31"/>
      <c r="B8" s="2" t="s">
        <v>855</v>
      </c>
      <c r="C8">
        <v>1058</v>
      </c>
      <c r="D8">
        <v>1322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6"/>
      <c r="R8" s="36"/>
      <c r="S8" s="36"/>
      <c r="T8" s="36"/>
      <c r="U8" s="36"/>
      <c r="V8" s="36"/>
    </row>
    <row r="9" spans="1:22" x14ac:dyDescent="0.3">
      <c r="A9" s="31"/>
      <c r="B9" s="2" t="s">
        <v>856</v>
      </c>
      <c r="C9">
        <v>773</v>
      </c>
      <c r="D9">
        <v>1062</v>
      </c>
      <c r="E9" s="31"/>
      <c r="F9" s="31"/>
      <c r="G9" s="31"/>
      <c r="H9" s="35"/>
      <c r="I9" s="35"/>
      <c r="J9" s="31"/>
      <c r="K9" s="31"/>
      <c r="L9" s="31"/>
      <c r="M9" s="31"/>
      <c r="N9" s="31"/>
      <c r="O9" s="31"/>
      <c r="P9" s="31"/>
      <c r="Q9" s="36"/>
      <c r="R9" s="36"/>
      <c r="S9" s="36"/>
      <c r="T9" s="36"/>
      <c r="U9" s="36"/>
      <c r="V9" s="36"/>
    </row>
    <row r="10" spans="1:22" x14ac:dyDescent="0.3">
      <c r="A10" s="31"/>
      <c r="B10" s="2" t="s">
        <v>857</v>
      </c>
      <c r="C10">
        <v>644</v>
      </c>
      <c r="D10">
        <v>1072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6"/>
      <c r="R10" s="36"/>
      <c r="S10" s="36"/>
      <c r="T10" s="36"/>
      <c r="U10" s="36"/>
      <c r="V10" s="36"/>
    </row>
    <row r="11" spans="1:22" x14ac:dyDescent="0.3">
      <c r="A11" s="31"/>
      <c r="B11" s="2" t="s">
        <v>858</v>
      </c>
      <c r="C11">
        <v>448</v>
      </c>
      <c r="D11">
        <v>904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6"/>
      <c r="R11" s="36"/>
      <c r="S11" s="36"/>
      <c r="T11" s="36"/>
      <c r="U11" s="36"/>
      <c r="V11" s="36"/>
    </row>
    <row r="12" spans="1:22" x14ac:dyDescent="0.3">
      <c r="A12" s="31"/>
      <c r="B12" s="2" t="s">
        <v>859</v>
      </c>
      <c r="C12">
        <v>259</v>
      </c>
      <c r="D12">
        <v>394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6"/>
      <c r="R12" s="36"/>
      <c r="S12" s="36"/>
      <c r="T12" s="36"/>
      <c r="U12" s="36"/>
      <c r="V12" s="36"/>
    </row>
    <row r="13" spans="1:22" x14ac:dyDescent="0.3">
      <c r="A13" s="31"/>
      <c r="B13" s="2" t="s">
        <v>860</v>
      </c>
      <c r="C13">
        <v>209</v>
      </c>
      <c r="D13">
        <v>356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6"/>
      <c r="R13" s="36"/>
      <c r="S13" s="36"/>
      <c r="T13" s="36"/>
      <c r="U13" s="36"/>
      <c r="V13" s="36"/>
    </row>
    <row r="14" spans="1:22" x14ac:dyDescent="0.3">
      <c r="A14" s="31"/>
      <c r="B14" s="2" t="s">
        <v>861</v>
      </c>
      <c r="C14">
        <v>535</v>
      </c>
      <c r="D14">
        <v>989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6"/>
      <c r="R14" s="36"/>
      <c r="S14" s="36"/>
      <c r="T14" s="36"/>
      <c r="U14" s="36"/>
      <c r="V14" s="36"/>
    </row>
    <row r="15" spans="1:22" x14ac:dyDescent="0.3">
      <c r="A15" s="31"/>
      <c r="B15" s="2" t="s">
        <v>862</v>
      </c>
      <c r="C15">
        <v>1116</v>
      </c>
      <c r="D15">
        <v>2009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6"/>
      <c r="R15" s="36"/>
      <c r="S15" s="36"/>
      <c r="T15" s="36"/>
      <c r="U15" s="36"/>
      <c r="V15" s="36"/>
    </row>
    <row r="16" spans="1:22" x14ac:dyDescent="0.3">
      <c r="A16" s="31"/>
      <c r="B16" s="2" t="s">
        <v>863</v>
      </c>
      <c r="C16">
        <v>1529</v>
      </c>
      <c r="D16">
        <v>2503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6"/>
      <c r="R16" s="36"/>
      <c r="S16" s="36"/>
      <c r="T16" s="36"/>
      <c r="U16" s="36"/>
      <c r="V16" s="36"/>
    </row>
    <row r="17" spans="1:22" x14ac:dyDescent="0.3">
      <c r="A17" s="31"/>
      <c r="B17" s="2" t="s">
        <v>864</v>
      </c>
      <c r="C17">
        <v>1276</v>
      </c>
      <c r="D17">
        <v>1728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6"/>
      <c r="R17" s="36"/>
      <c r="S17" s="36"/>
      <c r="T17" s="36"/>
      <c r="U17" s="36"/>
      <c r="V17" s="36"/>
    </row>
    <row r="18" spans="1:22" x14ac:dyDescent="0.3">
      <c r="A18" s="31"/>
      <c r="B18" s="2" t="s">
        <v>865</v>
      </c>
      <c r="C18">
        <v>1016</v>
      </c>
      <c r="D18">
        <v>1307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6"/>
      <c r="R18" s="36"/>
      <c r="S18" s="36"/>
      <c r="T18" s="36"/>
      <c r="U18" s="36"/>
      <c r="V18" s="36"/>
    </row>
    <row r="19" spans="1:22" x14ac:dyDescent="0.3">
      <c r="A19" s="31"/>
      <c r="B19" s="2" t="s">
        <v>866</v>
      </c>
      <c r="C19">
        <v>1031</v>
      </c>
      <c r="D19">
        <v>1334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6"/>
      <c r="R19" s="36"/>
      <c r="S19" s="36"/>
      <c r="T19" s="36"/>
      <c r="U19" s="36"/>
      <c r="V19" s="36"/>
    </row>
    <row r="20" spans="1:22" x14ac:dyDescent="0.3">
      <c r="A20" s="31"/>
      <c r="B20" s="2" t="s">
        <v>867</v>
      </c>
      <c r="C20">
        <v>1013</v>
      </c>
      <c r="D20">
        <v>1353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6"/>
      <c r="R20" s="36"/>
      <c r="S20" s="36"/>
      <c r="T20" s="36"/>
      <c r="U20" s="36"/>
      <c r="V20" s="36"/>
    </row>
    <row r="21" spans="1:22" x14ac:dyDescent="0.3">
      <c r="A21" s="31"/>
      <c r="B21" s="2" t="s">
        <v>868</v>
      </c>
      <c r="C21">
        <v>1027</v>
      </c>
      <c r="D21">
        <v>1358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6"/>
      <c r="R21" s="36"/>
      <c r="S21" s="36"/>
      <c r="T21" s="36"/>
      <c r="U21" s="36"/>
      <c r="V21" s="36"/>
    </row>
    <row r="22" spans="1:22" x14ac:dyDescent="0.3">
      <c r="A22" s="31"/>
      <c r="B22" s="2" t="s">
        <v>869</v>
      </c>
      <c r="C22">
        <v>1073</v>
      </c>
      <c r="D22">
        <v>1412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6"/>
      <c r="R22" s="36"/>
      <c r="S22" s="36"/>
      <c r="T22" s="36"/>
      <c r="U22" s="36"/>
      <c r="V22" s="36"/>
    </row>
    <row r="23" spans="1:22" x14ac:dyDescent="0.3">
      <c r="A23" s="31"/>
      <c r="B23" s="2" t="s">
        <v>870</v>
      </c>
      <c r="C23">
        <v>1244</v>
      </c>
      <c r="D23">
        <v>1614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6"/>
      <c r="R23" s="36"/>
      <c r="S23" s="36"/>
      <c r="T23" s="36"/>
      <c r="U23" s="36"/>
      <c r="V23" s="36"/>
    </row>
    <row r="24" spans="1:22" x14ac:dyDescent="0.3">
      <c r="A24" s="31"/>
      <c r="B24" s="2" t="s">
        <v>871</v>
      </c>
      <c r="C24">
        <v>1871</v>
      </c>
      <c r="D24">
        <v>2312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6"/>
      <c r="R24" s="36"/>
      <c r="S24" s="36"/>
      <c r="T24" s="36"/>
      <c r="U24" s="36"/>
      <c r="V24" s="36"/>
    </row>
    <row r="25" spans="1:22" x14ac:dyDescent="0.3">
      <c r="A25" s="31"/>
      <c r="B25" s="2" t="s">
        <v>872</v>
      </c>
      <c r="C25">
        <v>2300</v>
      </c>
      <c r="D25">
        <v>3228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6"/>
      <c r="R25" s="36"/>
      <c r="S25" s="36"/>
      <c r="T25" s="36"/>
      <c r="U25" s="36"/>
      <c r="V25" s="36"/>
    </row>
    <row r="26" spans="1:22" ht="14.4" customHeight="1" x14ac:dyDescent="0.3">
      <c r="A26" s="31"/>
      <c r="B26" s="2" t="s">
        <v>873</v>
      </c>
      <c r="C26">
        <v>2418</v>
      </c>
      <c r="D26">
        <v>3205</v>
      </c>
      <c r="E26" s="31"/>
      <c r="F26" s="79" t="s">
        <v>1054</v>
      </c>
      <c r="G26" s="79"/>
      <c r="H26" s="79"/>
      <c r="I26" s="79"/>
      <c r="J26" s="79"/>
      <c r="K26" s="79"/>
      <c r="L26" s="79"/>
      <c r="M26" s="79"/>
      <c r="N26" s="79"/>
      <c r="O26" s="79"/>
      <c r="P26" s="31"/>
      <c r="Q26" s="36"/>
      <c r="R26" s="36"/>
      <c r="S26" s="36"/>
      <c r="T26" s="36"/>
      <c r="U26" s="36"/>
      <c r="V26" s="36"/>
    </row>
    <row r="27" spans="1:22" ht="14.4" customHeight="1" x14ac:dyDescent="0.3">
      <c r="A27" s="31"/>
      <c r="B27" s="2" t="s">
        <v>874</v>
      </c>
      <c r="C27">
        <v>2154</v>
      </c>
      <c r="D27">
        <v>2610</v>
      </c>
      <c r="E27" s="31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31"/>
      <c r="Q27" s="36"/>
      <c r="R27" s="36"/>
      <c r="S27" s="36"/>
      <c r="T27" s="36"/>
      <c r="U27" s="36"/>
      <c r="V27" s="36"/>
    </row>
    <row r="28" spans="1:22" ht="14.4" customHeight="1" x14ac:dyDescent="0.3">
      <c r="A28" s="31"/>
      <c r="B28" s="2" t="s">
        <v>875</v>
      </c>
      <c r="C28">
        <v>1918</v>
      </c>
      <c r="D28">
        <v>2239</v>
      </c>
      <c r="E28" s="3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31"/>
      <c r="Q28" s="36"/>
      <c r="R28" s="36"/>
      <c r="S28" s="36"/>
      <c r="T28" s="36"/>
      <c r="U28" s="36"/>
      <c r="V28" s="36"/>
    </row>
    <row r="29" spans="1:22" ht="14.4" customHeight="1" x14ac:dyDescent="0.3">
      <c r="A29" s="31"/>
      <c r="B29" s="2" t="s">
        <v>876</v>
      </c>
      <c r="C29">
        <v>1899</v>
      </c>
      <c r="D29">
        <v>2181</v>
      </c>
      <c r="E29" s="31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31"/>
      <c r="Q29" s="36"/>
      <c r="R29" s="36"/>
      <c r="S29" s="36"/>
      <c r="T29" s="36"/>
      <c r="U29" s="36"/>
      <c r="V29" s="36"/>
    </row>
    <row r="30" spans="1:22" ht="14.4" customHeight="1" x14ac:dyDescent="0.3">
      <c r="A30" s="31"/>
      <c r="B30" s="2" t="s">
        <v>877</v>
      </c>
      <c r="C30">
        <v>1841</v>
      </c>
      <c r="D30">
        <v>2125</v>
      </c>
      <c r="E30" s="3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31"/>
      <c r="Q30" s="36"/>
      <c r="R30" s="36"/>
      <c r="S30" s="36"/>
      <c r="T30" s="36"/>
      <c r="U30" s="36"/>
      <c r="V30" s="36"/>
    </row>
    <row r="31" spans="1:2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6"/>
      <c r="R31" s="36"/>
      <c r="S31" s="36"/>
      <c r="T31" s="36"/>
      <c r="U31" s="36"/>
      <c r="V31" s="36"/>
    </row>
    <row r="32" spans="1:22" ht="25.8" x14ac:dyDescent="0.5">
      <c r="A32" s="31"/>
      <c r="B32" s="122" t="s">
        <v>980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31"/>
      <c r="Q32" s="36"/>
      <c r="R32" s="36"/>
      <c r="S32" s="36"/>
      <c r="T32" s="36"/>
      <c r="U32" s="36"/>
      <c r="V32" s="36"/>
    </row>
    <row r="33" spans="1:2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6"/>
      <c r="R33" s="36"/>
      <c r="S33" s="36"/>
      <c r="T33" s="36"/>
      <c r="U33" s="36"/>
      <c r="V33" s="36"/>
    </row>
    <row r="34" spans="1:2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6"/>
      <c r="R34" s="36"/>
      <c r="S34" s="36"/>
      <c r="T34" s="36"/>
      <c r="U34" s="36"/>
      <c r="V34" s="36"/>
    </row>
    <row r="35" spans="1:2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6"/>
      <c r="R35" s="36"/>
      <c r="S35" s="36"/>
      <c r="T35" s="36"/>
      <c r="U35" s="36"/>
      <c r="V35" s="36"/>
    </row>
    <row r="36" spans="1:2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6"/>
      <c r="R36" s="36"/>
      <c r="S36" s="36"/>
      <c r="T36" s="36"/>
      <c r="U36" s="36"/>
      <c r="V36" s="36"/>
    </row>
    <row r="37" spans="1:2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6"/>
      <c r="R37" s="36"/>
      <c r="S37" s="36"/>
      <c r="T37" s="36"/>
      <c r="U37" s="36"/>
      <c r="V37" s="36"/>
    </row>
    <row r="38" spans="1:22" x14ac:dyDescent="0.3">
      <c r="A38" s="31"/>
      <c r="B38" s="38"/>
      <c r="C38" s="38"/>
      <c r="D38" s="38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6"/>
      <c r="R38" s="36"/>
      <c r="S38" s="36"/>
      <c r="T38" s="36"/>
      <c r="U38" s="36"/>
      <c r="V38" s="36"/>
    </row>
    <row r="39" spans="1:22" x14ac:dyDescent="0.3">
      <c r="A39" s="31"/>
      <c r="B39" s="35"/>
      <c r="C39" s="35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6"/>
      <c r="R39" s="36"/>
      <c r="S39" s="36"/>
      <c r="T39" s="36"/>
      <c r="U39" s="36"/>
      <c r="V39" s="36"/>
    </row>
    <row r="40" spans="1:22" x14ac:dyDescent="0.3">
      <c r="A40" s="31"/>
      <c r="B40" s="35"/>
      <c r="C40" s="35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6"/>
      <c r="R40" s="36"/>
      <c r="S40" s="36"/>
      <c r="T40" s="36"/>
      <c r="U40" s="36"/>
      <c r="V40" s="36"/>
    </row>
    <row r="41" spans="1:2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6"/>
      <c r="R41" s="36"/>
      <c r="S41" s="36"/>
      <c r="T41" s="36"/>
      <c r="U41" s="36"/>
      <c r="V41" s="36"/>
    </row>
    <row r="42" spans="1:2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6"/>
      <c r="R42" s="36"/>
      <c r="S42" s="36"/>
      <c r="T42" s="36"/>
      <c r="U42" s="36"/>
      <c r="V42" s="36"/>
    </row>
    <row r="43" spans="1:2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6"/>
      <c r="R43" s="36"/>
      <c r="S43" s="36"/>
      <c r="T43" s="36"/>
      <c r="U43" s="36"/>
      <c r="V43" s="36"/>
    </row>
    <row r="44" spans="1:2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6"/>
      <c r="R44" s="36"/>
      <c r="S44" s="36"/>
      <c r="T44" s="36"/>
      <c r="U44" s="36"/>
      <c r="V44" s="36"/>
    </row>
    <row r="45" spans="1:2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6"/>
      <c r="R45" s="36"/>
      <c r="S45" s="36"/>
      <c r="T45" s="36"/>
      <c r="U45" s="36"/>
      <c r="V45" s="36"/>
    </row>
    <row r="46" spans="1:22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6"/>
      <c r="R46" s="36"/>
      <c r="S46" s="36"/>
      <c r="T46" s="36"/>
      <c r="U46" s="36"/>
      <c r="V46" s="36"/>
    </row>
    <row r="47" spans="1:22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6"/>
      <c r="R47" s="36"/>
      <c r="S47" s="36"/>
      <c r="T47" s="36"/>
      <c r="U47" s="36"/>
      <c r="V47" s="36"/>
    </row>
    <row r="48" spans="1:22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6"/>
      <c r="R48" s="36"/>
      <c r="S48" s="36"/>
      <c r="T48" s="36"/>
      <c r="U48" s="36"/>
      <c r="V48" s="36"/>
    </row>
    <row r="49" spans="1:22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6"/>
      <c r="R49" s="36"/>
      <c r="S49" s="36"/>
      <c r="T49" s="36"/>
      <c r="U49" s="36"/>
      <c r="V49" s="36"/>
    </row>
    <row r="50" spans="1:22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6"/>
      <c r="R50" s="36"/>
      <c r="S50" s="36"/>
      <c r="T50" s="36"/>
      <c r="U50" s="36"/>
      <c r="V50" s="36"/>
    </row>
    <row r="51" spans="1:22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6"/>
      <c r="R51" s="36"/>
      <c r="S51" s="36"/>
      <c r="T51" s="36"/>
      <c r="U51" s="36"/>
      <c r="V51" s="36"/>
    </row>
    <row r="52" spans="1:22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6"/>
      <c r="R52" s="36"/>
      <c r="S52" s="36"/>
      <c r="T52" s="36"/>
      <c r="U52" s="36"/>
      <c r="V52" s="36"/>
    </row>
    <row r="53" spans="1:22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6"/>
      <c r="R53" s="36"/>
      <c r="S53" s="36"/>
      <c r="T53" s="36"/>
      <c r="U53" s="36"/>
      <c r="V53" s="36"/>
    </row>
    <row r="54" spans="1:22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6"/>
      <c r="R54" s="36"/>
      <c r="S54" s="36"/>
      <c r="T54" s="36"/>
      <c r="U54" s="36"/>
      <c r="V54" s="36"/>
    </row>
    <row r="55" spans="1:22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6"/>
      <c r="R55" s="36"/>
      <c r="S55" s="36"/>
      <c r="T55" s="36"/>
      <c r="U55" s="36"/>
      <c r="V55" s="36"/>
    </row>
    <row r="56" spans="1:22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6"/>
      <c r="R56" s="36"/>
      <c r="S56" s="36"/>
      <c r="T56" s="36"/>
      <c r="U56" s="36"/>
      <c r="V56" s="36"/>
    </row>
    <row r="57" spans="1:22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6"/>
      <c r="R57" s="36"/>
      <c r="S57" s="36"/>
      <c r="T57" s="36"/>
      <c r="U57" s="36"/>
      <c r="V57" s="36"/>
    </row>
    <row r="58" spans="1:22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6"/>
      <c r="R58" s="36"/>
      <c r="S58" s="36"/>
      <c r="T58" s="36"/>
      <c r="U58" s="36"/>
      <c r="V58" s="36"/>
    </row>
    <row r="59" spans="1:22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6"/>
      <c r="R59" s="36"/>
      <c r="S59" s="36"/>
      <c r="T59" s="36"/>
      <c r="U59" s="36"/>
      <c r="V59" s="36"/>
    </row>
    <row r="60" spans="1:22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6"/>
      <c r="R60" s="36"/>
      <c r="S60" s="36"/>
      <c r="T60" s="36"/>
      <c r="U60" s="36"/>
      <c r="V60" s="36"/>
    </row>
    <row r="61" spans="1:22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6"/>
      <c r="R61" s="36"/>
      <c r="S61" s="36"/>
      <c r="T61" s="36"/>
      <c r="U61" s="36"/>
      <c r="V61" s="36"/>
    </row>
    <row r="62" spans="1:22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6"/>
      <c r="R62" s="36"/>
      <c r="S62" s="36"/>
      <c r="T62" s="36"/>
      <c r="U62" s="36"/>
      <c r="V62" s="36"/>
    </row>
    <row r="63" spans="1:22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6"/>
      <c r="R63" s="36"/>
      <c r="S63" s="36"/>
      <c r="T63" s="36"/>
      <c r="U63" s="36"/>
      <c r="V63" s="36"/>
    </row>
    <row r="64" spans="1:22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6"/>
      <c r="R64" s="36"/>
      <c r="S64" s="36"/>
      <c r="T64" s="36"/>
      <c r="U64" s="36"/>
      <c r="V64" s="36"/>
    </row>
    <row r="65" spans="1:22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6"/>
      <c r="R65" s="36"/>
      <c r="S65" s="36"/>
      <c r="T65" s="36"/>
      <c r="U65" s="36"/>
      <c r="V65" s="36"/>
    </row>
    <row r="66" spans="1:22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6"/>
      <c r="R66" s="36"/>
      <c r="S66" s="36"/>
      <c r="T66" s="36"/>
      <c r="U66" s="36"/>
      <c r="V66" s="36"/>
    </row>
  </sheetData>
  <mergeCells count="5">
    <mergeCell ref="B32:O32"/>
    <mergeCell ref="A1:P2"/>
    <mergeCell ref="A4:P4"/>
    <mergeCell ref="F26:O30"/>
    <mergeCell ref="F6:O7"/>
  </mergeCells>
  <conditionalFormatting sqref="B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F0000"/>
        <color rgb="FF00B050"/>
      </colorScale>
    </cfRule>
  </conditionalFormatting>
  <conditionalFormatting pivot="1" sqref="C7:D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AAD7-76B3-4AA4-8D68-0DD74D696820}">
  <dimension ref="A1:U45"/>
  <sheetViews>
    <sheetView topLeftCell="A14" zoomScale="98" zoomScaleNormal="98" workbookViewId="0">
      <selection activeCell="H22" sqref="H22:H25"/>
    </sheetView>
  </sheetViews>
  <sheetFormatPr defaultRowHeight="14.4" x14ac:dyDescent="0.3"/>
  <cols>
    <col min="3" max="3" width="7.33203125" bestFit="1" customWidth="1"/>
    <col min="4" max="4" width="30.109375" bestFit="1" customWidth="1"/>
    <col min="5" max="5" width="23.88671875" customWidth="1"/>
    <col min="6" max="6" width="21.33203125" customWidth="1"/>
    <col min="7" max="7" width="15" customWidth="1"/>
    <col min="8" max="8" width="22" customWidth="1"/>
    <col min="9" max="9" width="17.88671875" customWidth="1"/>
    <col min="10" max="10" width="17.77734375" customWidth="1"/>
  </cols>
  <sheetData>
    <row r="1" spans="1:21" ht="14.4" customHeight="1" x14ac:dyDescent="0.55000000000000004">
      <c r="A1" s="82" t="s">
        <v>1032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37"/>
      <c r="N1" s="37"/>
      <c r="O1" s="37"/>
      <c r="P1" s="37"/>
      <c r="Q1" s="37"/>
      <c r="R1" s="37"/>
      <c r="S1" s="37"/>
      <c r="T1" s="37"/>
      <c r="U1" s="37"/>
    </row>
    <row r="2" spans="1:21" ht="14.4" customHeight="1" x14ac:dyDescent="0.55000000000000004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37"/>
      <c r="N2" s="37"/>
      <c r="O2" s="37"/>
      <c r="P2" s="37"/>
      <c r="Q2" s="37"/>
      <c r="R2" s="37"/>
      <c r="S2" s="37"/>
      <c r="T2" s="37"/>
      <c r="U2" s="37"/>
    </row>
    <row r="3" spans="1:2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6"/>
      <c r="N3" s="36"/>
      <c r="O3" s="36"/>
      <c r="P3" s="36"/>
      <c r="Q3" s="36"/>
      <c r="R3" s="36"/>
      <c r="S3" s="36"/>
      <c r="T3" s="36"/>
      <c r="U3" s="36"/>
    </row>
    <row r="4" spans="1:21" ht="15.6" x14ac:dyDescent="0.3">
      <c r="A4" s="31"/>
      <c r="B4" s="31"/>
      <c r="C4" s="125" t="s">
        <v>1022</v>
      </c>
      <c r="D4" s="126"/>
      <c r="E4" s="126"/>
      <c r="F4" s="126"/>
      <c r="G4" s="126"/>
      <c r="H4" s="126"/>
      <c r="I4" s="31"/>
      <c r="J4" s="31"/>
      <c r="K4" s="31"/>
      <c r="L4" s="31"/>
      <c r="M4" s="36"/>
      <c r="N4" s="36"/>
      <c r="O4" s="36"/>
      <c r="P4" s="36"/>
      <c r="Q4" s="36"/>
      <c r="R4" s="36"/>
      <c r="S4" s="36"/>
      <c r="T4" s="36"/>
      <c r="U4" s="36"/>
    </row>
    <row r="5" spans="1:21" ht="15.6" x14ac:dyDescent="0.3">
      <c r="A5" s="31"/>
      <c r="B5" s="31"/>
      <c r="C5" s="57" t="s">
        <v>1021</v>
      </c>
      <c r="D5" s="57" t="s">
        <v>1003</v>
      </c>
      <c r="E5" s="57" t="s">
        <v>999</v>
      </c>
      <c r="F5" s="57" t="s">
        <v>1000</v>
      </c>
      <c r="G5" s="127" t="s">
        <v>1014</v>
      </c>
      <c r="H5" s="127"/>
      <c r="I5" s="31"/>
      <c r="J5" s="31"/>
      <c r="K5" s="31"/>
      <c r="L5" s="31"/>
      <c r="M5" s="36"/>
      <c r="N5" s="36"/>
      <c r="O5" s="36"/>
      <c r="P5" s="36"/>
      <c r="Q5" s="36"/>
      <c r="R5" s="36"/>
      <c r="S5" s="36"/>
      <c r="T5" s="36"/>
      <c r="U5" s="36"/>
    </row>
    <row r="6" spans="1:21" x14ac:dyDescent="0.3">
      <c r="A6" s="31"/>
      <c r="B6" s="31"/>
      <c r="C6" s="55">
        <v>1</v>
      </c>
      <c r="D6" s="58" t="s">
        <v>1026</v>
      </c>
      <c r="E6" s="55">
        <v>10</v>
      </c>
      <c r="F6" s="55" t="s">
        <v>1064</v>
      </c>
      <c r="G6" s="124" t="s">
        <v>1015</v>
      </c>
      <c r="H6" s="124"/>
      <c r="I6" s="31"/>
      <c r="J6" s="31"/>
      <c r="K6" s="31"/>
      <c r="L6" s="31"/>
      <c r="M6" s="36"/>
      <c r="N6" s="36"/>
      <c r="O6" s="36"/>
      <c r="P6" s="36"/>
      <c r="Q6" s="36"/>
      <c r="R6" s="36"/>
      <c r="S6" s="36"/>
      <c r="T6" s="36"/>
      <c r="U6" s="36"/>
    </row>
    <row r="7" spans="1:21" x14ac:dyDescent="0.3">
      <c r="A7" s="31"/>
      <c r="B7" s="31"/>
      <c r="C7" s="55">
        <v>2</v>
      </c>
      <c r="D7" s="58" t="s">
        <v>1004</v>
      </c>
      <c r="E7" s="55">
        <v>0.8</v>
      </c>
      <c r="F7" s="55" t="s">
        <v>1001</v>
      </c>
      <c r="G7" s="124" t="s">
        <v>1016</v>
      </c>
      <c r="H7" s="124"/>
      <c r="I7" s="31"/>
      <c r="J7" s="31"/>
      <c r="K7" s="31"/>
      <c r="L7" s="31"/>
      <c r="M7" s="36"/>
      <c r="N7" s="36"/>
      <c r="O7" s="36"/>
      <c r="P7" s="36"/>
      <c r="Q7" s="36"/>
      <c r="R7" s="36"/>
      <c r="S7" s="36"/>
      <c r="T7" s="36"/>
      <c r="U7" s="36"/>
    </row>
    <row r="8" spans="1:21" x14ac:dyDescent="0.3">
      <c r="A8" s="31"/>
      <c r="B8" s="31"/>
      <c r="C8" s="55">
        <v>3</v>
      </c>
      <c r="D8" s="58" t="s">
        <v>1005</v>
      </c>
      <c r="E8" s="55">
        <v>0.2</v>
      </c>
      <c r="F8" s="55" t="s">
        <v>1001</v>
      </c>
      <c r="G8" s="124" t="s">
        <v>1017</v>
      </c>
      <c r="H8" s="124"/>
      <c r="I8" s="31"/>
      <c r="J8" s="31"/>
      <c r="K8" s="31"/>
      <c r="L8" s="31"/>
      <c r="M8" s="36"/>
      <c r="N8" s="36"/>
      <c r="O8" s="36"/>
      <c r="P8" s="36"/>
      <c r="Q8" s="36"/>
      <c r="R8" s="36"/>
      <c r="S8" s="36"/>
      <c r="T8" s="36"/>
      <c r="U8" s="36"/>
    </row>
    <row r="9" spans="1:21" x14ac:dyDescent="0.3">
      <c r="A9" s="31"/>
      <c r="B9" s="31"/>
      <c r="C9" s="55">
        <v>4</v>
      </c>
      <c r="D9" s="58" t="s">
        <v>1006</v>
      </c>
      <c r="E9" s="55">
        <v>0.33</v>
      </c>
      <c r="F9" s="55" t="s">
        <v>851</v>
      </c>
      <c r="G9" s="124" t="s">
        <v>1018</v>
      </c>
      <c r="H9" s="124"/>
      <c r="I9" s="31"/>
      <c r="J9" s="31"/>
      <c r="K9" s="31"/>
      <c r="L9" s="31"/>
      <c r="M9" s="36"/>
      <c r="N9" s="36"/>
      <c r="O9" s="36"/>
      <c r="P9" s="36"/>
      <c r="Q9" s="36"/>
      <c r="R9" s="36"/>
      <c r="S9" s="36"/>
      <c r="T9" s="36"/>
      <c r="U9" s="36"/>
    </row>
    <row r="10" spans="1:21" x14ac:dyDescent="0.3">
      <c r="A10" s="31"/>
      <c r="B10" s="31"/>
      <c r="C10" s="55">
        <v>5</v>
      </c>
      <c r="D10" s="58" t="s">
        <v>964</v>
      </c>
      <c r="E10" s="55">
        <v>0.56999999999999995</v>
      </c>
      <c r="F10" s="55" t="s">
        <v>1002</v>
      </c>
      <c r="G10" s="124" t="s">
        <v>1019</v>
      </c>
      <c r="H10" s="124"/>
      <c r="I10" s="31"/>
      <c r="J10" s="31"/>
      <c r="K10" s="31"/>
      <c r="L10" s="31"/>
      <c r="M10" s="36"/>
      <c r="N10" s="36"/>
      <c r="O10" s="36"/>
      <c r="P10" s="36"/>
      <c r="Q10" s="36"/>
      <c r="R10" s="36"/>
      <c r="S10" s="36"/>
      <c r="T10" s="36"/>
      <c r="U10" s="36"/>
    </row>
    <row r="11" spans="1:21" x14ac:dyDescent="0.3">
      <c r="A11" s="31"/>
      <c r="B11" s="31"/>
      <c r="C11" s="55">
        <v>6</v>
      </c>
      <c r="D11" s="58" t="s">
        <v>1010</v>
      </c>
      <c r="E11" s="55">
        <v>9</v>
      </c>
      <c r="F11" s="56" t="s">
        <v>1057</v>
      </c>
      <c r="G11" s="124" t="s">
        <v>1020</v>
      </c>
      <c r="H11" s="124"/>
      <c r="I11" s="31"/>
      <c r="J11" s="31"/>
      <c r="K11" s="31"/>
      <c r="L11" s="31"/>
      <c r="M11" s="36"/>
      <c r="N11" s="36"/>
      <c r="O11" s="36"/>
      <c r="P11" s="36"/>
      <c r="Q11" s="36"/>
      <c r="R11" s="36"/>
      <c r="S11" s="36"/>
      <c r="T11" s="36"/>
      <c r="U11" s="36"/>
    </row>
    <row r="12" spans="1:21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6"/>
      <c r="N12" s="36"/>
      <c r="O12" s="36"/>
      <c r="P12" s="36"/>
      <c r="Q12" s="36"/>
      <c r="R12" s="36"/>
      <c r="S12" s="36"/>
      <c r="T12" s="36"/>
      <c r="U12" s="36"/>
    </row>
    <row r="13" spans="1:21" ht="15.6" x14ac:dyDescent="0.3">
      <c r="A13" s="31"/>
      <c r="B13" s="31"/>
      <c r="C13" s="129" t="s">
        <v>1031</v>
      </c>
      <c r="D13" s="130"/>
      <c r="E13" s="130"/>
      <c r="F13" s="130"/>
      <c r="G13" s="130"/>
      <c r="H13" s="130"/>
      <c r="I13" s="130"/>
      <c r="J13" s="131"/>
      <c r="K13" s="31"/>
      <c r="L13" s="31"/>
      <c r="M13" s="36"/>
      <c r="N13" s="36"/>
      <c r="O13" s="36"/>
      <c r="P13" s="36"/>
      <c r="Q13" s="36"/>
      <c r="R13" s="36"/>
      <c r="S13" s="36"/>
      <c r="T13" s="36"/>
      <c r="U13" s="36"/>
    </row>
    <row r="14" spans="1:21" ht="28.8" x14ac:dyDescent="0.3">
      <c r="A14" s="31"/>
      <c r="B14" s="31"/>
      <c r="C14" s="28" t="s">
        <v>851</v>
      </c>
      <c r="D14" s="29" t="s">
        <v>1013</v>
      </c>
      <c r="E14" s="29" t="s">
        <v>1023</v>
      </c>
      <c r="F14" s="30" t="s">
        <v>1029</v>
      </c>
      <c r="G14" s="30" t="s">
        <v>1024</v>
      </c>
      <c r="H14" s="30" t="s">
        <v>1025</v>
      </c>
      <c r="I14" s="30" t="s">
        <v>1028</v>
      </c>
      <c r="J14" s="30" t="s">
        <v>1027</v>
      </c>
      <c r="K14" s="31"/>
      <c r="L14" s="31"/>
      <c r="M14" s="36"/>
      <c r="N14" s="36"/>
      <c r="O14" s="36"/>
      <c r="P14" s="36"/>
      <c r="Q14" s="36"/>
      <c r="R14" s="36"/>
      <c r="S14" s="36"/>
      <c r="T14" s="36"/>
      <c r="U14" s="36"/>
    </row>
    <row r="15" spans="1:21" x14ac:dyDescent="0.3">
      <c r="A15" s="31"/>
      <c r="B15" s="31"/>
      <c r="C15" s="26" t="s">
        <v>854</v>
      </c>
      <c r="D15" s="60">
        <v>54.057142857142857</v>
      </c>
      <c r="E15" s="60">
        <v>19.685714285714287</v>
      </c>
      <c r="F15" s="61">
        <f>($D15-$E15)</f>
        <v>34.371428571428567</v>
      </c>
      <c r="G15" s="62">
        <f>(F15/D15)</f>
        <v>0.63583509513742065</v>
      </c>
      <c r="H15" s="61">
        <f>$F15/$E$10</f>
        <v>60.300751879699241</v>
      </c>
      <c r="I15" s="61">
        <f>($H15*$E$11)</f>
        <v>542.70676691729318</v>
      </c>
      <c r="J15" s="61">
        <f>$F15*$E$6*$E$8</f>
        <v>68.742857142857133</v>
      </c>
      <c r="K15" s="31"/>
      <c r="L15" s="31"/>
      <c r="M15" s="36"/>
      <c r="N15" s="36"/>
      <c r="O15" s="36"/>
      <c r="P15" s="36"/>
      <c r="Q15" s="36"/>
      <c r="R15" s="36"/>
      <c r="S15" s="36"/>
      <c r="T15" s="36"/>
      <c r="U15" s="36"/>
    </row>
    <row r="16" spans="1:21" x14ac:dyDescent="0.3">
      <c r="A16" s="31"/>
      <c r="B16" s="31"/>
      <c r="C16" s="26" t="s">
        <v>855</v>
      </c>
      <c r="D16" s="60">
        <v>37.771428571428572</v>
      </c>
      <c r="E16" s="60">
        <v>12.885714285714286</v>
      </c>
      <c r="F16" s="61">
        <f t="shared" ref="F16:F38" si="0">($D16-$E16)</f>
        <v>24.885714285714286</v>
      </c>
      <c r="G16" s="62">
        <f t="shared" ref="G16:G38" si="1">(F16/D16)</f>
        <v>0.65885022692889561</v>
      </c>
      <c r="H16" s="61">
        <f t="shared" ref="H16:H38" si="2">$F16/$E$10</f>
        <v>43.659147869674193</v>
      </c>
      <c r="I16" s="61">
        <f t="shared" ref="I16:I38" si="3">($H16*$E$11)</f>
        <v>392.93233082706774</v>
      </c>
      <c r="J16" s="61">
        <f t="shared" ref="J16:J38" si="4">$F16*$E$6*$E$8</f>
        <v>49.771428571428572</v>
      </c>
      <c r="K16" s="31"/>
      <c r="L16" s="31"/>
      <c r="M16" s="36"/>
      <c r="N16" s="36"/>
      <c r="O16" s="36"/>
      <c r="P16" s="36"/>
      <c r="Q16" s="36"/>
      <c r="R16" s="36"/>
      <c r="S16" s="36"/>
      <c r="T16" s="36"/>
      <c r="U16" s="36"/>
    </row>
    <row r="17" spans="1:21" x14ac:dyDescent="0.3">
      <c r="A17" s="31"/>
      <c r="B17" s="31"/>
      <c r="C17" s="26" t="s">
        <v>856</v>
      </c>
      <c r="D17" s="60">
        <v>30.342857142857142</v>
      </c>
      <c r="E17" s="60">
        <v>9.257142857142858</v>
      </c>
      <c r="F17" s="61">
        <f t="shared" si="0"/>
        <v>21.085714285714282</v>
      </c>
      <c r="G17" s="62">
        <f t="shared" si="1"/>
        <v>0.69491525423728806</v>
      </c>
      <c r="H17" s="61">
        <f t="shared" si="2"/>
        <v>36.992481203007515</v>
      </c>
      <c r="I17" s="61">
        <f t="shared" si="3"/>
        <v>332.93233082706763</v>
      </c>
      <c r="J17" s="61">
        <f t="shared" si="4"/>
        <v>42.171428571428571</v>
      </c>
      <c r="K17" s="31"/>
      <c r="L17" s="31"/>
      <c r="M17" s="36"/>
      <c r="N17" s="36"/>
      <c r="O17" s="36"/>
      <c r="P17" s="36"/>
      <c r="Q17" s="36"/>
      <c r="R17" s="36"/>
      <c r="S17" s="36"/>
      <c r="T17" s="36"/>
      <c r="U17" s="36"/>
    </row>
    <row r="18" spans="1:21" x14ac:dyDescent="0.3">
      <c r="A18" s="31"/>
      <c r="B18" s="31"/>
      <c r="C18" s="26" t="s">
        <v>857</v>
      </c>
      <c r="D18" s="60">
        <v>30.62857142857143</v>
      </c>
      <c r="E18" s="60">
        <v>8.0285714285714285</v>
      </c>
      <c r="F18" s="61">
        <f t="shared" si="0"/>
        <v>22.6</v>
      </c>
      <c r="G18" s="62">
        <f t="shared" si="1"/>
        <v>0.73787313432835822</v>
      </c>
      <c r="H18" s="61">
        <f t="shared" si="2"/>
        <v>39.649122807017548</v>
      </c>
      <c r="I18" s="61">
        <f t="shared" si="3"/>
        <v>356.84210526315792</v>
      </c>
      <c r="J18" s="61">
        <f t="shared" si="4"/>
        <v>45.2</v>
      </c>
      <c r="K18" s="31"/>
      <c r="L18" s="31"/>
      <c r="M18" s="36"/>
      <c r="N18" s="36"/>
      <c r="O18" s="36"/>
      <c r="P18" s="36"/>
      <c r="Q18" s="36"/>
      <c r="R18" s="36"/>
      <c r="S18" s="36"/>
      <c r="T18" s="36"/>
      <c r="U18" s="36"/>
    </row>
    <row r="19" spans="1:21" x14ac:dyDescent="0.3">
      <c r="A19" s="31"/>
      <c r="B19" s="31"/>
      <c r="C19" s="26" t="s">
        <v>858</v>
      </c>
      <c r="D19" s="60">
        <v>25.828571428571429</v>
      </c>
      <c r="E19" s="60">
        <v>6.2857142857142856</v>
      </c>
      <c r="F19" s="61">
        <f t="shared" si="0"/>
        <v>19.542857142857144</v>
      </c>
      <c r="G19" s="62">
        <f t="shared" si="1"/>
        <v>0.75663716814159299</v>
      </c>
      <c r="H19" s="61">
        <f t="shared" si="2"/>
        <v>34.285714285714292</v>
      </c>
      <c r="I19" s="61">
        <f t="shared" si="3"/>
        <v>308.57142857142861</v>
      </c>
      <c r="J19" s="61">
        <f t="shared" si="4"/>
        <v>39.085714285714289</v>
      </c>
      <c r="K19" s="31"/>
      <c r="L19" s="31"/>
      <c r="M19" s="36"/>
      <c r="N19" s="36"/>
      <c r="O19" s="36"/>
      <c r="P19" s="36"/>
      <c r="Q19" s="36"/>
      <c r="R19" s="36"/>
      <c r="S19" s="36"/>
      <c r="T19" s="36"/>
      <c r="U19" s="36"/>
    </row>
    <row r="20" spans="1:21" x14ac:dyDescent="0.3">
      <c r="A20" s="31"/>
      <c r="B20" s="31"/>
      <c r="C20" s="26" t="s">
        <v>859</v>
      </c>
      <c r="D20" s="60">
        <v>11.588235294117647</v>
      </c>
      <c r="E20" s="60">
        <v>2.9705882352941178</v>
      </c>
      <c r="F20" s="61">
        <f t="shared" si="0"/>
        <v>8.617647058823529</v>
      </c>
      <c r="G20" s="62">
        <f t="shared" si="1"/>
        <v>0.74365482233502533</v>
      </c>
      <c r="H20" s="61">
        <f t="shared" si="2"/>
        <v>15.118679050567597</v>
      </c>
      <c r="I20" s="61">
        <f t="shared" si="3"/>
        <v>136.06811145510838</v>
      </c>
      <c r="J20" s="61">
        <f t="shared" si="4"/>
        <v>17.235294117647058</v>
      </c>
      <c r="K20" s="31"/>
      <c r="L20" s="31"/>
      <c r="M20" s="36"/>
      <c r="N20" s="36"/>
      <c r="O20" s="36"/>
      <c r="P20" s="36"/>
      <c r="Q20" s="36"/>
      <c r="R20" s="36"/>
      <c r="S20" s="36"/>
      <c r="T20" s="36"/>
      <c r="U20" s="36"/>
    </row>
    <row r="21" spans="1:21" x14ac:dyDescent="0.3">
      <c r="A21" s="31"/>
      <c r="B21" s="31"/>
      <c r="C21" s="26" t="s">
        <v>860</v>
      </c>
      <c r="D21" s="60">
        <v>10.171428571428571</v>
      </c>
      <c r="E21" s="60">
        <v>1.8857142857142857</v>
      </c>
      <c r="F21" s="61">
        <f t="shared" si="0"/>
        <v>8.2857142857142847</v>
      </c>
      <c r="G21" s="62">
        <f t="shared" si="1"/>
        <v>0.8146067415730337</v>
      </c>
      <c r="H21" s="61">
        <f t="shared" si="2"/>
        <v>14.536340852130325</v>
      </c>
      <c r="I21" s="61">
        <f t="shared" si="3"/>
        <v>130.82706766917292</v>
      </c>
      <c r="J21" s="61">
        <f t="shared" si="4"/>
        <v>16.571428571428569</v>
      </c>
      <c r="K21" s="31"/>
      <c r="L21" s="31"/>
      <c r="M21" s="36"/>
      <c r="N21" s="36"/>
      <c r="O21" s="36"/>
      <c r="P21" s="36"/>
      <c r="Q21" s="36"/>
      <c r="R21" s="36"/>
      <c r="S21" s="36"/>
      <c r="T21" s="36"/>
      <c r="U21" s="36"/>
    </row>
    <row r="22" spans="1:21" x14ac:dyDescent="0.3">
      <c r="A22" s="31"/>
      <c r="B22" s="31"/>
      <c r="C22" s="26" t="s">
        <v>861</v>
      </c>
      <c r="D22" s="60">
        <v>28.257142857142856</v>
      </c>
      <c r="E22" s="60">
        <v>6.8</v>
      </c>
      <c r="F22" s="61">
        <f t="shared" si="0"/>
        <v>21.457142857142856</v>
      </c>
      <c r="G22" s="62">
        <f t="shared" si="1"/>
        <v>0.75935288169868553</v>
      </c>
      <c r="H22" s="61">
        <f t="shared" si="2"/>
        <v>37.644110275689222</v>
      </c>
      <c r="I22" s="61">
        <f t="shared" si="3"/>
        <v>338.79699248120301</v>
      </c>
      <c r="J22" s="61">
        <f t="shared" si="4"/>
        <v>42.914285714285711</v>
      </c>
      <c r="K22" s="31"/>
      <c r="L22" s="31"/>
      <c r="M22" s="36"/>
      <c r="N22" s="36"/>
      <c r="O22" s="36"/>
      <c r="P22" s="36"/>
      <c r="Q22" s="36"/>
      <c r="R22" s="36"/>
      <c r="S22" s="36"/>
      <c r="T22" s="36"/>
      <c r="U22" s="36"/>
    </row>
    <row r="23" spans="1:21" x14ac:dyDescent="0.3">
      <c r="A23" s="31"/>
      <c r="B23" s="31"/>
      <c r="C23" s="26" t="s">
        <v>862</v>
      </c>
      <c r="D23" s="60">
        <v>57.4</v>
      </c>
      <c r="E23" s="60">
        <v>14.685714285714285</v>
      </c>
      <c r="F23" s="61">
        <f t="shared" si="0"/>
        <v>42.714285714285715</v>
      </c>
      <c r="G23" s="62">
        <f t="shared" si="1"/>
        <v>0.74415131906421106</v>
      </c>
      <c r="H23" s="61">
        <f t="shared" si="2"/>
        <v>74.937343358395992</v>
      </c>
      <c r="I23" s="61">
        <f t="shared" si="3"/>
        <v>674.43609022556393</v>
      </c>
      <c r="J23" s="61">
        <f t="shared" si="4"/>
        <v>85.428571428571445</v>
      </c>
      <c r="K23" s="31"/>
      <c r="L23" s="31"/>
      <c r="M23" s="36"/>
      <c r="N23" s="36"/>
      <c r="O23" s="36"/>
      <c r="P23" s="36"/>
      <c r="Q23" s="36"/>
      <c r="R23" s="36"/>
      <c r="S23" s="36"/>
      <c r="T23" s="36"/>
      <c r="U23" s="36"/>
    </row>
    <row r="24" spans="1:21" x14ac:dyDescent="0.3">
      <c r="A24" s="31"/>
      <c r="B24" s="31"/>
      <c r="C24" s="26" t="s">
        <v>863</v>
      </c>
      <c r="D24" s="60">
        <v>71.51428571428572</v>
      </c>
      <c r="E24" s="60">
        <v>20.171428571428571</v>
      </c>
      <c r="F24" s="61">
        <f t="shared" si="0"/>
        <v>51.342857142857149</v>
      </c>
      <c r="G24" s="62">
        <f t="shared" si="1"/>
        <v>0.7179384738314023</v>
      </c>
      <c r="H24" s="61">
        <f t="shared" si="2"/>
        <v>90.075187969924826</v>
      </c>
      <c r="I24" s="61">
        <f t="shared" si="3"/>
        <v>810.67669172932347</v>
      </c>
      <c r="J24" s="61">
        <f t="shared" si="4"/>
        <v>102.6857142857143</v>
      </c>
      <c r="K24" s="31"/>
      <c r="L24" s="31"/>
      <c r="M24" s="36"/>
      <c r="N24" s="36"/>
      <c r="O24" s="36"/>
      <c r="P24" s="36"/>
      <c r="Q24" s="36"/>
      <c r="R24" s="36"/>
      <c r="S24" s="36"/>
      <c r="T24" s="36"/>
      <c r="U24" s="36"/>
    </row>
    <row r="25" spans="1:21" x14ac:dyDescent="0.3">
      <c r="A25" s="31"/>
      <c r="B25" s="31"/>
      <c r="C25" s="26" t="s">
        <v>864</v>
      </c>
      <c r="D25" s="60">
        <v>49.371428571428574</v>
      </c>
      <c r="E25" s="60">
        <v>12.571428571428571</v>
      </c>
      <c r="F25" s="61">
        <f t="shared" si="0"/>
        <v>36.800000000000004</v>
      </c>
      <c r="G25" s="62">
        <f t="shared" si="1"/>
        <v>0.74537037037037046</v>
      </c>
      <c r="H25" s="61">
        <f t="shared" si="2"/>
        <v>64.561403508771946</v>
      </c>
      <c r="I25" s="61">
        <f t="shared" si="3"/>
        <v>581.05263157894751</v>
      </c>
      <c r="J25" s="61">
        <f t="shared" si="4"/>
        <v>73.600000000000009</v>
      </c>
      <c r="K25" s="31"/>
      <c r="L25" s="31"/>
      <c r="M25" s="36"/>
      <c r="N25" s="36"/>
      <c r="O25" s="36"/>
      <c r="P25" s="36"/>
      <c r="Q25" s="36"/>
      <c r="R25" s="36"/>
      <c r="S25" s="36"/>
      <c r="T25" s="36"/>
      <c r="U25" s="36"/>
    </row>
    <row r="26" spans="1:21" x14ac:dyDescent="0.3">
      <c r="A26" s="31"/>
      <c r="B26" s="31"/>
      <c r="C26" s="26" t="s">
        <v>865</v>
      </c>
      <c r="D26" s="60">
        <v>37.342857142857142</v>
      </c>
      <c r="E26" s="60">
        <v>8.6</v>
      </c>
      <c r="F26" s="61">
        <f t="shared" si="0"/>
        <v>28.74285714285714</v>
      </c>
      <c r="G26" s="62">
        <f t="shared" si="1"/>
        <v>0.76970160673297627</v>
      </c>
      <c r="H26" s="61">
        <f t="shared" si="2"/>
        <v>50.426065162907271</v>
      </c>
      <c r="I26" s="61">
        <f t="shared" si="3"/>
        <v>453.83458646616543</v>
      </c>
      <c r="J26" s="61">
        <f t="shared" si="4"/>
        <v>57.48571428571428</v>
      </c>
      <c r="K26" s="31"/>
      <c r="L26" s="31"/>
      <c r="M26" s="36"/>
      <c r="N26" s="36"/>
      <c r="O26" s="36"/>
      <c r="P26" s="36"/>
      <c r="Q26" s="36"/>
      <c r="R26" s="36"/>
      <c r="S26" s="36"/>
      <c r="T26" s="36"/>
      <c r="U26" s="36"/>
    </row>
    <row r="27" spans="1:21" x14ac:dyDescent="0.3">
      <c r="A27" s="31"/>
      <c r="B27" s="31"/>
      <c r="C27" s="26" t="s">
        <v>866</v>
      </c>
      <c r="D27" s="60">
        <v>38.114285714285714</v>
      </c>
      <c r="E27" s="60">
        <v>8.5428571428571427</v>
      </c>
      <c r="F27" s="61">
        <f t="shared" si="0"/>
        <v>29.571428571428569</v>
      </c>
      <c r="G27" s="62">
        <f t="shared" si="1"/>
        <v>0.77586206896551724</v>
      </c>
      <c r="H27" s="61">
        <f t="shared" si="2"/>
        <v>51.879699248120303</v>
      </c>
      <c r="I27" s="61">
        <f t="shared" si="3"/>
        <v>466.91729323308272</v>
      </c>
      <c r="J27" s="61">
        <f t="shared" si="4"/>
        <v>59.142857142857139</v>
      </c>
      <c r="K27" s="31"/>
      <c r="L27" s="31"/>
      <c r="M27" s="36"/>
      <c r="N27" s="36"/>
      <c r="O27" s="36"/>
      <c r="P27" s="36"/>
      <c r="Q27" s="36"/>
      <c r="R27" s="36"/>
      <c r="S27" s="36"/>
      <c r="T27" s="36"/>
      <c r="U27" s="36"/>
    </row>
    <row r="28" spans="1:21" x14ac:dyDescent="0.3">
      <c r="A28" s="31"/>
      <c r="B28" s="31"/>
      <c r="C28" s="26" t="s">
        <v>867</v>
      </c>
      <c r="D28" s="60">
        <v>38.657142857142858</v>
      </c>
      <c r="E28" s="60">
        <v>8.5714285714285712</v>
      </c>
      <c r="F28" s="61">
        <f t="shared" si="0"/>
        <v>30.085714285714289</v>
      </c>
      <c r="G28" s="62">
        <f t="shared" si="1"/>
        <v>0.7782705099778271</v>
      </c>
      <c r="H28" s="61">
        <f t="shared" si="2"/>
        <v>52.781954887218056</v>
      </c>
      <c r="I28" s="61">
        <f t="shared" si="3"/>
        <v>475.03759398496248</v>
      </c>
      <c r="J28" s="61">
        <f t="shared" si="4"/>
        <v>60.171428571428578</v>
      </c>
      <c r="K28" s="31"/>
      <c r="L28" s="31"/>
      <c r="M28" s="36"/>
      <c r="N28" s="36"/>
      <c r="O28" s="36"/>
      <c r="P28" s="36"/>
      <c r="Q28" s="36"/>
      <c r="R28" s="36"/>
      <c r="S28" s="36"/>
      <c r="T28" s="36"/>
      <c r="U28" s="36"/>
    </row>
    <row r="29" spans="1:21" x14ac:dyDescent="0.3">
      <c r="A29" s="31"/>
      <c r="B29" s="31"/>
      <c r="C29" s="26" t="s">
        <v>868</v>
      </c>
      <c r="D29" s="60">
        <v>38.799999999999997</v>
      </c>
      <c r="E29" s="60">
        <v>8.5142857142857142</v>
      </c>
      <c r="F29" s="61">
        <f t="shared" si="0"/>
        <v>30.285714285714285</v>
      </c>
      <c r="G29" s="62">
        <f t="shared" si="1"/>
        <v>0.78055964653902798</v>
      </c>
      <c r="H29" s="61">
        <f t="shared" si="2"/>
        <v>53.132832080200501</v>
      </c>
      <c r="I29" s="61">
        <f t="shared" si="3"/>
        <v>478.19548872180451</v>
      </c>
      <c r="J29" s="61">
        <f t="shared" si="4"/>
        <v>60.571428571428569</v>
      </c>
      <c r="K29" s="31"/>
      <c r="L29" s="31"/>
      <c r="M29" s="36"/>
      <c r="N29" s="36"/>
      <c r="O29" s="36"/>
      <c r="P29" s="36"/>
      <c r="Q29" s="36"/>
      <c r="R29" s="36"/>
      <c r="S29" s="36"/>
      <c r="T29" s="36"/>
      <c r="U29" s="36"/>
    </row>
    <row r="30" spans="1:21" x14ac:dyDescent="0.3">
      <c r="A30" s="31"/>
      <c r="B30" s="31"/>
      <c r="C30" s="26" t="s">
        <v>869</v>
      </c>
      <c r="D30" s="60">
        <v>40.342857142857142</v>
      </c>
      <c r="E30" s="60">
        <v>9.0857142857142854</v>
      </c>
      <c r="F30" s="61">
        <f t="shared" si="0"/>
        <v>31.257142857142856</v>
      </c>
      <c r="G30" s="62">
        <f t="shared" si="1"/>
        <v>0.77478753541076484</v>
      </c>
      <c r="H30" s="61">
        <f t="shared" si="2"/>
        <v>54.837092731829578</v>
      </c>
      <c r="I30" s="61">
        <f t="shared" si="3"/>
        <v>493.53383458646618</v>
      </c>
      <c r="J30" s="61">
        <f t="shared" si="4"/>
        <v>62.514285714285712</v>
      </c>
      <c r="K30" s="31"/>
      <c r="L30" s="31"/>
      <c r="M30" s="36"/>
      <c r="N30" s="36"/>
      <c r="O30" s="36"/>
      <c r="P30" s="36"/>
      <c r="Q30" s="36"/>
      <c r="R30" s="36"/>
      <c r="S30" s="36"/>
      <c r="T30" s="36"/>
      <c r="U30" s="36"/>
    </row>
    <row r="31" spans="1:21" x14ac:dyDescent="0.3">
      <c r="A31" s="31"/>
      <c r="B31" s="31"/>
      <c r="C31" s="26" t="s">
        <v>870</v>
      </c>
      <c r="D31" s="60">
        <v>46.114285714285714</v>
      </c>
      <c r="E31" s="60">
        <v>11.971428571428572</v>
      </c>
      <c r="F31" s="61">
        <f t="shared" si="0"/>
        <v>34.142857142857139</v>
      </c>
      <c r="G31" s="62">
        <f t="shared" si="1"/>
        <v>0.7403965303593556</v>
      </c>
      <c r="H31" s="61">
        <f t="shared" si="2"/>
        <v>59.899749373433579</v>
      </c>
      <c r="I31" s="61">
        <f t="shared" si="3"/>
        <v>539.0977443609022</v>
      </c>
      <c r="J31" s="61">
        <f t="shared" si="4"/>
        <v>68.285714285714278</v>
      </c>
      <c r="K31" s="31"/>
      <c r="L31" s="31"/>
      <c r="M31" s="36"/>
      <c r="N31" s="36"/>
      <c r="O31" s="36"/>
      <c r="P31" s="36"/>
      <c r="Q31" s="36"/>
      <c r="R31" s="36"/>
      <c r="S31" s="36"/>
      <c r="T31" s="36"/>
      <c r="U31" s="36"/>
    </row>
    <row r="32" spans="1:21" x14ac:dyDescent="0.3">
      <c r="A32" s="31"/>
      <c r="B32" s="31"/>
      <c r="C32" s="26" t="s">
        <v>871</v>
      </c>
      <c r="D32" s="60">
        <v>66.057142857142864</v>
      </c>
      <c r="E32" s="60">
        <v>18.828571428571429</v>
      </c>
      <c r="F32" s="61">
        <f t="shared" si="0"/>
        <v>47.228571428571435</v>
      </c>
      <c r="G32" s="62">
        <f t="shared" si="1"/>
        <v>0.71496539792387548</v>
      </c>
      <c r="H32" s="61">
        <f t="shared" si="2"/>
        <v>82.857142857142875</v>
      </c>
      <c r="I32" s="61">
        <f t="shared" si="3"/>
        <v>745.71428571428589</v>
      </c>
      <c r="J32" s="61">
        <f t="shared" si="4"/>
        <v>94.45714285714287</v>
      </c>
      <c r="K32" s="31"/>
      <c r="L32" s="31"/>
      <c r="M32" s="36"/>
      <c r="N32" s="36"/>
      <c r="O32" s="36"/>
      <c r="P32" s="36"/>
      <c r="Q32" s="36"/>
      <c r="R32" s="36"/>
      <c r="S32" s="36"/>
      <c r="T32" s="36"/>
      <c r="U32" s="36"/>
    </row>
    <row r="33" spans="1:21" x14ac:dyDescent="0.3">
      <c r="A33" s="31"/>
      <c r="B33" s="31"/>
      <c r="C33" s="26" t="s">
        <v>872</v>
      </c>
      <c r="D33" s="60">
        <v>92.228571428571428</v>
      </c>
      <c r="E33" s="60">
        <v>26.6</v>
      </c>
      <c r="F33" s="61">
        <f t="shared" si="0"/>
        <v>65.628571428571433</v>
      </c>
      <c r="G33" s="62">
        <f t="shared" si="1"/>
        <v>0.71158612143742261</v>
      </c>
      <c r="H33" s="61">
        <f t="shared" si="2"/>
        <v>115.13784461152883</v>
      </c>
      <c r="I33" s="61">
        <f t="shared" si="3"/>
        <v>1036.2406015037595</v>
      </c>
      <c r="J33" s="61">
        <f t="shared" si="4"/>
        <v>131.25714285714287</v>
      </c>
      <c r="K33" s="31"/>
      <c r="L33" s="31"/>
      <c r="M33" s="36"/>
      <c r="N33" s="36"/>
      <c r="O33" s="36"/>
      <c r="P33" s="36"/>
      <c r="Q33" s="36"/>
      <c r="R33" s="36"/>
      <c r="S33" s="36"/>
      <c r="T33" s="36"/>
      <c r="U33" s="36"/>
    </row>
    <row r="34" spans="1:21" x14ac:dyDescent="0.3">
      <c r="A34" s="31"/>
      <c r="B34" s="31"/>
      <c r="C34" s="26" t="s">
        <v>873</v>
      </c>
      <c r="D34" s="60">
        <v>91.571428571428569</v>
      </c>
      <c r="E34" s="60">
        <v>27.6</v>
      </c>
      <c r="F34" s="61">
        <f t="shared" si="0"/>
        <v>63.971428571428568</v>
      </c>
      <c r="G34" s="62">
        <f t="shared" si="1"/>
        <v>0.69859594383775347</v>
      </c>
      <c r="H34" s="61">
        <f t="shared" si="2"/>
        <v>112.23057644110276</v>
      </c>
      <c r="I34" s="61">
        <f t="shared" si="3"/>
        <v>1010.0751879699249</v>
      </c>
      <c r="J34" s="61">
        <f t="shared" si="4"/>
        <v>127.94285714285714</v>
      </c>
      <c r="K34" s="31"/>
      <c r="L34" s="31"/>
      <c r="M34" s="36"/>
      <c r="N34" s="36"/>
      <c r="O34" s="36"/>
      <c r="P34" s="36"/>
      <c r="Q34" s="36"/>
      <c r="R34" s="36"/>
      <c r="S34" s="36"/>
      <c r="T34" s="36"/>
      <c r="U34" s="36"/>
    </row>
    <row r="35" spans="1:21" x14ac:dyDescent="0.3">
      <c r="A35" s="31"/>
      <c r="B35" s="31"/>
      <c r="C35" s="26" t="s">
        <v>874</v>
      </c>
      <c r="D35" s="60">
        <v>74.571428571428569</v>
      </c>
      <c r="E35" s="60">
        <v>23.657142857142858</v>
      </c>
      <c r="F35" s="61">
        <f t="shared" si="0"/>
        <v>50.914285714285711</v>
      </c>
      <c r="G35" s="62">
        <f t="shared" si="1"/>
        <v>0.68275862068965509</v>
      </c>
      <c r="H35" s="61">
        <f t="shared" si="2"/>
        <v>89.323308270676691</v>
      </c>
      <c r="I35" s="61">
        <f t="shared" si="3"/>
        <v>803.90977443609017</v>
      </c>
      <c r="J35" s="61">
        <f t="shared" si="4"/>
        <v>101.82857142857142</v>
      </c>
      <c r="K35" s="31"/>
      <c r="L35" s="31"/>
      <c r="M35" s="36"/>
      <c r="N35" s="36"/>
      <c r="O35" s="36"/>
      <c r="P35" s="36"/>
      <c r="Q35" s="36"/>
      <c r="R35" s="36"/>
      <c r="S35" s="36"/>
      <c r="T35" s="36"/>
      <c r="U35" s="36"/>
    </row>
    <row r="36" spans="1:21" x14ac:dyDescent="0.3">
      <c r="A36" s="31"/>
      <c r="B36" s="31"/>
      <c r="C36" s="26" t="s">
        <v>875</v>
      </c>
      <c r="D36" s="60">
        <v>63.971428571428568</v>
      </c>
      <c r="E36" s="60">
        <v>23.342857142857142</v>
      </c>
      <c r="F36" s="61">
        <f t="shared" si="0"/>
        <v>40.628571428571426</v>
      </c>
      <c r="G36" s="62">
        <f t="shared" si="1"/>
        <v>0.63510495757034391</v>
      </c>
      <c r="H36" s="61">
        <f t="shared" si="2"/>
        <v>71.278195488721806</v>
      </c>
      <c r="I36" s="61">
        <f t="shared" si="3"/>
        <v>641.5037593984963</v>
      </c>
      <c r="J36" s="61">
        <f t="shared" si="4"/>
        <v>81.257142857142867</v>
      </c>
      <c r="K36" s="31"/>
      <c r="L36" s="31"/>
      <c r="M36" s="36"/>
      <c r="N36" s="36"/>
      <c r="O36" s="36"/>
      <c r="P36" s="36"/>
      <c r="Q36" s="36"/>
      <c r="R36" s="36"/>
      <c r="S36" s="36"/>
      <c r="T36" s="36"/>
      <c r="U36" s="36"/>
    </row>
    <row r="37" spans="1:21" x14ac:dyDescent="0.3">
      <c r="A37" s="31"/>
      <c r="B37" s="31"/>
      <c r="C37" s="26" t="s">
        <v>876</v>
      </c>
      <c r="D37" s="60">
        <v>62.314285714285717</v>
      </c>
      <c r="E37" s="60">
        <v>22</v>
      </c>
      <c r="F37" s="61">
        <f t="shared" si="0"/>
        <v>40.314285714285717</v>
      </c>
      <c r="G37" s="62">
        <f t="shared" si="1"/>
        <v>0.64695093993580932</v>
      </c>
      <c r="H37" s="61">
        <f t="shared" si="2"/>
        <v>70.726817042606527</v>
      </c>
      <c r="I37" s="61">
        <f t="shared" si="3"/>
        <v>636.54135338345873</v>
      </c>
      <c r="J37" s="61">
        <f t="shared" si="4"/>
        <v>80.628571428571433</v>
      </c>
      <c r="K37" s="31"/>
      <c r="L37" s="31"/>
      <c r="M37" s="36"/>
      <c r="N37" s="36"/>
      <c r="O37" s="36"/>
      <c r="P37" s="36"/>
      <c r="Q37" s="36"/>
      <c r="R37" s="36"/>
      <c r="S37" s="36"/>
      <c r="T37" s="36"/>
      <c r="U37" s="36"/>
    </row>
    <row r="38" spans="1:21" x14ac:dyDescent="0.3">
      <c r="A38" s="31"/>
      <c r="B38" s="31"/>
      <c r="C38" s="26" t="s">
        <v>877</v>
      </c>
      <c r="D38" s="60">
        <v>60.714285714285715</v>
      </c>
      <c r="E38" s="60">
        <v>22.914285714285715</v>
      </c>
      <c r="F38" s="61">
        <f t="shared" si="0"/>
        <v>37.799999999999997</v>
      </c>
      <c r="G38" s="62">
        <f t="shared" si="1"/>
        <v>0.62258823529411755</v>
      </c>
      <c r="H38" s="61">
        <f t="shared" si="2"/>
        <v>66.315789473684205</v>
      </c>
      <c r="I38" s="61">
        <f t="shared" si="3"/>
        <v>596.8421052631578</v>
      </c>
      <c r="J38" s="61">
        <f t="shared" si="4"/>
        <v>75.600000000000009</v>
      </c>
      <c r="K38" s="31"/>
      <c r="L38" s="31"/>
      <c r="M38" s="36"/>
      <c r="N38" s="36"/>
      <c r="O38" s="36"/>
      <c r="P38" s="36"/>
      <c r="Q38" s="36"/>
      <c r="R38" s="36"/>
      <c r="S38" s="36"/>
      <c r="T38" s="36"/>
      <c r="U38" s="36"/>
    </row>
    <row r="39" spans="1:21" x14ac:dyDescent="0.3">
      <c r="A39" s="31"/>
      <c r="B39" s="31"/>
      <c r="C39" s="63" t="s">
        <v>1008</v>
      </c>
      <c r="D39" s="65">
        <f>SUM(D15:D38)</f>
        <v>1157.7310924369747</v>
      </c>
      <c r="E39" s="65">
        <f>SUM(E15:E38)</f>
        <v>335.45630252100835</v>
      </c>
      <c r="F39" s="65">
        <f t="shared" ref="F39:J39" si="5">SUM(F15:F38)</f>
        <v>822.27478991596615</v>
      </c>
      <c r="G39" s="64"/>
      <c r="H39" s="65">
        <f t="shared" si="5"/>
        <v>1442.5873507297658</v>
      </c>
      <c r="I39" s="65">
        <f t="shared" si="5"/>
        <v>12983.286156567892</v>
      </c>
      <c r="J39" s="65">
        <f t="shared" si="5"/>
        <v>1644.5495798319325</v>
      </c>
      <c r="K39" s="31"/>
      <c r="L39" s="31"/>
      <c r="M39" s="36"/>
      <c r="N39" s="36"/>
      <c r="O39" s="36"/>
      <c r="P39" s="36"/>
      <c r="Q39" s="36"/>
      <c r="R39" s="36"/>
      <c r="S39" s="36"/>
      <c r="T39" s="36"/>
      <c r="U39" s="36"/>
    </row>
    <row r="40" spans="1:2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6"/>
      <c r="N40" s="36"/>
      <c r="O40" s="36"/>
      <c r="P40" s="36"/>
      <c r="Q40" s="36"/>
      <c r="R40" s="36"/>
      <c r="S40" s="36"/>
      <c r="T40" s="36"/>
      <c r="U40" s="36"/>
    </row>
    <row r="41" spans="1:21" ht="14.4" customHeight="1" x14ac:dyDescent="0.3">
      <c r="A41" s="128" t="s">
        <v>1030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36"/>
      <c r="N41" s="36"/>
      <c r="O41" s="36"/>
      <c r="P41" s="36"/>
      <c r="Q41" s="36"/>
      <c r="R41" s="36"/>
      <c r="S41" s="36"/>
      <c r="T41" s="36"/>
      <c r="U41" s="36"/>
    </row>
    <row r="42" spans="1:21" ht="14.4" customHeight="1" x14ac:dyDescent="0.3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36"/>
      <c r="N42" s="36"/>
      <c r="O42" s="36"/>
      <c r="P42" s="36"/>
      <c r="Q42" s="36"/>
      <c r="R42" s="36"/>
      <c r="S42" s="36"/>
      <c r="T42" s="36"/>
      <c r="U42" s="36"/>
    </row>
    <row r="43" spans="1:21" ht="14.4" customHeight="1" x14ac:dyDescent="0.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36"/>
      <c r="N43" s="36"/>
      <c r="O43" s="36"/>
      <c r="P43" s="36"/>
      <c r="Q43" s="36"/>
      <c r="R43" s="36"/>
      <c r="S43" s="36"/>
      <c r="T43" s="36"/>
      <c r="U43" s="36"/>
    </row>
    <row r="44" spans="1:21" x14ac:dyDescent="0.3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36"/>
      <c r="N44" s="36"/>
      <c r="O44" s="36"/>
      <c r="P44" s="36"/>
      <c r="Q44" s="36"/>
      <c r="R44" s="36"/>
      <c r="S44" s="36"/>
      <c r="T44" s="36"/>
      <c r="U44" s="36"/>
    </row>
    <row r="45" spans="1:2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6"/>
      <c r="N45" s="36"/>
      <c r="O45" s="36"/>
      <c r="P45" s="36"/>
      <c r="Q45" s="36"/>
      <c r="R45" s="36"/>
      <c r="S45" s="36"/>
      <c r="T45" s="36"/>
      <c r="U45" s="36"/>
    </row>
  </sheetData>
  <mergeCells count="11">
    <mergeCell ref="A41:L44"/>
    <mergeCell ref="G9:H9"/>
    <mergeCell ref="G10:H10"/>
    <mergeCell ref="G11:H11"/>
    <mergeCell ref="C13:J13"/>
    <mergeCell ref="G8:H8"/>
    <mergeCell ref="A1:L2"/>
    <mergeCell ref="C4:H4"/>
    <mergeCell ref="G5:H5"/>
    <mergeCell ref="G6:H6"/>
    <mergeCell ref="G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7AC9-47F7-4C2F-9192-E79EF7308F07}">
  <dimension ref="A1:Q840"/>
  <sheetViews>
    <sheetView topLeftCell="D817" workbookViewId="0">
      <selection activeCell="J2" sqref="J2:J840"/>
    </sheetView>
  </sheetViews>
  <sheetFormatPr defaultRowHeight="14.4" x14ac:dyDescent="0.3"/>
  <cols>
    <col min="1" max="1" width="12.77734375" bestFit="1" customWidth="1"/>
    <col min="2" max="2" width="7.33203125" bestFit="1" customWidth="1"/>
    <col min="3" max="3" width="6.44140625" bestFit="1" customWidth="1"/>
    <col min="4" max="5" width="12.77734375" customWidth="1"/>
    <col min="6" max="6" width="16.109375" customWidth="1"/>
    <col min="7" max="7" width="14.21875" customWidth="1"/>
    <col min="8" max="8" width="12.88671875" customWidth="1"/>
    <col min="9" max="9" width="8.6640625" customWidth="1"/>
    <col min="10" max="10" width="10.6640625" customWidth="1"/>
    <col min="11" max="11" width="13.33203125" customWidth="1"/>
    <col min="12" max="12" width="14.5546875" customWidth="1"/>
    <col min="13" max="13" width="13.109375" customWidth="1"/>
    <col min="14" max="14" width="11.109375" bestFit="1" customWidth="1"/>
    <col min="15" max="15" width="8.109375" customWidth="1"/>
    <col min="16" max="16" width="14.33203125" customWidth="1"/>
  </cols>
  <sheetData>
    <row r="1" spans="1:17" s="12" customFormat="1" ht="57.6" x14ac:dyDescent="0.3">
      <c r="A1" s="11" t="s">
        <v>0</v>
      </c>
      <c r="B1" s="11" t="s">
        <v>851</v>
      </c>
      <c r="C1" s="11" t="s">
        <v>852</v>
      </c>
      <c r="D1" s="11" t="s">
        <v>879</v>
      </c>
      <c r="E1" s="11" t="s">
        <v>880</v>
      </c>
      <c r="F1" s="11" t="s">
        <v>848</v>
      </c>
      <c r="G1" s="11" t="s">
        <v>849</v>
      </c>
      <c r="H1" s="11" t="s">
        <v>850</v>
      </c>
      <c r="I1" s="11" t="s">
        <v>881</v>
      </c>
      <c r="J1" s="11" t="s">
        <v>882</v>
      </c>
      <c r="K1" s="11" t="s">
        <v>883</v>
      </c>
      <c r="L1" s="11" t="s">
        <v>4</v>
      </c>
      <c r="M1" s="11" t="s">
        <v>5</v>
      </c>
      <c r="N1" s="11" t="s">
        <v>6</v>
      </c>
      <c r="O1" s="11" t="s">
        <v>884</v>
      </c>
      <c r="P1" s="11" t="s">
        <v>885</v>
      </c>
      <c r="Q1" s="11" t="s">
        <v>1063</v>
      </c>
    </row>
    <row r="2" spans="1:17" x14ac:dyDescent="0.3">
      <c r="A2" t="s">
        <v>8</v>
      </c>
      <c r="B2" t="str">
        <f t="shared" ref="B2:B65" si="0">RIGHT(A2,3)</f>
        <v xml:space="preserve"> 23</v>
      </c>
      <c r="C2">
        <f t="shared" ref="C2:C65" si="1">WEEKDAY(DATEVALUE(LEFT(A2,FIND(" ",A2))),2)</f>
        <v>7</v>
      </c>
      <c r="D2" t="str">
        <f t="shared" ref="D2:D65" si="2">LEFT(A2,11)</f>
        <v xml:space="preserve">2016-12-18 </v>
      </c>
      <c r="E2" t="str">
        <f>TEXT(Demand_Data___Hourly_OverviewSearch_1_csv[[#This Row],[Day]],"dddd")</f>
        <v>Saturday</v>
      </c>
      <c r="F2">
        <v>9</v>
      </c>
      <c r="G2">
        <v>32</v>
      </c>
      <c r="H2">
        <v>78</v>
      </c>
      <c r="I2">
        <f>VLOOKUP(Demand_Data___Hourly_OverviewSearch_1_csv[[#This Row],[Date]],Supply_Data___Hourly_DriverActivity_1_csv__3[#All],2,FALSE)</f>
        <v>52</v>
      </c>
      <c r="J2">
        <f>VLOOKUP(Demand_Data___Hourly_OverviewSearch_1_csv[[#This Row],[Date]],Supply_Data___Hourly_DriverActivity_1_csv__3[#All],3,FALSE)</f>
        <v>18</v>
      </c>
      <c r="K2">
        <f>VLOOKUP(Demand_Data___Hourly_OverviewSearch_1_csv[[#This Row],[Date]],Supply_Data___Hourly_DriverActivity_1_csv__3[#All],4,FALSE)</f>
        <v>6</v>
      </c>
      <c r="L2">
        <f>VLOOKUP(Demand_Data___Hourly_OverviewSearch_1_csv[[#This Row],[Date]],Supply_Data___Hourly_DriverActivity_1_csv__3[#All],5,FALSE)</f>
        <v>11</v>
      </c>
      <c r="M2">
        <f>VLOOKUP(Demand_Data___Hourly_OverviewSearch_1_csv[[#This Row],[Date]],Supply_Data___Hourly_DriverActivity_1_csv__3[#All],6,FALSE)</f>
        <v>0.3</v>
      </c>
      <c r="N2">
        <f>VLOOKUP(Demand_Data___Hourly_OverviewSearch_1_csv[[#This Row],[Date]],Supply_Data___Hourly_DriverActivity_1_csv__3[#All],7,FALSE)</f>
        <v>0.67</v>
      </c>
      <c r="O2">
        <f>VLOOKUP(Demand_Data___Hourly_OverviewSearch_1_csv[[#This Row],[Date]],Supply_Data___Hourly_DriverActivity_1_csv__3[#All],8,FALSE)</f>
        <v>12</v>
      </c>
      <c r="P2">
        <f>(Demand_Data___Hourly_OverviewSearch_1_csv[[#This Row],[People saw 0 cars (unique)]]+Demand_Data___Hourly_OverviewSearch_1_csv[[#This Row],[People saw +1 cars (unique)]])</f>
        <v>41</v>
      </c>
      <c r="Q2" s="143">
        <f t="shared" ref="Q2:Q65" si="3">(J2-K2)</f>
        <v>12</v>
      </c>
    </row>
    <row r="3" spans="1:17" x14ac:dyDescent="0.3">
      <c r="A3" t="s">
        <v>9</v>
      </c>
      <c r="B3" t="str">
        <f t="shared" si="0"/>
        <v xml:space="preserve"> 22</v>
      </c>
      <c r="C3">
        <f t="shared" si="1"/>
        <v>7</v>
      </c>
      <c r="D3" t="str">
        <f t="shared" si="2"/>
        <v xml:space="preserve">2016-12-18 </v>
      </c>
      <c r="E3" t="str">
        <f>TEXT(Demand_Data___Hourly_OverviewSearch_1_csv[[#This Row],[Day]],"dddd")</f>
        <v>Saturday</v>
      </c>
      <c r="F3">
        <v>29</v>
      </c>
      <c r="G3">
        <v>64</v>
      </c>
      <c r="H3">
        <v>69</v>
      </c>
      <c r="I3">
        <f>VLOOKUP(Demand_Data___Hourly_OverviewSearch_1_csv[[#This Row],[Date]],Supply_Data___Hourly_DriverActivity_1_csv__3[#All],2,FALSE)</f>
        <v>59</v>
      </c>
      <c r="J3">
        <f>VLOOKUP(Demand_Data___Hourly_OverviewSearch_1_csv[[#This Row],[Date]],Supply_Data___Hourly_DriverActivity_1_csv__3[#All],3,FALSE)</f>
        <v>20</v>
      </c>
      <c r="K3">
        <f>VLOOKUP(Demand_Data___Hourly_OverviewSearch_1_csv[[#This Row],[Date]],Supply_Data___Hourly_DriverActivity_1_csv__3[#All],4,FALSE)</f>
        <v>11</v>
      </c>
      <c r="L3">
        <f>VLOOKUP(Demand_Data___Hourly_OverviewSearch_1_csv[[#This Row],[Date]],Supply_Data___Hourly_DriverActivity_1_csv__3[#All],5,FALSE)</f>
        <v>9</v>
      </c>
      <c r="M3">
        <f>VLOOKUP(Demand_Data___Hourly_OverviewSearch_1_csv[[#This Row],[Date]],Supply_Data___Hourly_DriverActivity_1_csv__3[#All],6,FALSE)</f>
        <v>0.3</v>
      </c>
      <c r="N3">
        <f>VLOOKUP(Demand_Data___Hourly_OverviewSearch_1_csv[[#This Row],[Date]],Supply_Data___Hourly_DriverActivity_1_csv__3[#All],7,FALSE)</f>
        <v>1.4</v>
      </c>
      <c r="O3">
        <f>VLOOKUP(Demand_Data___Hourly_OverviewSearch_1_csv[[#This Row],[Date]],Supply_Data___Hourly_DriverActivity_1_csv__3[#All],8,FALSE)</f>
        <v>28</v>
      </c>
      <c r="P3">
        <f>(Demand_Data___Hourly_OverviewSearch_1_csv[[#This Row],[People saw 0 cars (unique)]]+Demand_Data___Hourly_OverviewSearch_1_csv[[#This Row],[People saw +1 cars (unique)]])</f>
        <v>93</v>
      </c>
      <c r="Q3" s="143">
        <f t="shared" si="3"/>
        <v>9</v>
      </c>
    </row>
    <row r="4" spans="1:17" x14ac:dyDescent="0.3">
      <c r="A4" t="s">
        <v>10</v>
      </c>
      <c r="B4" t="str">
        <f t="shared" si="0"/>
        <v xml:space="preserve"> 21</v>
      </c>
      <c r="C4">
        <f t="shared" si="1"/>
        <v>7</v>
      </c>
      <c r="D4" t="str">
        <f t="shared" si="2"/>
        <v xml:space="preserve">2016-12-18 </v>
      </c>
      <c r="E4" t="str">
        <f>TEXT(Demand_Data___Hourly_OverviewSearch_1_csv[[#This Row],[Day]],"dddd")</f>
        <v>Saturday</v>
      </c>
      <c r="F4">
        <v>5</v>
      </c>
      <c r="G4">
        <v>39</v>
      </c>
      <c r="H4">
        <v>89</v>
      </c>
      <c r="I4">
        <f>VLOOKUP(Demand_Data___Hourly_OverviewSearch_1_csv[[#This Row],[Date]],Supply_Data___Hourly_DriverActivity_1_csv__3[#All],2,FALSE)</f>
        <v>72</v>
      </c>
      <c r="J4">
        <f>VLOOKUP(Demand_Data___Hourly_OverviewSearch_1_csv[[#This Row],[Date]],Supply_Data___Hourly_DriverActivity_1_csv__3[#All],3,FALSE)</f>
        <v>25</v>
      </c>
      <c r="K4">
        <f>VLOOKUP(Demand_Data___Hourly_OverviewSearch_1_csv[[#This Row],[Date]],Supply_Data___Hourly_DriverActivity_1_csv__3[#All],4,FALSE)</f>
        <v>7</v>
      </c>
      <c r="L4">
        <f>VLOOKUP(Demand_Data___Hourly_OverviewSearch_1_csv[[#This Row],[Date]],Supply_Data___Hourly_DriverActivity_1_csv__3[#All],5,FALSE)</f>
        <v>18</v>
      </c>
      <c r="M4">
        <f>VLOOKUP(Demand_Data___Hourly_OverviewSearch_1_csv[[#This Row],[Date]],Supply_Data___Hourly_DriverActivity_1_csv__3[#All],6,FALSE)</f>
        <v>0.3</v>
      </c>
      <c r="N4">
        <f>VLOOKUP(Demand_Data___Hourly_OverviewSearch_1_csv[[#This Row],[Date]],Supply_Data___Hourly_DriverActivity_1_csv__3[#All],7,FALSE)</f>
        <v>0.64</v>
      </c>
      <c r="O4">
        <f>VLOOKUP(Demand_Data___Hourly_OverviewSearch_1_csv[[#This Row],[Date]],Supply_Data___Hourly_DriverActivity_1_csv__3[#All],8,FALSE)</f>
        <v>16</v>
      </c>
      <c r="P4">
        <f>(Demand_Data___Hourly_OverviewSearch_1_csv[[#This Row],[People saw 0 cars (unique)]]+Demand_Data___Hourly_OverviewSearch_1_csv[[#This Row],[People saw +1 cars (unique)]])</f>
        <v>44</v>
      </c>
      <c r="Q4" s="143">
        <f t="shared" si="3"/>
        <v>18</v>
      </c>
    </row>
    <row r="5" spans="1:17" x14ac:dyDescent="0.3">
      <c r="A5" t="s">
        <v>11</v>
      </c>
      <c r="B5" t="str">
        <f t="shared" si="0"/>
        <v xml:space="preserve"> 20</v>
      </c>
      <c r="C5">
        <f t="shared" si="1"/>
        <v>7</v>
      </c>
      <c r="D5" t="str">
        <f t="shared" si="2"/>
        <v xml:space="preserve">2016-12-18 </v>
      </c>
      <c r="E5" t="str">
        <f>TEXT(Demand_Data___Hourly_OverviewSearch_1_csv[[#This Row],[Day]],"dddd")</f>
        <v>Saturday</v>
      </c>
      <c r="F5">
        <v>13</v>
      </c>
      <c r="G5">
        <v>48</v>
      </c>
      <c r="H5">
        <v>79</v>
      </c>
      <c r="I5">
        <f>VLOOKUP(Demand_Data___Hourly_OverviewSearch_1_csv[[#This Row],[Date]],Supply_Data___Hourly_DriverActivity_1_csv__3[#All],2,FALSE)</f>
        <v>86</v>
      </c>
      <c r="J5">
        <f>VLOOKUP(Demand_Data___Hourly_OverviewSearch_1_csv[[#This Row],[Date]],Supply_Data___Hourly_DriverActivity_1_csv__3[#All],3,FALSE)</f>
        <v>29</v>
      </c>
      <c r="K5">
        <f>VLOOKUP(Demand_Data___Hourly_OverviewSearch_1_csv[[#This Row],[Date]],Supply_Data___Hourly_DriverActivity_1_csv__3[#All],4,FALSE)</f>
        <v>7</v>
      </c>
      <c r="L5">
        <f>VLOOKUP(Demand_Data___Hourly_OverviewSearch_1_csv[[#This Row],[Date]],Supply_Data___Hourly_DriverActivity_1_csv__3[#All],5,FALSE)</f>
        <v>23</v>
      </c>
      <c r="M5">
        <f>VLOOKUP(Demand_Data___Hourly_OverviewSearch_1_csv[[#This Row],[Date]],Supply_Data___Hourly_DriverActivity_1_csv__3[#All],6,FALSE)</f>
        <v>0.3</v>
      </c>
      <c r="N5">
        <f>VLOOKUP(Demand_Data___Hourly_OverviewSearch_1_csv[[#This Row],[Date]],Supply_Data___Hourly_DriverActivity_1_csv__3[#All],7,FALSE)</f>
        <v>0.52</v>
      </c>
      <c r="O5">
        <f>VLOOKUP(Demand_Data___Hourly_OverviewSearch_1_csv[[#This Row],[Date]],Supply_Data___Hourly_DriverActivity_1_csv__3[#All],8,FALSE)</f>
        <v>15</v>
      </c>
      <c r="P5">
        <f>(Demand_Data___Hourly_OverviewSearch_1_csv[[#This Row],[People saw 0 cars (unique)]]+Demand_Data___Hourly_OverviewSearch_1_csv[[#This Row],[People saw +1 cars (unique)]])</f>
        <v>61</v>
      </c>
      <c r="Q5" s="143">
        <f t="shared" si="3"/>
        <v>22</v>
      </c>
    </row>
    <row r="6" spans="1:17" x14ac:dyDescent="0.3">
      <c r="A6" t="s">
        <v>12</v>
      </c>
      <c r="B6" t="str">
        <f t="shared" si="0"/>
        <v xml:space="preserve"> 19</v>
      </c>
      <c r="C6">
        <f t="shared" si="1"/>
        <v>7</v>
      </c>
      <c r="D6" t="str">
        <f t="shared" si="2"/>
        <v xml:space="preserve">2016-12-18 </v>
      </c>
      <c r="E6" t="str">
        <f>TEXT(Demand_Data___Hourly_OverviewSearch_1_csv[[#This Row],[Day]],"dddd")</f>
        <v>Saturday</v>
      </c>
      <c r="F6">
        <v>12</v>
      </c>
      <c r="G6">
        <v>77</v>
      </c>
      <c r="H6">
        <v>87</v>
      </c>
      <c r="I6">
        <f>VLOOKUP(Demand_Data___Hourly_OverviewSearch_1_csv[[#This Row],[Date]],Supply_Data___Hourly_DriverActivity_1_csv__3[#All],2,FALSE)</f>
        <v>82</v>
      </c>
      <c r="J6">
        <f>VLOOKUP(Demand_Data___Hourly_OverviewSearch_1_csv[[#This Row],[Date]],Supply_Data___Hourly_DriverActivity_1_csv__3[#All],3,FALSE)</f>
        <v>31</v>
      </c>
      <c r="K6">
        <f>VLOOKUP(Demand_Data___Hourly_OverviewSearch_1_csv[[#This Row],[Date]],Supply_Data___Hourly_DriverActivity_1_csv__3[#All],4,FALSE)</f>
        <v>14</v>
      </c>
      <c r="L6">
        <f>VLOOKUP(Demand_Data___Hourly_OverviewSearch_1_csv[[#This Row],[Date]],Supply_Data___Hourly_DriverActivity_1_csv__3[#All],5,FALSE)</f>
        <v>17</v>
      </c>
      <c r="M6">
        <f>VLOOKUP(Demand_Data___Hourly_OverviewSearch_1_csv[[#This Row],[Date]],Supply_Data___Hourly_DriverActivity_1_csv__3[#All],6,FALSE)</f>
        <v>0.4</v>
      </c>
      <c r="N6">
        <f>VLOOKUP(Demand_Data___Hourly_OverviewSearch_1_csv[[#This Row],[Date]],Supply_Data___Hourly_DriverActivity_1_csv__3[#All],7,FALSE)</f>
        <v>1.1599999999999999</v>
      </c>
      <c r="O6">
        <f>VLOOKUP(Demand_Data___Hourly_OverviewSearch_1_csv[[#This Row],[Date]],Supply_Data___Hourly_DriverActivity_1_csv__3[#All],8,FALSE)</f>
        <v>36</v>
      </c>
      <c r="P6">
        <f>(Demand_Data___Hourly_OverviewSearch_1_csv[[#This Row],[People saw 0 cars (unique)]]+Demand_Data___Hourly_OverviewSearch_1_csv[[#This Row],[People saw +1 cars (unique)]])</f>
        <v>89</v>
      </c>
      <c r="Q6" s="143">
        <f t="shared" si="3"/>
        <v>17</v>
      </c>
    </row>
    <row r="7" spans="1:17" x14ac:dyDescent="0.3">
      <c r="A7" t="s">
        <v>13</v>
      </c>
      <c r="B7" t="str">
        <f t="shared" si="0"/>
        <v xml:space="preserve"> 18</v>
      </c>
      <c r="C7">
        <f t="shared" si="1"/>
        <v>7</v>
      </c>
      <c r="D7" t="str">
        <f t="shared" si="2"/>
        <v xml:space="preserve">2016-12-18 </v>
      </c>
      <c r="E7" t="str">
        <f>TEXT(Demand_Data___Hourly_OverviewSearch_1_csv[[#This Row],[Day]],"dddd")</f>
        <v>Saturday</v>
      </c>
      <c r="F7">
        <v>13</v>
      </c>
      <c r="G7">
        <v>62</v>
      </c>
      <c r="H7">
        <v>83</v>
      </c>
      <c r="I7">
        <f>VLOOKUP(Demand_Data___Hourly_OverviewSearch_1_csv[[#This Row],[Date]],Supply_Data___Hourly_DriverActivity_1_csv__3[#All],2,FALSE)</f>
        <v>81</v>
      </c>
      <c r="J7">
        <f>VLOOKUP(Demand_Data___Hourly_OverviewSearch_1_csv[[#This Row],[Date]],Supply_Data___Hourly_DriverActivity_1_csv__3[#All],3,FALSE)</f>
        <v>32</v>
      </c>
      <c r="K7">
        <f>VLOOKUP(Demand_Data___Hourly_OverviewSearch_1_csv[[#This Row],[Date]],Supply_Data___Hourly_DriverActivity_1_csv__3[#All],4,FALSE)</f>
        <v>14</v>
      </c>
      <c r="L7">
        <f>VLOOKUP(Demand_Data___Hourly_OverviewSearch_1_csv[[#This Row],[Date]],Supply_Data___Hourly_DriverActivity_1_csv__3[#All],5,FALSE)</f>
        <v>18</v>
      </c>
      <c r="M7">
        <f>VLOOKUP(Demand_Data___Hourly_OverviewSearch_1_csv[[#This Row],[Date]],Supply_Data___Hourly_DriverActivity_1_csv__3[#All],6,FALSE)</f>
        <v>0.4</v>
      </c>
      <c r="N7">
        <f>VLOOKUP(Demand_Data___Hourly_OverviewSearch_1_csv[[#This Row],[Date]],Supply_Data___Hourly_DriverActivity_1_csv__3[#All],7,FALSE)</f>
        <v>1</v>
      </c>
      <c r="O7">
        <f>VLOOKUP(Demand_Data___Hourly_OverviewSearch_1_csv[[#This Row],[Date]],Supply_Data___Hourly_DriverActivity_1_csv__3[#All],8,FALSE)</f>
        <v>32</v>
      </c>
      <c r="P7">
        <f>(Demand_Data___Hourly_OverviewSearch_1_csv[[#This Row],[People saw 0 cars (unique)]]+Demand_Data___Hourly_OverviewSearch_1_csv[[#This Row],[People saw +1 cars (unique)]])</f>
        <v>75</v>
      </c>
      <c r="Q7" s="143">
        <f t="shared" si="3"/>
        <v>18</v>
      </c>
    </row>
    <row r="8" spans="1:17" x14ac:dyDescent="0.3">
      <c r="A8" t="s">
        <v>14</v>
      </c>
      <c r="B8" t="str">
        <f t="shared" si="0"/>
        <v xml:space="preserve"> 17</v>
      </c>
      <c r="C8">
        <f t="shared" si="1"/>
        <v>7</v>
      </c>
      <c r="D8" t="str">
        <f t="shared" si="2"/>
        <v xml:space="preserve">2016-12-18 </v>
      </c>
      <c r="E8" t="str">
        <f>TEXT(Demand_Data___Hourly_OverviewSearch_1_csv[[#This Row],[Day]],"dddd")</f>
        <v>Saturday</v>
      </c>
      <c r="F8">
        <v>9</v>
      </c>
      <c r="G8">
        <v>61</v>
      </c>
      <c r="H8">
        <v>87</v>
      </c>
      <c r="I8">
        <f>VLOOKUP(Demand_Data___Hourly_OverviewSearch_1_csv[[#This Row],[Date]],Supply_Data___Hourly_DriverActivity_1_csv__3[#All],2,FALSE)</f>
        <v>72</v>
      </c>
      <c r="J8">
        <f>VLOOKUP(Demand_Data___Hourly_OverviewSearch_1_csv[[#This Row],[Date]],Supply_Data___Hourly_DriverActivity_1_csv__3[#All],3,FALSE)</f>
        <v>30</v>
      </c>
      <c r="K8">
        <f>VLOOKUP(Demand_Data___Hourly_OverviewSearch_1_csv[[#This Row],[Date]],Supply_Data___Hourly_DriverActivity_1_csv__3[#All],4,FALSE)</f>
        <v>13</v>
      </c>
      <c r="L8">
        <f>VLOOKUP(Demand_Data___Hourly_OverviewSearch_1_csv[[#This Row],[Date]],Supply_Data___Hourly_DriverActivity_1_csv__3[#All],5,FALSE)</f>
        <v>17</v>
      </c>
      <c r="M8">
        <f>VLOOKUP(Demand_Data___Hourly_OverviewSearch_1_csv[[#This Row],[Date]],Supply_Data___Hourly_DriverActivity_1_csv__3[#All],6,FALSE)</f>
        <v>0.4</v>
      </c>
      <c r="N8">
        <f>VLOOKUP(Demand_Data___Hourly_OverviewSearch_1_csv[[#This Row],[Date]],Supply_Data___Hourly_DriverActivity_1_csv__3[#All],7,FALSE)</f>
        <v>0.87</v>
      </c>
      <c r="O8">
        <f>VLOOKUP(Demand_Data___Hourly_OverviewSearch_1_csv[[#This Row],[Date]],Supply_Data___Hourly_DriverActivity_1_csv__3[#All],8,FALSE)</f>
        <v>26</v>
      </c>
      <c r="P8">
        <f>(Demand_Data___Hourly_OverviewSearch_1_csv[[#This Row],[People saw 0 cars (unique)]]+Demand_Data___Hourly_OverviewSearch_1_csv[[#This Row],[People saw +1 cars (unique)]])</f>
        <v>70</v>
      </c>
      <c r="Q8" s="143">
        <f t="shared" si="3"/>
        <v>17</v>
      </c>
    </row>
    <row r="9" spans="1:17" x14ac:dyDescent="0.3">
      <c r="A9" t="s">
        <v>15</v>
      </c>
      <c r="B9" t="str">
        <f t="shared" si="0"/>
        <v xml:space="preserve"> 16</v>
      </c>
      <c r="C9">
        <f t="shared" si="1"/>
        <v>7</v>
      </c>
      <c r="D9" t="str">
        <f t="shared" si="2"/>
        <v xml:space="preserve">2016-12-18 </v>
      </c>
      <c r="E9" t="str">
        <f>TEXT(Demand_Data___Hourly_OverviewSearch_1_csv[[#This Row],[Day]],"dddd")</f>
        <v>Saturday</v>
      </c>
      <c r="F9">
        <v>20</v>
      </c>
      <c r="G9">
        <v>60</v>
      </c>
      <c r="H9">
        <v>75</v>
      </c>
      <c r="I9">
        <f>VLOOKUP(Demand_Data___Hourly_OverviewSearch_1_csv[[#This Row],[Date]],Supply_Data___Hourly_DriverActivity_1_csv__3[#All],2,FALSE)</f>
        <v>68</v>
      </c>
      <c r="J9">
        <f>VLOOKUP(Demand_Data___Hourly_OverviewSearch_1_csv[[#This Row],[Date]],Supply_Data___Hourly_DriverActivity_1_csv__3[#All],3,FALSE)</f>
        <v>23</v>
      </c>
      <c r="K9">
        <f>VLOOKUP(Demand_Data___Hourly_OverviewSearch_1_csv[[#This Row],[Date]],Supply_Data___Hourly_DriverActivity_1_csv__3[#All],4,FALSE)</f>
        <v>9</v>
      </c>
      <c r="L9">
        <f>VLOOKUP(Demand_Data___Hourly_OverviewSearch_1_csv[[#This Row],[Date]],Supply_Data___Hourly_DriverActivity_1_csv__3[#All],5,FALSE)</f>
        <v>13</v>
      </c>
      <c r="M9">
        <f>VLOOKUP(Demand_Data___Hourly_OverviewSearch_1_csv[[#This Row],[Date]],Supply_Data___Hourly_DriverActivity_1_csv__3[#All],6,FALSE)</f>
        <v>0.3</v>
      </c>
      <c r="N9">
        <f>VLOOKUP(Demand_Data___Hourly_OverviewSearch_1_csv[[#This Row],[Date]],Supply_Data___Hourly_DriverActivity_1_csv__3[#All],7,FALSE)</f>
        <v>1.04</v>
      </c>
      <c r="O9">
        <f>VLOOKUP(Demand_Data___Hourly_OverviewSearch_1_csv[[#This Row],[Date]],Supply_Data___Hourly_DriverActivity_1_csv__3[#All],8,FALSE)</f>
        <v>24</v>
      </c>
      <c r="P9">
        <f>(Demand_Data___Hourly_OverviewSearch_1_csv[[#This Row],[People saw 0 cars (unique)]]+Demand_Data___Hourly_OverviewSearch_1_csv[[#This Row],[People saw +1 cars (unique)]])</f>
        <v>80</v>
      </c>
      <c r="Q9" s="143">
        <f t="shared" si="3"/>
        <v>14</v>
      </c>
    </row>
    <row r="10" spans="1:17" x14ac:dyDescent="0.3">
      <c r="A10" t="s">
        <v>16</v>
      </c>
      <c r="B10" t="str">
        <f t="shared" si="0"/>
        <v xml:space="preserve"> 15</v>
      </c>
      <c r="C10">
        <f t="shared" si="1"/>
        <v>7</v>
      </c>
      <c r="D10" t="str">
        <f t="shared" si="2"/>
        <v xml:space="preserve">2016-12-18 </v>
      </c>
      <c r="E10" t="str">
        <f>TEXT(Demand_Data___Hourly_OverviewSearch_1_csv[[#This Row],[Day]],"dddd")</f>
        <v>Saturday</v>
      </c>
      <c r="F10">
        <v>7</v>
      </c>
      <c r="G10">
        <v>37</v>
      </c>
      <c r="H10">
        <v>84</v>
      </c>
      <c r="I10">
        <f>VLOOKUP(Demand_Data___Hourly_OverviewSearch_1_csv[[#This Row],[Date]],Supply_Data___Hourly_DriverActivity_1_csv__3[#All],2,FALSE)</f>
        <v>65</v>
      </c>
      <c r="J10">
        <f>VLOOKUP(Demand_Data___Hourly_OverviewSearch_1_csv[[#This Row],[Date]],Supply_Data___Hourly_DriverActivity_1_csv__3[#All],3,FALSE)</f>
        <v>24</v>
      </c>
      <c r="K10">
        <f>VLOOKUP(Demand_Data___Hourly_OverviewSearch_1_csv[[#This Row],[Date]],Supply_Data___Hourly_DriverActivity_1_csv__3[#All],4,FALSE)</f>
        <v>5</v>
      </c>
      <c r="L10">
        <f>VLOOKUP(Demand_Data___Hourly_OverviewSearch_1_csv[[#This Row],[Date]],Supply_Data___Hourly_DriverActivity_1_csv__3[#All],5,FALSE)</f>
        <v>19</v>
      </c>
      <c r="M10">
        <f>VLOOKUP(Demand_Data___Hourly_OverviewSearch_1_csv[[#This Row],[Date]],Supply_Data___Hourly_DriverActivity_1_csv__3[#All],6,FALSE)</f>
        <v>0.4</v>
      </c>
      <c r="N10">
        <f>VLOOKUP(Demand_Data___Hourly_OverviewSearch_1_csv[[#This Row],[Date]],Supply_Data___Hourly_DriverActivity_1_csv__3[#All],7,FALSE)</f>
        <v>0.5</v>
      </c>
      <c r="O10">
        <f>VLOOKUP(Demand_Data___Hourly_OverviewSearch_1_csv[[#This Row],[Date]],Supply_Data___Hourly_DriverActivity_1_csv__3[#All],8,FALSE)</f>
        <v>12</v>
      </c>
      <c r="P10">
        <f>(Demand_Data___Hourly_OverviewSearch_1_csv[[#This Row],[People saw 0 cars (unique)]]+Demand_Data___Hourly_OverviewSearch_1_csv[[#This Row],[People saw +1 cars (unique)]])</f>
        <v>44</v>
      </c>
      <c r="Q10" s="143">
        <f t="shared" si="3"/>
        <v>19</v>
      </c>
    </row>
    <row r="11" spans="1:17" x14ac:dyDescent="0.3">
      <c r="A11" t="s">
        <v>17</v>
      </c>
      <c r="B11" t="str">
        <f t="shared" si="0"/>
        <v xml:space="preserve"> 14</v>
      </c>
      <c r="C11">
        <f t="shared" si="1"/>
        <v>7</v>
      </c>
      <c r="D11" t="str">
        <f t="shared" si="2"/>
        <v xml:space="preserve">2016-12-18 </v>
      </c>
      <c r="E11" t="str">
        <f>TEXT(Demand_Data___Hourly_OverviewSearch_1_csv[[#This Row],[Day]],"dddd")</f>
        <v>Saturday</v>
      </c>
      <c r="F11">
        <v>16</v>
      </c>
      <c r="G11">
        <v>43</v>
      </c>
      <c r="H11">
        <v>73</v>
      </c>
      <c r="I11">
        <f>VLOOKUP(Demand_Data___Hourly_OverviewSearch_1_csv[[#This Row],[Date]],Supply_Data___Hourly_DriverActivity_1_csv__3[#All],2,FALSE)</f>
        <v>50</v>
      </c>
      <c r="J11">
        <f>VLOOKUP(Demand_Data___Hourly_OverviewSearch_1_csv[[#This Row],[Date]],Supply_Data___Hourly_DriverActivity_1_csv__3[#All],3,FALSE)</f>
        <v>17</v>
      </c>
      <c r="K11">
        <f>VLOOKUP(Demand_Data___Hourly_OverviewSearch_1_csv[[#This Row],[Date]],Supply_Data___Hourly_DriverActivity_1_csv__3[#All],4,FALSE)</f>
        <v>7</v>
      </c>
      <c r="L11">
        <f>VLOOKUP(Demand_Data___Hourly_OverviewSearch_1_csv[[#This Row],[Date]],Supply_Data___Hourly_DriverActivity_1_csv__3[#All],5,FALSE)</f>
        <v>10</v>
      </c>
      <c r="M11">
        <f>VLOOKUP(Demand_Data___Hourly_OverviewSearch_1_csv[[#This Row],[Date]],Supply_Data___Hourly_DriverActivity_1_csv__3[#All],6,FALSE)</f>
        <v>0.3</v>
      </c>
      <c r="N11">
        <f>VLOOKUP(Demand_Data___Hourly_OverviewSearch_1_csv[[#This Row],[Date]],Supply_Data___Hourly_DriverActivity_1_csv__3[#All],7,FALSE)</f>
        <v>0.82</v>
      </c>
      <c r="O11">
        <f>VLOOKUP(Demand_Data___Hourly_OverviewSearch_1_csv[[#This Row],[Date]],Supply_Data___Hourly_DriverActivity_1_csv__3[#All],8,FALSE)</f>
        <v>14</v>
      </c>
      <c r="P11">
        <f>(Demand_Data___Hourly_OverviewSearch_1_csv[[#This Row],[People saw 0 cars (unique)]]+Demand_Data___Hourly_OverviewSearch_1_csv[[#This Row],[People saw +1 cars (unique)]])</f>
        <v>59</v>
      </c>
      <c r="Q11" s="143">
        <f t="shared" si="3"/>
        <v>10</v>
      </c>
    </row>
    <row r="12" spans="1:17" x14ac:dyDescent="0.3">
      <c r="A12" t="s">
        <v>18</v>
      </c>
      <c r="B12" t="str">
        <f t="shared" si="0"/>
        <v xml:space="preserve"> 13</v>
      </c>
      <c r="C12">
        <f t="shared" si="1"/>
        <v>7</v>
      </c>
      <c r="D12" t="str">
        <f t="shared" si="2"/>
        <v xml:space="preserve">2016-12-18 </v>
      </c>
      <c r="E12" t="str">
        <f>TEXT(Demand_Data___Hourly_OverviewSearch_1_csv[[#This Row],[Day]],"dddd")</f>
        <v>Saturday</v>
      </c>
      <c r="F12">
        <v>19</v>
      </c>
      <c r="G12">
        <v>46</v>
      </c>
      <c r="H12">
        <v>71</v>
      </c>
      <c r="I12">
        <f>VLOOKUP(Demand_Data___Hourly_OverviewSearch_1_csv[[#This Row],[Date]],Supply_Data___Hourly_DriverActivity_1_csv__3[#All],2,FALSE)</f>
        <v>44</v>
      </c>
      <c r="J12">
        <f>VLOOKUP(Demand_Data___Hourly_OverviewSearch_1_csv[[#This Row],[Date]],Supply_Data___Hourly_DriverActivity_1_csv__3[#All],3,FALSE)</f>
        <v>15</v>
      </c>
      <c r="K12">
        <f>VLOOKUP(Demand_Data___Hourly_OverviewSearch_1_csv[[#This Row],[Date]],Supply_Data___Hourly_DriverActivity_1_csv__3[#All],4,FALSE)</f>
        <v>7</v>
      </c>
      <c r="L12">
        <f>VLOOKUP(Demand_Data___Hourly_OverviewSearch_1_csv[[#This Row],[Date]],Supply_Data___Hourly_DriverActivity_1_csv__3[#All],5,FALSE)</f>
        <v>7</v>
      </c>
      <c r="M12">
        <f>VLOOKUP(Demand_Data___Hourly_OverviewSearch_1_csv[[#This Row],[Date]],Supply_Data___Hourly_DriverActivity_1_csv__3[#All],6,FALSE)</f>
        <v>0.3</v>
      </c>
      <c r="N12">
        <f>VLOOKUP(Demand_Data___Hourly_OverviewSearch_1_csv[[#This Row],[Date]],Supply_Data___Hourly_DriverActivity_1_csv__3[#All],7,FALSE)</f>
        <v>1.47</v>
      </c>
      <c r="O12">
        <f>VLOOKUP(Demand_Data___Hourly_OverviewSearch_1_csv[[#This Row],[Date]],Supply_Data___Hourly_DriverActivity_1_csv__3[#All],8,FALSE)</f>
        <v>22</v>
      </c>
      <c r="P12">
        <f>(Demand_Data___Hourly_OverviewSearch_1_csv[[#This Row],[People saw 0 cars (unique)]]+Demand_Data___Hourly_OverviewSearch_1_csv[[#This Row],[People saw +1 cars (unique)]])</f>
        <v>65</v>
      </c>
      <c r="Q12" s="143">
        <f t="shared" si="3"/>
        <v>8</v>
      </c>
    </row>
    <row r="13" spans="1:17" x14ac:dyDescent="0.3">
      <c r="A13" t="s">
        <v>19</v>
      </c>
      <c r="B13" t="str">
        <f t="shared" si="0"/>
        <v xml:space="preserve"> 12</v>
      </c>
      <c r="C13">
        <f t="shared" si="1"/>
        <v>7</v>
      </c>
      <c r="D13" t="str">
        <f t="shared" si="2"/>
        <v xml:space="preserve">2016-12-18 </v>
      </c>
      <c r="E13" t="str">
        <f>TEXT(Demand_Data___Hourly_OverviewSearch_1_csv[[#This Row],[Day]],"dddd")</f>
        <v>Saturday</v>
      </c>
      <c r="F13">
        <v>9</v>
      </c>
      <c r="G13">
        <v>35</v>
      </c>
      <c r="H13">
        <v>80</v>
      </c>
      <c r="I13">
        <f>VLOOKUP(Demand_Data___Hourly_OverviewSearch_1_csv[[#This Row],[Date]],Supply_Data___Hourly_DriverActivity_1_csv__3[#All],2,FALSE)</f>
        <v>40</v>
      </c>
      <c r="J13">
        <f>VLOOKUP(Demand_Data___Hourly_OverviewSearch_1_csv[[#This Row],[Date]],Supply_Data___Hourly_DriverActivity_1_csv__3[#All],3,FALSE)</f>
        <v>15</v>
      </c>
      <c r="K13">
        <f>VLOOKUP(Demand_Data___Hourly_OverviewSearch_1_csv[[#This Row],[Date]],Supply_Data___Hourly_DriverActivity_1_csv__3[#All],4,FALSE)</f>
        <v>3</v>
      </c>
      <c r="L13">
        <f>VLOOKUP(Demand_Data___Hourly_OverviewSearch_1_csv[[#This Row],[Date]],Supply_Data___Hourly_DriverActivity_1_csv__3[#All],5,FALSE)</f>
        <v>11</v>
      </c>
      <c r="M13">
        <f>VLOOKUP(Demand_Data___Hourly_OverviewSearch_1_csv[[#This Row],[Date]],Supply_Data___Hourly_DriverActivity_1_csv__3[#All],6,FALSE)</f>
        <v>0.4</v>
      </c>
      <c r="N13">
        <f>VLOOKUP(Demand_Data___Hourly_OverviewSearch_1_csv[[#This Row],[Date]],Supply_Data___Hourly_DriverActivity_1_csv__3[#All],7,FALSE)</f>
        <v>0.67</v>
      </c>
      <c r="O13">
        <f>VLOOKUP(Demand_Data___Hourly_OverviewSearch_1_csv[[#This Row],[Date]],Supply_Data___Hourly_DriverActivity_1_csv__3[#All],8,FALSE)</f>
        <v>10</v>
      </c>
      <c r="P13">
        <f>(Demand_Data___Hourly_OverviewSearch_1_csv[[#This Row],[People saw 0 cars (unique)]]+Demand_Data___Hourly_OverviewSearch_1_csv[[#This Row],[People saw +1 cars (unique)]])</f>
        <v>44</v>
      </c>
      <c r="Q13" s="143">
        <f t="shared" si="3"/>
        <v>12</v>
      </c>
    </row>
    <row r="14" spans="1:17" x14ac:dyDescent="0.3">
      <c r="A14" t="s">
        <v>20</v>
      </c>
      <c r="B14" t="str">
        <f t="shared" si="0"/>
        <v xml:space="preserve"> 11</v>
      </c>
      <c r="C14">
        <f t="shared" si="1"/>
        <v>7</v>
      </c>
      <c r="D14" t="str">
        <f t="shared" si="2"/>
        <v xml:space="preserve">2016-12-18 </v>
      </c>
      <c r="E14" t="str">
        <f>TEXT(Demand_Data___Hourly_OverviewSearch_1_csv[[#This Row],[Day]],"dddd")</f>
        <v>Saturday</v>
      </c>
      <c r="F14">
        <v>9</v>
      </c>
      <c r="G14">
        <v>20</v>
      </c>
      <c r="H14">
        <v>69</v>
      </c>
      <c r="I14">
        <f>VLOOKUP(Demand_Data___Hourly_OverviewSearch_1_csv[[#This Row],[Date]],Supply_Data___Hourly_DriverActivity_1_csv__3[#All],2,FALSE)</f>
        <v>38</v>
      </c>
      <c r="J14">
        <f>VLOOKUP(Demand_Data___Hourly_OverviewSearch_1_csv[[#This Row],[Date]],Supply_Data___Hourly_DriverActivity_1_csv__3[#All],3,FALSE)</f>
        <v>10</v>
      </c>
      <c r="K14">
        <f>VLOOKUP(Demand_Data___Hourly_OverviewSearch_1_csv[[#This Row],[Date]],Supply_Data___Hourly_DriverActivity_1_csv__3[#All],4,FALSE)</f>
        <v>2</v>
      </c>
      <c r="L14">
        <f>VLOOKUP(Demand_Data___Hourly_OverviewSearch_1_csv[[#This Row],[Date]],Supply_Data___Hourly_DriverActivity_1_csv__3[#All],5,FALSE)</f>
        <v>8</v>
      </c>
      <c r="M14">
        <f>VLOOKUP(Demand_Data___Hourly_OverviewSearch_1_csv[[#This Row],[Date]],Supply_Data___Hourly_DriverActivity_1_csv__3[#All],6,FALSE)</f>
        <v>0.3</v>
      </c>
      <c r="N14">
        <f>VLOOKUP(Demand_Data___Hourly_OverviewSearch_1_csv[[#This Row],[Date]],Supply_Data___Hourly_DriverActivity_1_csv__3[#All],7,FALSE)</f>
        <v>0.5</v>
      </c>
      <c r="O14">
        <f>VLOOKUP(Demand_Data___Hourly_OverviewSearch_1_csv[[#This Row],[Date]],Supply_Data___Hourly_DriverActivity_1_csv__3[#All],8,FALSE)</f>
        <v>5</v>
      </c>
      <c r="P14">
        <f>(Demand_Data___Hourly_OverviewSearch_1_csv[[#This Row],[People saw 0 cars (unique)]]+Demand_Data___Hourly_OverviewSearch_1_csv[[#This Row],[People saw +1 cars (unique)]])</f>
        <v>29</v>
      </c>
      <c r="Q14" s="143">
        <f t="shared" si="3"/>
        <v>8</v>
      </c>
    </row>
    <row r="15" spans="1:17" x14ac:dyDescent="0.3">
      <c r="A15" t="s">
        <v>21</v>
      </c>
      <c r="B15" t="str">
        <f t="shared" si="0"/>
        <v xml:space="preserve"> 10</v>
      </c>
      <c r="C15">
        <f t="shared" si="1"/>
        <v>7</v>
      </c>
      <c r="D15" t="str">
        <f t="shared" si="2"/>
        <v xml:space="preserve">2016-12-18 </v>
      </c>
      <c r="E15" t="str">
        <f>TEXT(Demand_Data___Hourly_OverviewSearch_1_csv[[#This Row],[Day]],"dddd")</f>
        <v>Saturday</v>
      </c>
      <c r="F15">
        <v>7</v>
      </c>
      <c r="G15">
        <v>15</v>
      </c>
      <c r="H15">
        <v>68</v>
      </c>
      <c r="I15">
        <f>VLOOKUP(Demand_Data___Hourly_OverviewSearch_1_csv[[#This Row],[Date]],Supply_Data___Hourly_DriverActivity_1_csv__3[#All],2,FALSE)</f>
        <v>29</v>
      </c>
      <c r="J15">
        <f>VLOOKUP(Demand_Data___Hourly_OverviewSearch_1_csv[[#This Row],[Date]],Supply_Data___Hourly_DriverActivity_1_csv__3[#All],3,FALSE)</f>
        <v>9</v>
      </c>
      <c r="K15">
        <f>VLOOKUP(Demand_Data___Hourly_OverviewSearch_1_csv[[#This Row],[Date]],Supply_Data___Hourly_DriverActivity_1_csv__3[#All],4,FALSE)</f>
        <v>1</v>
      </c>
      <c r="L15">
        <f>VLOOKUP(Demand_Data___Hourly_OverviewSearch_1_csv[[#This Row],[Date]],Supply_Data___Hourly_DriverActivity_1_csv__3[#All],5,FALSE)</f>
        <v>8</v>
      </c>
      <c r="M15">
        <f>VLOOKUP(Demand_Data___Hourly_OverviewSearch_1_csv[[#This Row],[Date]],Supply_Data___Hourly_DriverActivity_1_csv__3[#All],6,FALSE)</f>
        <v>0.3</v>
      </c>
      <c r="N15">
        <f>VLOOKUP(Demand_Data___Hourly_OverviewSearch_1_csv[[#This Row],[Date]],Supply_Data___Hourly_DriverActivity_1_csv__3[#All],7,FALSE)</f>
        <v>0.22</v>
      </c>
      <c r="O15">
        <f>VLOOKUP(Demand_Data___Hourly_OverviewSearch_1_csv[[#This Row],[Date]],Supply_Data___Hourly_DriverActivity_1_csv__3[#All],8,FALSE)</f>
        <v>2</v>
      </c>
      <c r="P15">
        <f>(Demand_Data___Hourly_OverviewSearch_1_csv[[#This Row],[People saw 0 cars (unique)]]+Demand_Data___Hourly_OverviewSearch_1_csv[[#This Row],[People saw +1 cars (unique)]])</f>
        <v>22</v>
      </c>
      <c r="Q15" s="143">
        <f t="shared" si="3"/>
        <v>8</v>
      </c>
    </row>
    <row r="16" spans="1:17" x14ac:dyDescent="0.3">
      <c r="A16" t="s">
        <v>22</v>
      </c>
      <c r="B16" t="str">
        <f t="shared" si="0"/>
        <v xml:space="preserve"> 09</v>
      </c>
      <c r="C16">
        <f t="shared" si="1"/>
        <v>7</v>
      </c>
      <c r="D16" t="str">
        <f t="shared" si="2"/>
        <v xml:space="preserve">2016-12-18 </v>
      </c>
      <c r="E16" t="str">
        <f>TEXT(Demand_Data___Hourly_OverviewSearch_1_csv[[#This Row],[Day]],"dddd")</f>
        <v>Saturday</v>
      </c>
      <c r="F16">
        <v>7</v>
      </c>
      <c r="G16">
        <v>5</v>
      </c>
      <c r="H16">
        <v>42</v>
      </c>
      <c r="I16">
        <f>VLOOKUP(Demand_Data___Hourly_OverviewSearch_1_csv[[#This Row],[Date]],Supply_Data___Hourly_DriverActivity_1_csv__3[#All],2,FALSE)</f>
        <v>22</v>
      </c>
      <c r="J16">
        <f>VLOOKUP(Demand_Data___Hourly_OverviewSearch_1_csv[[#This Row],[Date]],Supply_Data___Hourly_DriverActivity_1_csv__3[#All],3,FALSE)</f>
        <v>7</v>
      </c>
      <c r="K16">
        <f>VLOOKUP(Demand_Data___Hourly_OverviewSearch_1_csv[[#This Row],[Date]],Supply_Data___Hourly_DriverActivity_1_csv__3[#All],4,FALSE)</f>
        <v>1</v>
      </c>
      <c r="L16">
        <f>VLOOKUP(Demand_Data___Hourly_OverviewSearch_1_csv[[#This Row],[Date]],Supply_Data___Hourly_DriverActivity_1_csv__3[#All],5,FALSE)</f>
        <v>6</v>
      </c>
      <c r="M16">
        <f>VLOOKUP(Demand_Data___Hourly_OverviewSearch_1_csv[[#This Row],[Date]],Supply_Data___Hourly_DriverActivity_1_csv__3[#All],6,FALSE)</f>
        <v>0.3</v>
      </c>
      <c r="N16">
        <f>VLOOKUP(Demand_Data___Hourly_OverviewSearch_1_csv[[#This Row],[Date]],Supply_Data___Hourly_DriverActivity_1_csv__3[#All],7,FALSE)</f>
        <v>0.14000000000000001</v>
      </c>
      <c r="O16">
        <f>VLOOKUP(Demand_Data___Hourly_OverviewSearch_1_csv[[#This Row],[Date]],Supply_Data___Hourly_DriverActivity_1_csv__3[#All],8,FALSE)</f>
        <v>1</v>
      </c>
      <c r="P16">
        <f>(Demand_Data___Hourly_OverviewSearch_1_csv[[#This Row],[People saw 0 cars (unique)]]+Demand_Data___Hourly_OverviewSearch_1_csv[[#This Row],[People saw +1 cars (unique)]])</f>
        <v>12</v>
      </c>
      <c r="Q16" s="143">
        <f t="shared" si="3"/>
        <v>6</v>
      </c>
    </row>
    <row r="17" spans="1:17" x14ac:dyDescent="0.3">
      <c r="A17" t="s">
        <v>23</v>
      </c>
      <c r="B17" t="str">
        <f t="shared" si="0"/>
        <v xml:space="preserve"> 08</v>
      </c>
      <c r="C17">
        <f t="shared" si="1"/>
        <v>7</v>
      </c>
      <c r="D17" t="str">
        <f t="shared" si="2"/>
        <v xml:space="preserve">2016-12-18 </v>
      </c>
      <c r="E17" t="str">
        <f>TEXT(Demand_Data___Hourly_OverviewSearch_1_csv[[#This Row],[Day]],"dddd")</f>
        <v>Saturday</v>
      </c>
      <c r="F17">
        <v>0</v>
      </c>
      <c r="G17">
        <v>10</v>
      </c>
      <c r="H17">
        <v>100</v>
      </c>
      <c r="I17">
        <f>VLOOKUP(Demand_Data___Hourly_OverviewSearch_1_csv[[#This Row],[Date]],Supply_Data___Hourly_DriverActivity_1_csv__3[#All],2,FALSE)</f>
        <v>24</v>
      </c>
      <c r="J17">
        <f>VLOOKUP(Demand_Data___Hourly_OverviewSearch_1_csv[[#This Row],[Date]],Supply_Data___Hourly_DriverActivity_1_csv__3[#All],3,FALSE)</f>
        <v>7</v>
      </c>
      <c r="K17">
        <f>VLOOKUP(Demand_Data___Hourly_OverviewSearch_1_csv[[#This Row],[Date]],Supply_Data___Hourly_DriverActivity_1_csv__3[#All],4,FALSE)</f>
        <v>1</v>
      </c>
      <c r="L17">
        <f>VLOOKUP(Demand_Data___Hourly_OverviewSearch_1_csv[[#This Row],[Date]],Supply_Data___Hourly_DriverActivity_1_csv__3[#All],5,FALSE)</f>
        <v>6</v>
      </c>
      <c r="M17">
        <f>VLOOKUP(Demand_Data___Hourly_OverviewSearch_1_csv[[#This Row],[Date]],Supply_Data___Hourly_DriverActivity_1_csv__3[#All],6,FALSE)</f>
        <v>0.3</v>
      </c>
      <c r="N17">
        <f>VLOOKUP(Demand_Data___Hourly_OverviewSearch_1_csv[[#This Row],[Date]],Supply_Data___Hourly_DriverActivity_1_csv__3[#All],7,FALSE)</f>
        <v>0.28999999999999998</v>
      </c>
      <c r="O17">
        <f>VLOOKUP(Demand_Data___Hourly_OverviewSearch_1_csv[[#This Row],[Date]],Supply_Data___Hourly_DriverActivity_1_csv__3[#All],8,FALSE)</f>
        <v>2</v>
      </c>
      <c r="P17">
        <f>(Demand_Data___Hourly_OverviewSearch_1_csv[[#This Row],[People saw 0 cars (unique)]]+Demand_Data___Hourly_OverviewSearch_1_csv[[#This Row],[People saw +1 cars (unique)]])</f>
        <v>10</v>
      </c>
      <c r="Q17" s="143">
        <f t="shared" si="3"/>
        <v>6</v>
      </c>
    </row>
    <row r="18" spans="1:17" x14ac:dyDescent="0.3">
      <c r="A18" t="s">
        <v>24</v>
      </c>
      <c r="B18" t="str">
        <f t="shared" si="0"/>
        <v xml:space="preserve"> 07</v>
      </c>
      <c r="C18">
        <f t="shared" si="1"/>
        <v>7</v>
      </c>
      <c r="D18" t="str">
        <f t="shared" si="2"/>
        <v xml:space="preserve">2016-12-18 </v>
      </c>
      <c r="E18" t="str">
        <f>TEXT(Demand_Data___Hourly_OverviewSearch_1_csv[[#This Row],[Day]],"dddd")</f>
        <v>Saturday</v>
      </c>
      <c r="F18">
        <v>1</v>
      </c>
      <c r="G18">
        <v>4</v>
      </c>
      <c r="H18">
        <v>80</v>
      </c>
      <c r="I18">
        <f>VLOOKUP(Demand_Data___Hourly_OverviewSearch_1_csv[[#This Row],[Date]],Supply_Data___Hourly_DriverActivity_1_csv__3[#All],2,FALSE)</f>
        <v>28</v>
      </c>
      <c r="J18">
        <f>VLOOKUP(Demand_Data___Hourly_OverviewSearch_1_csv[[#This Row],[Date]],Supply_Data___Hourly_DriverActivity_1_csv__3[#All],3,FALSE)</f>
        <v>9</v>
      </c>
      <c r="K18">
        <f>VLOOKUP(Demand_Data___Hourly_OverviewSearch_1_csv[[#This Row],[Date]],Supply_Data___Hourly_DriverActivity_1_csv__3[#All],4,FALSE)</f>
        <v>1</v>
      </c>
      <c r="L18">
        <f>VLOOKUP(Demand_Data___Hourly_OverviewSearch_1_csv[[#This Row],[Date]],Supply_Data___Hourly_DriverActivity_1_csv__3[#All],5,FALSE)</f>
        <v>8</v>
      </c>
      <c r="M18">
        <f>VLOOKUP(Demand_Data___Hourly_OverviewSearch_1_csv[[#This Row],[Date]],Supply_Data___Hourly_DriverActivity_1_csv__3[#All],6,FALSE)</f>
        <v>0.3</v>
      </c>
      <c r="N18">
        <f>VLOOKUP(Demand_Data___Hourly_OverviewSearch_1_csv[[#This Row],[Date]],Supply_Data___Hourly_DriverActivity_1_csv__3[#All],7,FALSE)</f>
        <v>0</v>
      </c>
      <c r="O18">
        <f>VLOOKUP(Demand_Data___Hourly_OverviewSearch_1_csv[[#This Row],[Date]],Supply_Data___Hourly_DriverActivity_1_csv__3[#All],8,FALSE)</f>
        <v>0</v>
      </c>
      <c r="P18">
        <f>(Demand_Data___Hourly_OverviewSearch_1_csv[[#This Row],[People saw 0 cars (unique)]]+Demand_Data___Hourly_OverviewSearch_1_csv[[#This Row],[People saw +1 cars (unique)]])</f>
        <v>5</v>
      </c>
      <c r="Q18" s="143">
        <f t="shared" si="3"/>
        <v>8</v>
      </c>
    </row>
    <row r="19" spans="1:17" x14ac:dyDescent="0.3">
      <c r="A19" t="s">
        <v>25</v>
      </c>
      <c r="B19" t="str">
        <f t="shared" si="0"/>
        <v xml:space="preserve"> 06</v>
      </c>
      <c r="C19">
        <f t="shared" si="1"/>
        <v>7</v>
      </c>
      <c r="D19" t="str">
        <f t="shared" si="2"/>
        <v xml:space="preserve">2016-12-18 </v>
      </c>
      <c r="E19" t="str">
        <f>TEXT(Demand_Data___Hourly_OverviewSearch_1_csv[[#This Row],[Day]],"dddd")</f>
        <v>Saturday</v>
      </c>
      <c r="F19">
        <v>3</v>
      </c>
      <c r="G19">
        <v>15</v>
      </c>
      <c r="H19">
        <v>83</v>
      </c>
      <c r="I19">
        <f>VLOOKUP(Demand_Data___Hourly_OverviewSearch_1_csv[[#This Row],[Date]],Supply_Data___Hourly_DriverActivity_1_csv__3[#All],2,FALSE)</f>
        <v>38</v>
      </c>
      <c r="J19">
        <f>VLOOKUP(Demand_Data___Hourly_OverviewSearch_1_csv[[#This Row],[Date]],Supply_Data___Hourly_DriverActivity_1_csv__3[#All],3,FALSE)</f>
        <v>12</v>
      </c>
      <c r="K19">
        <f>VLOOKUP(Demand_Data___Hourly_OverviewSearch_1_csv[[#This Row],[Date]],Supply_Data___Hourly_DriverActivity_1_csv__3[#All],4,FALSE)</f>
        <v>3</v>
      </c>
      <c r="L19">
        <f>VLOOKUP(Demand_Data___Hourly_OverviewSearch_1_csv[[#This Row],[Date]],Supply_Data___Hourly_DriverActivity_1_csv__3[#All],5,FALSE)</f>
        <v>9</v>
      </c>
      <c r="M19">
        <f>VLOOKUP(Demand_Data___Hourly_OverviewSearch_1_csv[[#This Row],[Date]],Supply_Data___Hourly_DriverActivity_1_csv__3[#All],6,FALSE)</f>
        <v>0.3</v>
      </c>
      <c r="N19">
        <f>VLOOKUP(Demand_Data___Hourly_OverviewSearch_1_csv[[#This Row],[Date]],Supply_Data___Hourly_DriverActivity_1_csv__3[#All],7,FALSE)</f>
        <v>0.42</v>
      </c>
      <c r="O19">
        <f>VLOOKUP(Demand_Data___Hourly_OverviewSearch_1_csv[[#This Row],[Date]],Supply_Data___Hourly_DriverActivity_1_csv__3[#All],8,FALSE)</f>
        <v>5</v>
      </c>
      <c r="P19">
        <f>(Demand_Data___Hourly_OverviewSearch_1_csv[[#This Row],[People saw 0 cars (unique)]]+Demand_Data___Hourly_OverviewSearch_1_csv[[#This Row],[People saw +1 cars (unique)]])</f>
        <v>18</v>
      </c>
      <c r="Q19" s="143">
        <f t="shared" si="3"/>
        <v>9</v>
      </c>
    </row>
    <row r="20" spans="1:17" x14ac:dyDescent="0.3">
      <c r="A20" t="s">
        <v>26</v>
      </c>
      <c r="B20" t="str">
        <f t="shared" si="0"/>
        <v xml:space="preserve"> 05</v>
      </c>
      <c r="C20">
        <f t="shared" si="1"/>
        <v>7</v>
      </c>
      <c r="D20" t="str">
        <f t="shared" si="2"/>
        <v xml:space="preserve">2016-12-18 </v>
      </c>
      <c r="E20" t="str">
        <f>TEXT(Demand_Data___Hourly_OverviewSearch_1_csv[[#This Row],[Day]],"dddd")</f>
        <v>Saturday</v>
      </c>
      <c r="F20">
        <v>12</v>
      </c>
      <c r="G20">
        <v>33</v>
      </c>
      <c r="H20">
        <v>73</v>
      </c>
      <c r="I20">
        <f>VLOOKUP(Demand_Data___Hourly_OverviewSearch_1_csv[[#This Row],[Date]],Supply_Data___Hourly_DriverActivity_1_csv__3[#All],2,FALSE)</f>
        <v>46</v>
      </c>
      <c r="J20">
        <f>VLOOKUP(Demand_Data___Hourly_OverviewSearch_1_csv[[#This Row],[Date]],Supply_Data___Hourly_DriverActivity_1_csv__3[#All],3,FALSE)</f>
        <v>16</v>
      </c>
      <c r="K20">
        <f>VLOOKUP(Demand_Data___Hourly_OverviewSearch_1_csv[[#This Row],[Date]],Supply_Data___Hourly_DriverActivity_1_csv__3[#All],4,FALSE)</f>
        <v>7</v>
      </c>
      <c r="L20">
        <f>VLOOKUP(Demand_Data___Hourly_OverviewSearch_1_csv[[#This Row],[Date]],Supply_Data___Hourly_DriverActivity_1_csv__3[#All],5,FALSE)</f>
        <v>9</v>
      </c>
      <c r="M20">
        <f>VLOOKUP(Demand_Data___Hourly_OverviewSearch_1_csv[[#This Row],[Date]],Supply_Data___Hourly_DriverActivity_1_csv__3[#All],6,FALSE)</f>
        <v>0.3</v>
      </c>
      <c r="N20">
        <f>VLOOKUP(Demand_Data___Hourly_OverviewSearch_1_csv[[#This Row],[Date]],Supply_Data___Hourly_DriverActivity_1_csv__3[#All],7,FALSE)</f>
        <v>0.69</v>
      </c>
      <c r="O20">
        <f>VLOOKUP(Demand_Data___Hourly_OverviewSearch_1_csv[[#This Row],[Date]],Supply_Data___Hourly_DriverActivity_1_csv__3[#All],8,FALSE)</f>
        <v>11</v>
      </c>
      <c r="P20">
        <f>(Demand_Data___Hourly_OverviewSearch_1_csv[[#This Row],[People saw 0 cars (unique)]]+Demand_Data___Hourly_OverviewSearch_1_csv[[#This Row],[People saw +1 cars (unique)]])</f>
        <v>45</v>
      </c>
      <c r="Q20" s="143">
        <f t="shared" si="3"/>
        <v>9</v>
      </c>
    </row>
    <row r="21" spans="1:17" x14ac:dyDescent="0.3">
      <c r="A21" t="s">
        <v>27</v>
      </c>
      <c r="B21" t="str">
        <f t="shared" si="0"/>
        <v xml:space="preserve"> 04</v>
      </c>
      <c r="C21">
        <f t="shared" si="1"/>
        <v>7</v>
      </c>
      <c r="D21" t="str">
        <f t="shared" si="2"/>
        <v xml:space="preserve">2016-12-18 </v>
      </c>
      <c r="E21" t="str">
        <f>TEXT(Demand_Data___Hourly_OverviewSearch_1_csv[[#This Row],[Day]],"dddd")</f>
        <v>Saturday</v>
      </c>
      <c r="F21">
        <v>47</v>
      </c>
      <c r="G21">
        <v>55</v>
      </c>
      <c r="H21">
        <v>54</v>
      </c>
      <c r="I21">
        <f>VLOOKUP(Demand_Data___Hourly_OverviewSearch_1_csv[[#This Row],[Date]],Supply_Data___Hourly_DriverActivity_1_csv__3[#All],2,FALSE)</f>
        <v>46</v>
      </c>
      <c r="J21">
        <f>VLOOKUP(Demand_Data___Hourly_OverviewSearch_1_csv[[#This Row],[Date]],Supply_Data___Hourly_DriverActivity_1_csv__3[#All],3,FALSE)</f>
        <v>16</v>
      </c>
      <c r="K21">
        <f>VLOOKUP(Demand_Data___Hourly_OverviewSearch_1_csv[[#This Row],[Date]],Supply_Data___Hourly_DriverActivity_1_csv__3[#All],4,FALSE)</f>
        <v>12</v>
      </c>
      <c r="L21">
        <f>VLOOKUP(Demand_Data___Hourly_OverviewSearch_1_csv[[#This Row],[Date]],Supply_Data___Hourly_DriverActivity_1_csv__3[#All],5,FALSE)</f>
        <v>4</v>
      </c>
      <c r="M21">
        <f>VLOOKUP(Demand_Data___Hourly_OverviewSearch_1_csv[[#This Row],[Date]],Supply_Data___Hourly_DriverActivity_1_csv__3[#All],6,FALSE)</f>
        <v>0.3</v>
      </c>
      <c r="N21">
        <f>VLOOKUP(Demand_Data___Hourly_OverviewSearch_1_csv[[#This Row],[Date]],Supply_Data___Hourly_DriverActivity_1_csv__3[#All],7,FALSE)</f>
        <v>1.88</v>
      </c>
      <c r="O21">
        <f>VLOOKUP(Demand_Data___Hourly_OverviewSearch_1_csv[[#This Row],[Date]],Supply_Data___Hourly_DriverActivity_1_csv__3[#All],8,FALSE)</f>
        <v>30</v>
      </c>
      <c r="P21">
        <f>(Demand_Data___Hourly_OverviewSearch_1_csv[[#This Row],[People saw 0 cars (unique)]]+Demand_Data___Hourly_OverviewSearch_1_csv[[#This Row],[People saw +1 cars (unique)]])</f>
        <v>102</v>
      </c>
      <c r="Q21" s="143">
        <f t="shared" si="3"/>
        <v>4</v>
      </c>
    </row>
    <row r="22" spans="1:17" x14ac:dyDescent="0.3">
      <c r="A22" t="s">
        <v>28</v>
      </c>
      <c r="B22" t="str">
        <f t="shared" si="0"/>
        <v xml:space="preserve"> 03</v>
      </c>
      <c r="C22">
        <f t="shared" si="1"/>
        <v>7</v>
      </c>
      <c r="D22" t="str">
        <f t="shared" si="2"/>
        <v xml:space="preserve">2016-12-18 </v>
      </c>
      <c r="E22" t="str">
        <f>TEXT(Demand_Data___Hourly_OverviewSearch_1_csv[[#This Row],[Day]],"dddd")</f>
        <v>Saturday</v>
      </c>
      <c r="F22">
        <v>15</v>
      </c>
      <c r="G22">
        <v>72</v>
      </c>
      <c r="H22">
        <v>83</v>
      </c>
      <c r="I22">
        <f>VLOOKUP(Demand_Data___Hourly_OverviewSearch_1_csv[[#This Row],[Date]],Supply_Data___Hourly_DriverActivity_1_csv__3[#All],2,FALSE)</f>
        <v>54</v>
      </c>
      <c r="J22">
        <f>VLOOKUP(Demand_Data___Hourly_OverviewSearch_1_csv[[#This Row],[Date]],Supply_Data___Hourly_DriverActivity_1_csv__3[#All],3,FALSE)</f>
        <v>23</v>
      </c>
      <c r="K22">
        <f>VLOOKUP(Demand_Data___Hourly_OverviewSearch_1_csv[[#This Row],[Date]],Supply_Data___Hourly_DriverActivity_1_csv__3[#All],4,FALSE)</f>
        <v>10</v>
      </c>
      <c r="L22">
        <f>VLOOKUP(Demand_Data___Hourly_OverviewSearch_1_csv[[#This Row],[Date]],Supply_Data___Hourly_DriverActivity_1_csv__3[#All],5,FALSE)</f>
        <v>12</v>
      </c>
      <c r="M22">
        <f>VLOOKUP(Demand_Data___Hourly_OverviewSearch_1_csv[[#This Row],[Date]],Supply_Data___Hourly_DriverActivity_1_csv__3[#All],6,FALSE)</f>
        <v>0.4</v>
      </c>
      <c r="N22">
        <f>VLOOKUP(Demand_Data___Hourly_OverviewSearch_1_csv[[#This Row],[Date]],Supply_Data___Hourly_DriverActivity_1_csv__3[#All],7,FALSE)</f>
        <v>1.17</v>
      </c>
      <c r="O22">
        <f>VLOOKUP(Demand_Data___Hourly_OverviewSearch_1_csv[[#This Row],[Date]],Supply_Data___Hourly_DriverActivity_1_csv__3[#All],8,FALSE)</f>
        <v>27</v>
      </c>
      <c r="P22">
        <f>(Demand_Data___Hourly_OverviewSearch_1_csv[[#This Row],[People saw 0 cars (unique)]]+Demand_Data___Hourly_OverviewSearch_1_csv[[#This Row],[People saw +1 cars (unique)]])</f>
        <v>87</v>
      </c>
      <c r="Q22" s="143">
        <f t="shared" si="3"/>
        <v>13</v>
      </c>
    </row>
    <row r="23" spans="1:17" x14ac:dyDescent="0.3">
      <c r="A23" t="s">
        <v>29</v>
      </c>
      <c r="B23" t="str">
        <f t="shared" si="0"/>
        <v xml:space="preserve"> 02</v>
      </c>
      <c r="C23">
        <f t="shared" si="1"/>
        <v>7</v>
      </c>
      <c r="D23" t="str">
        <f t="shared" si="2"/>
        <v xml:space="preserve">2016-12-18 </v>
      </c>
      <c r="E23" t="str">
        <f>TEXT(Demand_Data___Hourly_OverviewSearch_1_csv[[#This Row],[Day]],"dddd")</f>
        <v>Saturday</v>
      </c>
      <c r="F23">
        <v>1</v>
      </c>
      <c r="G23">
        <v>64</v>
      </c>
      <c r="H23">
        <v>98</v>
      </c>
      <c r="I23">
        <f>VLOOKUP(Demand_Data___Hourly_OverviewSearch_1_csv[[#This Row],[Date]],Supply_Data___Hourly_DriverActivity_1_csv__3[#All],2,FALSE)</f>
        <v>68</v>
      </c>
      <c r="J23">
        <f>VLOOKUP(Demand_Data___Hourly_OverviewSearch_1_csv[[#This Row],[Date]],Supply_Data___Hourly_DriverActivity_1_csv__3[#All],3,FALSE)</f>
        <v>25</v>
      </c>
      <c r="K23">
        <f>VLOOKUP(Demand_Data___Hourly_OverviewSearch_1_csv[[#This Row],[Date]],Supply_Data___Hourly_DriverActivity_1_csv__3[#All],4,FALSE)</f>
        <v>7</v>
      </c>
      <c r="L23">
        <f>VLOOKUP(Demand_Data___Hourly_OverviewSearch_1_csv[[#This Row],[Date]],Supply_Data___Hourly_DriverActivity_1_csv__3[#All],5,FALSE)</f>
        <v>18</v>
      </c>
      <c r="M23">
        <f>VLOOKUP(Demand_Data___Hourly_OverviewSearch_1_csv[[#This Row],[Date]],Supply_Data___Hourly_DriverActivity_1_csv__3[#All],6,FALSE)</f>
        <v>0.4</v>
      </c>
      <c r="N23">
        <f>VLOOKUP(Demand_Data___Hourly_OverviewSearch_1_csv[[#This Row],[Date]],Supply_Data___Hourly_DriverActivity_1_csv__3[#All],7,FALSE)</f>
        <v>1</v>
      </c>
      <c r="O23">
        <f>VLOOKUP(Demand_Data___Hourly_OverviewSearch_1_csv[[#This Row],[Date]],Supply_Data___Hourly_DriverActivity_1_csv__3[#All],8,FALSE)</f>
        <v>25</v>
      </c>
      <c r="P23">
        <f>(Demand_Data___Hourly_OverviewSearch_1_csv[[#This Row],[People saw 0 cars (unique)]]+Demand_Data___Hourly_OverviewSearch_1_csv[[#This Row],[People saw +1 cars (unique)]])</f>
        <v>65</v>
      </c>
      <c r="Q23" s="143">
        <f t="shared" si="3"/>
        <v>18</v>
      </c>
    </row>
    <row r="24" spans="1:17" x14ac:dyDescent="0.3">
      <c r="A24" t="s">
        <v>30</v>
      </c>
      <c r="B24" t="str">
        <f t="shared" si="0"/>
        <v xml:space="preserve"> 01</v>
      </c>
      <c r="C24">
        <f t="shared" si="1"/>
        <v>7</v>
      </c>
      <c r="D24" t="str">
        <f t="shared" si="2"/>
        <v xml:space="preserve">2016-12-18 </v>
      </c>
      <c r="E24" t="str">
        <f>TEXT(Demand_Data___Hourly_OverviewSearch_1_csv[[#This Row],[Day]],"dddd")</f>
        <v>Saturday</v>
      </c>
      <c r="F24">
        <v>21</v>
      </c>
      <c r="G24">
        <v>69</v>
      </c>
      <c r="H24">
        <v>77</v>
      </c>
      <c r="I24">
        <f>VLOOKUP(Demand_Data___Hourly_OverviewSearch_1_csv[[#This Row],[Date]],Supply_Data___Hourly_DriverActivity_1_csv__3[#All],2,FALSE)</f>
        <v>79</v>
      </c>
      <c r="J24">
        <f>VLOOKUP(Demand_Data___Hourly_OverviewSearch_1_csv[[#This Row],[Date]],Supply_Data___Hourly_DriverActivity_1_csv__3[#All],3,FALSE)</f>
        <v>25</v>
      </c>
      <c r="K24">
        <f>VLOOKUP(Demand_Data___Hourly_OverviewSearch_1_csv[[#This Row],[Date]],Supply_Data___Hourly_DriverActivity_1_csv__3[#All],4,FALSE)</f>
        <v>13</v>
      </c>
      <c r="L24">
        <f>VLOOKUP(Demand_Data___Hourly_OverviewSearch_1_csv[[#This Row],[Date]],Supply_Data___Hourly_DriverActivity_1_csv__3[#All],5,FALSE)</f>
        <v>12</v>
      </c>
      <c r="M24">
        <f>VLOOKUP(Demand_Data___Hourly_OverviewSearch_1_csv[[#This Row],[Date]],Supply_Data___Hourly_DriverActivity_1_csv__3[#All],6,FALSE)</f>
        <v>0.3</v>
      </c>
      <c r="N24">
        <f>VLOOKUP(Demand_Data___Hourly_OverviewSearch_1_csv[[#This Row],[Date]],Supply_Data___Hourly_DriverActivity_1_csv__3[#All],7,FALSE)</f>
        <v>1.1599999999999999</v>
      </c>
      <c r="O24">
        <f>VLOOKUP(Demand_Data___Hourly_OverviewSearch_1_csv[[#This Row],[Date]],Supply_Data___Hourly_DriverActivity_1_csv__3[#All],8,FALSE)</f>
        <v>29</v>
      </c>
      <c r="P24">
        <f>(Demand_Data___Hourly_OverviewSearch_1_csv[[#This Row],[People saw 0 cars (unique)]]+Demand_Data___Hourly_OverviewSearch_1_csv[[#This Row],[People saw +1 cars (unique)]])</f>
        <v>90</v>
      </c>
      <c r="Q24" s="143">
        <f t="shared" si="3"/>
        <v>12</v>
      </c>
    </row>
    <row r="25" spans="1:17" x14ac:dyDescent="0.3">
      <c r="A25" t="s">
        <v>31</v>
      </c>
      <c r="B25" t="str">
        <f t="shared" si="0"/>
        <v xml:space="preserve"> 00</v>
      </c>
      <c r="C25">
        <f t="shared" si="1"/>
        <v>7</v>
      </c>
      <c r="D25" t="str">
        <f t="shared" si="2"/>
        <v xml:space="preserve">2016-12-18 </v>
      </c>
      <c r="E25" t="str">
        <f>TEXT(Demand_Data___Hourly_OverviewSearch_1_csv[[#This Row],[Day]],"dddd")</f>
        <v>Saturday</v>
      </c>
      <c r="F25">
        <v>7</v>
      </c>
      <c r="G25">
        <v>81</v>
      </c>
      <c r="H25">
        <v>92</v>
      </c>
      <c r="I25">
        <f>VLOOKUP(Demand_Data___Hourly_OverviewSearch_1_csv[[#This Row],[Date]],Supply_Data___Hourly_DriverActivity_1_csv__3[#All],2,FALSE)</f>
        <v>89</v>
      </c>
      <c r="J25">
        <f>VLOOKUP(Demand_Data___Hourly_OverviewSearch_1_csv[[#This Row],[Date]],Supply_Data___Hourly_DriverActivity_1_csv__3[#All],3,FALSE)</f>
        <v>35</v>
      </c>
      <c r="K25">
        <f>VLOOKUP(Demand_Data___Hourly_OverviewSearch_1_csv[[#This Row],[Date]],Supply_Data___Hourly_DriverActivity_1_csv__3[#All],4,FALSE)</f>
        <v>11</v>
      </c>
      <c r="L25">
        <f>VLOOKUP(Demand_Data___Hourly_OverviewSearch_1_csv[[#This Row],[Date]],Supply_Data___Hourly_DriverActivity_1_csv__3[#All],5,FALSE)</f>
        <v>24</v>
      </c>
      <c r="M25">
        <f>VLOOKUP(Demand_Data___Hourly_OverviewSearch_1_csv[[#This Row],[Date]],Supply_Data___Hourly_DriverActivity_1_csv__3[#All],6,FALSE)</f>
        <v>0.4</v>
      </c>
      <c r="N25">
        <f>VLOOKUP(Demand_Data___Hourly_OverviewSearch_1_csv[[#This Row],[Date]],Supply_Data___Hourly_DriverActivity_1_csv__3[#All],7,FALSE)</f>
        <v>1.03</v>
      </c>
      <c r="O25">
        <f>VLOOKUP(Demand_Data___Hourly_OverviewSearch_1_csv[[#This Row],[Date]],Supply_Data___Hourly_DriverActivity_1_csv__3[#All],8,FALSE)</f>
        <v>36</v>
      </c>
      <c r="P25">
        <f>(Demand_Data___Hourly_OverviewSearch_1_csv[[#This Row],[People saw 0 cars (unique)]]+Demand_Data___Hourly_OverviewSearch_1_csv[[#This Row],[People saw +1 cars (unique)]])</f>
        <v>88</v>
      </c>
      <c r="Q25" s="143">
        <f t="shared" si="3"/>
        <v>24</v>
      </c>
    </row>
    <row r="26" spans="1:17" x14ac:dyDescent="0.3">
      <c r="A26" t="s">
        <v>32</v>
      </c>
      <c r="B26" t="str">
        <f t="shared" si="0"/>
        <v xml:space="preserve"> 23</v>
      </c>
      <c r="C26">
        <f t="shared" si="1"/>
        <v>6</v>
      </c>
      <c r="D26" t="str">
        <f t="shared" si="2"/>
        <v xml:space="preserve">2016-12-17 </v>
      </c>
      <c r="E26" t="str">
        <f>TEXT(Demand_Data___Hourly_OverviewSearch_1_csv[[#This Row],[Day]],"dddd")</f>
        <v>Friday</v>
      </c>
      <c r="F26">
        <v>10</v>
      </c>
      <c r="G26">
        <v>79</v>
      </c>
      <c r="H26">
        <v>89</v>
      </c>
      <c r="I26">
        <f>VLOOKUP(Demand_Data___Hourly_OverviewSearch_1_csv[[#This Row],[Date]],Supply_Data___Hourly_DriverActivity_1_csv__3[#All],2,FALSE)</f>
        <v>100</v>
      </c>
      <c r="J26">
        <f>VLOOKUP(Demand_Data___Hourly_OverviewSearch_1_csv[[#This Row],[Date]],Supply_Data___Hourly_DriverActivity_1_csv__3[#All],3,FALSE)</f>
        <v>38</v>
      </c>
      <c r="K26">
        <f>VLOOKUP(Demand_Data___Hourly_OverviewSearch_1_csv[[#This Row],[Date]],Supply_Data___Hourly_DriverActivity_1_csv__3[#All],4,FALSE)</f>
        <v>12</v>
      </c>
      <c r="L26">
        <f>VLOOKUP(Demand_Data___Hourly_OverviewSearch_1_csv[[#This Row],[Date]],Supply_Data___Hourly_DriverActivity_1_csv__3[#All],5,FALSE)</f>
        <v>27</v>
      </c>
      <c r="M26">
        <f>VLOOKUP(Demand_Data___Hourly_OverviewSearch_1_csv[[#This Row],[Date]],Supply_Data___Hourly_DriverActivity_1_csv__3[#All],6,FALSE)</f>
        <v>0.4</v>
      </c>
      <c r="N26">
        <f>VLOOKUP(Demand_Data___Hourly_OverviewSearch_1_csv[[#This Row],[Date]],Supply_Data___Hourly_DriverActivity_1_csv__3[#All],7,FALSE)</f>
        <v>0.82</v>
      </c>
      <c r="O26">
        <f>VLOOKUP(Demand_Data___Hourly_OverviewSearch_1_csv[[#This Row],[Date]],Supply_Data___Hourly_DriverActivity_1_csv__3[#All],8,FALSE)</f>
        <v>31</v>
      </c>
      <c r="P26">
        <f>(Demand_Data___Hourly_OverviewSearch_1_csv[[#This Row],[People saw 0 cars (unique)]]+Demand_Data___Hourly_OverviewSearch_1_csv[[#This Row],[People saw +1 cars (unique)]])</f>
        <v>89</v>
      </c>
      <c r="Q26" s="143">
        <f t="shared" si="3"/>
        <v>26</v>
      </c>
    </row>
    <row r="27" spans="1:17" x14ac:dyDescent="0.3">
      <c r="A27" t="s">
        <v>33</v>
      </c>
      <c r="B27" t="str">
        <f t="shared" si="0"/>
        <v xml:space="preserve"> 22</v>
      </c>
      <c r="C27">
        <f t="shared" si="1"/>
        <v>6</v>
      </c>
      <c r="D27" t="str">
        <f t="shared" si="2"/>
        <v xml:space="preserve">2016-12-17 </v>
      </c>
      <c r="E27" t="str">
        <f>TEXT(Demand_Data___Hourly_OverviewSearch_1_csv[[#This Row],[Day]],"dddd")</f>
        <v>Friday</v>
      </c>
      <c r="F27">
        <v>5</v>
      </c>
      <c r="G27">
        <v>83</v>
      </c>
      <c r="H27">
        <v>94</v>
      </c>
      <c r="I27">
        <f>VLOOKUP(Demand_Data___Hourly_OverviewSearch_1_csv[[#This Row],[Date]],Supply_Data___Hourly_DriverActivity_1_csv__3[#All],2,FALSE)</f>
        <v>114</v>
      </c>
      <c r="J27">
        <f>VLOOKUP(Demand_Data___Hourly_OverviewSearch_1_csv[[#This Row],[Date]],Supply_Data___Hourly_DriverActivity_1_csv__3[#All],3,FALSE)</f>
        <v>44</v>
      </c>
      <c r="K27">
        <f>VLOOKUP(Demand_Data___Hourly_OverviewSearch_1_csv[[#This Row],[Date]],Supply_Data___Hourly_DriverActivity_1_csv__3[#All],4,FALSE)</f>
        <v>14</v>
      </c>
      <c r="L27">
        <f>VLOOKUP(Demand_Data___Hourly_OverviewSearch_1_csv[[#This Row],[Date]],Supply_Data___Hourly_DriverActivity_1_csv__3[#All],5,FALSE)</f>
        <v>31</v>
      </c>
      <c r="M27">
        <f>VLOOKUP(Demand_Data___Hourly_OverviewSearch_1_csv[[#This Row],[Date]],Supply_Data___Hourly_DriverActivity_1_csv__3[#All],6,FALSE)</f>
        <v>0.4</v>
      </c>
      <c r="N27">
        <f>VLOOKUP(Demand_Data___Hourly_OverviewSearch_1_csv[[#This Row],[Date]],Supply_Data___Hourly_DriverActivity_1_csv__3[#All],7,FALSE)</f>
        <v>0.73</v>
      </c>
      <c r="O27">
        <f>VLOOKUP(Demand_Data___Hourly_OverviewSearch_1_csv[[#This Row],[Date]],Supply_Data___Hourly_DriverActivity_1_csv__3[#All],8,FALSE)</f>
        <v>32</v>
      </c>
      <c r="P27">
        <f>(Demand_Data___Hourly_OverviewSearch_1_csv[[#This Row],[People saw 0 cars (unique)]]+Demand_Data___Hourly_OverviewSearch_1_csv[[#This Row],[People saw +1 cars (unique)]])</f>
        <v>88</v>
      </c>
      <c r="Q27" s="143">
        <f t="shared" si="3"/>
        <v>30</v>
      </c>
    </row>
    <row r="28" spans="1:17" x14ac:dyDescent="0.3">
      <c r="A28" t="s">
        <v>34</v>
      </c>
      <c r="B28" t="str">
        <f t="shared" si="0"/>
        <v xml:space="preserve"> 21</v>
      </c>
      <c r="C28">
        <f t="shared" si="1"/>
        <v>6</v>
      </c>
      <c r="D28" t="str">
        <f t="shared" si="2"/>
        <v xml:space="preserve">2016-12-17 </v>
      </c>
      <c r="E28" t="str">
        <f>TEXT(Demand_Data___Hourly_OverviewSearch_1_csv[[#This Row],[Day]],"dddd")</f>
        <v>Friday</v>
      </c>
      <c r="F28">
        <v>25</v>
      </c>
      <c r="G28">
        <v>96</v>
      </c>
      <c r="H28">
        <v>79</v>
      </c>
      <c r="I28">
        <f>VLOOKUP(Demand_Data___Hourly_OverviewSearch_1_csv[[#This Row],[Date]],Supply_Data___Hourly_DriverActivity_1_csv__3[#All],2,FALSE)</f>
        <v>103</v>
      </c>
      <c r="J28">
        <f>VLOOKUP(Demand_Data___Hourly_OverviewSearch_1_csv[[#This Row],[Date]],Supply_Data___Hourly_DriverActivity_1_csv__3[#All],3,FALSE)</f>
        <v>39</v>
      </c>
      <c r="K28">
        <f>VLOOKUP(Demand_Data___Hourly_OverviewSearch_1_csv[[#This Row],[Date]],Supply_Data___Hourly_DriverActivity_1_csv__3[#All],4,FALSE)</f>
        <v>18</v>
      </c>
      <c r="L28">
        <f>VLOOKUP(Demand_Data___Hourly_OverviewSearch_1_csv[[#This Row],[Date]],Supply_Data___Hourly_DriverActivity_1_csv__3[#All],5,FALSE)</f>
        <v>21</v>
      </c>
      <c r="M28">
        <f>VLOOKUP(Demand_Data___Hourly_OverviewSearch_1_csv[[#This Row],[Date]],Supply_Data___Hourly_DriverActivity_1_csv__3[#All],6,FALSE)</f>
        <v>0.4</v>
      </c>
      <c r="N28">
        <f>VLOOKUP(Demand_Data___Hourly_OverviewSearch_1_csv[[#This Row],[Date]],Supply_Data___Hourly_DriverActivity_1_csv__3[#All],7,FALSE)</f>
        <v>1.21</v>
      </c>
      <c r="O28">
        <f>VLOOKUP(Demand_Data___Hourly_OverviewSearch_1_csv[[#This Row],[Date]],Supply_Data___Hourly_DriverActivity_1_csv__3[#All],8,FALSE)</f>
        <v>47</v>
      </c>
      <c r="P28">
        <f>(Demand_Data___Hourly_OverviewSearch_1_csv[[#This Row],[People saw 0 cars (unique)]]+Demand_Data___Hourly_OverviewSearch_1_csv[[#This Row],[People saw +1 cars (unique)]])</f>
        <v>121</v>
      </c>
      <c r="Q28" s="143">
        <f t="shared" si="3"/>
        <v>21</v>
      </c>
    </row>
    <row r="29" spans="1:17" x14ac:dyDescent="0.3">
      <c r="A29" t="s">
        <v>35</v>
      </c>
      <c r="B29" t="str">
        <f t="shared" si="0"/>
        <v xml:space="preserve"> 20</v>
      </c>
      <c r="C29">
        <f t="shared" si="1"/>
        <v>6</v>
      </c>
      <c r="D29" t="str">
        <f t="shared" si="2"/>
        <v xml:space="preserve">2016-12-17 </v>
      </c>
      <c r="E29" t="str">
        <f>TEXT(Demand_Data___Hourly_OverviewSearch_1_csv[[#This Row],[Day]],"dddd")</f>
        <v>Friday</v>
      </c>
      <c r="F29">
        <v>48</v>
      </c>
      <c r="G29">
        <v>84</v>
      </c>
      <c r="H29">
        <v>64</v>
      </c>
      <c r="I29">
        <f>VLOOKUP(Demand_Data___Hourly_OverviewSearch_1_csv[[#This Row],[Date]],Supply_Data___Hourly_DriverActivity_1_csv__3[#All],2,FALSE)</f>
        <v>88</v>
      </c>
      <c r="J29">
        <f>VLOOKUP(Demand_Data___Hourly_OverviewSearch_1_csv[[#This Row],[Date]],Supply_Data___Hourly_DriverActivity_1_csv__3[#All],3,FALSE)</f>
        <v>32</v>
      </c>
      <c r="K29">
        <f>VLOOKUP(Demand_Data___Hourly_OverviewSearch_1_csv[[#This Row],[Date]],Supply_Data___Hourly_DriverActivity_1_csv__3[#All],4,FALSE)</f>
        <v>19</v>
      </c>
      <c r="L29">
        <f>VLOOKUP(Demand_Data___Hourly_OverviewSearch_1_csv[[#This Row],[Date]],Supply_Data___Hourly_DriverActivity_1_csv__3[#All],5,FALSE)</f>
        <v>13</v>
      </c>
      <c r="M29">
        <f>VLOOKUP(Demand_Data___Hourly_OverviewSearch_1_csv[[#This Row],[Date]],Supply_Data___Hourly_DriverActivity_1_csv__3[#All],6,FALSE)</f>
        <v>0.4</v>
      </c>
      <c r="N29">
        <f>VLOOKUP(Demand_Data___Hourly_OverviewSearch_1_csv[[#This Row],[Date]],Supply_Data___Hourly_DriverActivity_1_csv__3[#All],7,FALSE)</f>
        <v>1.5</v>
      </c>
      <c r="O29">
        <f>VLOOKUP(Demand_Data___Hourly_OverviewSearch_1_csv[[#This Row],[Date]],Supply_Data___Hourly_DriverActivity_1_csv__3[#All],8,FALSE)</f>
        <v>48</v>
      </c>
      <c r="P29">
        <f>(Demand_Data___Hourly_OverviewSearch_1_csv[[#This Row],[People saw 0 cars (unique)]]+Demand_Data___Hourly_OverviewSearch_1_csv[[#This Row],[People saw +1 cars (unique)]])</f>
        <v>132</v>
      </c>
      <c r="Q29" s="143">
        <f t="shared" si="3"/>
        <v>13</v>
      </c>
    </row>
    <row r="30" spans="1:17" x14ac:dyDescent="0.3">
      <c r="A30" t="s">
        <v>36</v>
      </c>
      <c r="B30" t="str">
        <f t="shared" si="0"/>
        <v xml:space="preserve"> 19</v>
      </c>
      <c r="C30">
        <f t="shared" si="1"/>
        <v>6</v>
      </c>
      <c r="D30" t="str">
        <f t="shared" si="2"/>
        <v xml:space="preserve">2016-12-17 </v>
      </c>
      <c r="E30" t="str">
        <f>TEXT(Demand_Data___Hourly_OverviewSearch_1_csv[[#This Row],[Day]],"dddd")</f>
        <v>Friday</v>
      </c>
      <c r="F30">
        <v>34</v>
      </c>
      <c r="G30">
        <v>89</v>
      </c>
      <c r="H30">
        <v>72</v>
      </c>
      <c r="I30">
        <f>VLOOKUP(Demand_Data___Hourly_OverviewSearch_1_csv[[#This Row],[Date]],Supply_Data___Hourly_DriverActivity_1_csv__3[#All],2,FALSE)</f>
        <v>84</v>
      </c>
      <c r="J30">
        <f>VLOOKUP(Demand_Data___Hourly_OverviewSearch_1_csv[[#This Row],[Date]],Supply_Data___Hourly_DriverActivity_1_csv__3[#All],3,FALSE)</f>
        <v>28</v>
      </c>
      <c r="K30">
        <f>VLOOKUP(Demand_Data___Hourly_OverviewSearch_1_csv[[#This Row],[Date]],Supply_Data___Hourly_DriverActivity_1_csv__3[#All],4,FALSE)</f>
        <v>16</v>
      </c>
      <c r="L30">
        <f>VLOOKUP(Demand_Data___Hourly_OverviewSearch_1_csv[[#This Row],[Date]],Supply_Data___Hourly_DriverActivity_1_csv__3[#All],5,FALSE)</f>
        <v>13</v>
      </c>
      <c r="M30">
        <f>VLOOKUP(Demand_Data___Hourly_OverviewSearch_1_csv[[#This Row],[Date]],Supply_Data___Hourly_DriverActivity_1_csv__3[#All],6,FALSE)</f>
        <v>0.3</v>
      </c>
      <c r="N30">
        <f>VLOOKUP(Demand_Data___Hourly_OverviewSearch_1_csv[[#This Row],[Date]],Supply_Data___Hourly_DriverActivity_1_csv__3[#All],7,FALSE)</f>
        <v>1.36</v>
      </c>
      <c r="O30">
        <f>VLOOKUP(Demand_Data___Hourly_OverviewSearch_1_csv[[#This Row],[Date]],Supply_Data___Hourly_DriverActivity_1_csv__3[#All],8,FALSE)</f>
        <v>38</v>
      </c>
      <c r="P30">
        <f>(Demand_Data___Hourly_OverviewSearch_1_csv[[#This Row],[People saw 0 cars (unique)]]+Demand_Data___Hourly_OverviewSearch_1_csv[[#This Row],[People saw +1 cars (unique)]])</f>
        <v>123</v>
      </c>
      <c r="Q30" s="143">
        <f t="shared" si="3"/>
        <v>12</v>
      </c>
    </row>
    <row r="31" spans="1:17" x14ac:dyDescent="0.3">
      <c r="A31" t="s">
        <v>37</v>
      </c>
      <c r="B31" t="str">
        <f t="shared" si="0"/>
        <v xml:space="preserve"> 18</v>
      </c>
      <c r="C31">
        <f t="shared" si="1"/>
        <v>6</v>
      </c>
      <c r="D31" t="str">
        <f t="shared" si="2"/>
        <v xml:space="preserve">2016-12-17 </v>
      </c>
      <c r="E31" t="str">
        <f>TEXT(Demand_Data___Hourly_OverviewSearch_1_csv[[#This Row],[Day]],"dddd")</f>
        <v>Friday</v>
      </c>
      <c r="F31">
        <v>17</v>
      </c>
      <c r="G31">
        <v>54</v>
      </c>
      <c r="H31">
        <v>76</v>
      </c>
      <c r="I31">
        <f>VLOOKUP(Demand_Data___Hourly_OverviewSearch_1_csv[[#This Row],[Date]],Supply_Data___Hourly_DriverActivity_1_csv__3[#All],2,FALSE)</f>
        <v>82</v>
      </c>
      <c r="J31">
        <f>VLOOKUP(Demand_Data___Hourly_OverviewSearch_1_csv[[#This Row],[Date]],Supply_Data___Hourly_DriverActivity_1_csv__3[#All],3,FALSE)</f>
        <v>30</v>
      </c>
      <c r="K31">
        <f>VLOOKUP(Demand_Data___Hourly_OverviewSearch_1_csv[[#This Row],[Date]],Supply_Data___Hourly_DriverActivity_1_csv__3[#All],4,FALSE)</f>
        <v>7</v>
      </c>
      <c r="L31">
        <f>VLOOKUP(Demand_Data___Hourly_OverviewSearch_1_csv[[#This Row],[Date]],Supply_Data___Hourly_DriverActivity_1_csv__3[#All],5,FALSE)</f>
        <v>23</v>
      </c>
      <c r="M31">
        <f>VLOOKUP(Demand_Data___Hourly_OverviewSearch_1_csv[[#This Row],[Date]],Supply_Data___Hourly_DriverActivity_1_csv__3[#All],6,FALSE)</f>
        <v>0.4</v>
      </c>
      <c r="N31">
        <f>VLOOKUP(Demand_Data___Hourly_OverviewSearch_1_csv[[#This Row],[Date]],Supply_Data___Hourly_DriverActivity_1_csv__3[#All],7,FALSE)</f>
        <v>0.67</v>
      </c>
      <c r="O31">
        <f>VLOOKUP(Demand_Data___Hourly_OverviewSearch_1_csv[[#This Row],[Date]],Supply_Data___Hourly_DriverActivity_1_csv__3[#All],8,FALSE)</f>
        <v>20</v>
      </c>
      <c r="P31">
        <f>(Demand_Data___Hourly_OverviewSearch_1_csv[[#This Row],[People saw 0 cars (unique)]]+Demand_Data___Hourly_OverviewSearch_1_csv[[#This Row],[People saw +1 cars (unique)]])</f>
        <v>71</v>
      </c>
      <c r="Q31" s="143">
        <f t="shared" si="3"/>
        <v>23</v>
      </c>
    </row>
    <row r="32" spans="1:17" x14ac:dyDescent="0.3">
      <c r="A32" t="s">
        <v>38</v>
      </c>
      <c r="B32" t="str">
        <f t="shared" si="0"/>
        <v xml:space="preserve"> 17</v>
      </c>
      <c r="C32">
        <f t="shared" si="1"/>
        <v>6</v>
      </c>
      <c r="D32" t="str">
        <f t="shared" si="2"/>
        <v xml:space="preserve">2016-12-17 </v>
      </c>
      <c r="E32" t="str">
        <f>TEXT(Demand_Data___Hourly_OverviewSearch_1_csv[[#This Row],[Day]],"dddd")</f>
        <v>Friday</v>
      </c>
      <c r="F32">
        <v>24</v>
      </c>
      <c r="G32">
        <v>63</v>
      </c>
      <c r="H32">
        <v>72</v>
      </c>
      <c r="I32">
        <f>VLOOKUP(Demand_Data___Hourly_OverviewSearch_1_csv[[#This Row],[Date]],Supply_Data___Hourly_DriverActivity_1_csv__3[#All],2,FALSE)</f>
        <v>69</v>
      </c>
      <c r="J32">
        <f>VLOOKUP(Demand_Data___Hourly_OverviewSearch_1_csv[[#This Row],[Date]],Supply_Data___Hourly_DriverActivity_1_csv__3[#All],3,FALSE)</f>
        <v>23</v>
      </c>
      <c r="K32">
        <f>VLOOKUP(Demand_Data___Hourly_OverviewSearch_1_csv[[#This Row],[Date]],Supply_Data___Hourly_DriverActivity_1_csv__3[#All],4,FALSE)</f>
        <v>10</v>
      </c>
      <c r="L32">
        <f>VLOOKUP(Demand_Data___Hourly_OverviewSearch_1_csv[[#This Row],[Date]],Supply_Data___Hourly_DriverActivity_1_csv__3[#All],5,FALSE)</f>
        <v>14</v>
      </c>
      <c r="M32">
        <f>VLOOKUP(Demand_Data___Hourly_OverviewSearch_1_csv[[#This Row],[Date]],Supply_Data___Hourly_DriverActivity_1_csv__3[#All],6,FALSE)</f>
        <v>0.3</v>
      </c>
      <c r="N32">
        <f>VLOOKUP(Demand_Data___Hourly_OverviewSearch_1_csv[[#This Row],[Date]],Supply_Data___Hourly_DriverActivity_1_csv__3[#All],7,FALSE)</f>
        <v>0.91</v>
      </c>
      <c r="O32">
        <f>VLOOKUP(Demand_Data___Hourly_OverviewSearch_1_csv[[#This Row],[Date]],Supply_Data___Hourly_DriverActivity_1_csv__3[#All],8,FALSE)</f>
        <v>21</v>
      </c>
      <c r="P32">
        <f>(Demand_Data___Hourly_OverviewSearch_1_csv[[#This Row],[People saw 0 cars (unique)]]+Demand_Data___Hourly_OverviewSearch_1_csv[[#This Row],[People saw +1 cars (unique)]])</f>
        <v>87</v>
      </c>
      <c r="Q32" s="143">
        <f t="shared" si="3"/>
        <v>13</v>
      </c>
    </row>
    <row r="33" spans="1:17" x14ac:dyDescent="0.3">
      <c r="A33" t="s">
        <v>39</v>
      </c>
      <c r="B33" t="str">
        <f t="shared" si="0"/>
        <v xml:space="preserve"> 16</v>
      </c>
      <c r="C33">
        <f t="shared" si="1"/>
        <v>6</v>
      </c>
      <c r="D33" t="str">
        <f t="shared" si="2"/>
        <v xml:space="preserve">2016-12-17 </v>
      </c>
      <c r="E33" t="str">
        <f>TEXT(Demand_Data___Hourly_OverviewSearch_1_csv[[#This Row],[Day]],"dddd")</f>
        <v>Friday</v>
      </c>
      <c r="F33">
        <v>7</v>
      </c>
      <c r="G33">
        <v>44</v>
      </c>
      <c r="H33">
        <v>86</v>
      </c>
      <c r="I33">
        <f>VLOOKUP(Demand_Data___Hourly_OverviewSearch_1_csv[[#This Row],[Date]],Supply_Data___Hourly_DriverActivity_1_csv__3[#All],2,FALSE)</f>
        <v>70</v>
      </c>
      <c r="J33">
        <f>VLOOKUP(Demand_Data___Hourly_OverviewSearch_1_csv[[#This Row],[Date]],Supply_Data___Hourly_DriverActivity_1_csv__3[#All],3,FALSE)</f>
        <v>22</v>
      </c>
      <c r="K33">
        <f>VLOOKUP(Demand_Data___Hourly_OverviewSearch_1_csv[[#This Row],[Date]],Supply_Data___Hourly_DriverActivity_1_csv__3[#All],4,FALSE)</f>
        <v>7</v>
      </c>
      <c r="L33">
        <f>VLOOKUP(Demand_Data___Hourly_OverviewSearch_1_csv[[#This Row],[Date]],Supply_Data___Hourly_DriverActivity_1_csv__3[#All],5,FALSE)</f>
        <v>14</v>
      </c>
      <c r="M33">
        <f>VLOOKUP(Demand_Data___Hourly_OverviewSearch_1_csv[[#This Row],[Date]],Supply_Data___Hourly_DriverActivity_1_csv__3[#All],6,FALSE)</f>
        <v>0.3</v>
      </c>
      <c r="N33">
        <f>VLOOKUP(Demand_Data___Hourly_OverviewSearch_1_csv[[#This Row],[Date]],Supply_Data___Hourly_DriverActivity_1_csv__3[#All],7,FALSE)</f>
        <v>0.91</v>
      </c>
      <c r="O33">
        <f>VLOOKUP(Demand_Data___Hourly_OverviewSearch_1_csv[[#This Row],[Date]],Supply_Data___Hourly_DriverActivity_1_csv__3[#All],8,FALSE)</f>
        <v>20</v>
      </c>
      <c r="P33">
        <f>(Demand_Data___Hourly_OverviewSearch_1_csv[[#This Row],[People saw 0 cars (unique)]]+Demand_Data___Hourly_OverviewSearch_1_csv[[#This Row],[People saw +1 cars (unique)]])</f>
        <v>51</v>
      </c>
      <c r="Q33" s="143">
        <f t="shared" si="3"/>
        <v>15</v>
      </c>
    </row>
    <row r="34" spans="1:17" x14ac:dyDescent="0.3">
      <c r="A34" t="s">
        <v>40</v>
      </c>
      <c r="B34" t="str">
        <f t="shared" si="0"/>
        <v xml:space="preserve"> 15</v>
      </c>
      <c r="C34">
        <f t="shared" si="1"/>
        <v>6</v>
      </c>
      <c r="D34" t="str">
        <f t="shared" si="2"/>
        <v xml:space="preserve">2016-12-17 </v>
      </c>
      <c r="E34" t="str">
        <f>TEXT(Demand_Data___Hourly_OverviewSearch_1_csv[[#This Row],[Day]],"dddd")</f>
        <v>Friday</v>
      </c>
      <c r="F34">
        <v>14</v>
      </c>
      <c r="G34">
        <v>39</v>
      </c>
      <c r="H34">
        <v>74</v>
      </c>
      <c r="I34">
        <f>VLOOKUP(Demand_Data___Hourly_OverviewSearch_1_csv[[#This Row],[Date]],Supply_Data___Hourly_DriverActivity_1_csv__3[#All],2,FALSE)</f>
        <v>62</v>
      </c>
      <c r="J34">
        <f>VLOOKUP(Demand_Data___Hourly_OverviewSearch_1_csv[[#This Row],[Date]],Supply_Data___Hourly_DriverActivity_1_csv__3[#All],3,FALSE)</f>
        <v>21</v>
      </c>
      <c r="K34">
        <f>VLOOKUP(Demand_Data___Hourly_OverviewSearch_1_csv[[#This Row],[Date]],Supply_Data___Hourly_DriverActivity_1_csv__3[#All],4,FALSE)</f>
        <v>6</v>
      </c>
      <c r="L34">
        <f>VLOOKUP(Demand_Data___Hourly_OverviewSearch_1_csv[[#This Row],[Date]],Supply_Data___Hourly_DriverActivity_1_csv__3[#All],5,FALSE)</f>
        <v>15</v>
      </c>
      <c r="M34">
        <f>VLOOKUP(Demand_Data___Hourly_OverviewSearch_1_csv[[#This Row],[Date]],Supply_Data___Hourly_DriverActivity_1_csv__3[#All],6,FALSE)</f>
        <v>0.3</v>
      </c>
      <c r="N34">
        <f>VLOOKUP(Demand_Data___Hourly_OverviewSearch_1_csv[[#This Row],[Date]],Supply_Data___Hourly_DriverActivity_1_csv__3[#All],7,FALSE)</f>
        <v>0.67</v>
      </c>
      <c r="O34">
        <f>VLOOKUP(Demand_Data___Hourly_OverviewSearch_1_csv[[#This Row],[Date]],Supply_Data___Hourly_DriverActivity_1_csv__3[#All],8,FALSE)</f>
        <v>14</v>
      </c>
      <c r="P34">
        <f>(Demand_Data___Hourly_OverviewSearch_1_csv[[#This Row],[People saw 0 cars (unique)]]+Demand_Data___Hourly_OverviewSearch_1_csv[[#This Row],[People saw +1 cars (unique)]])</f>
        <v>53</v>
      </c>
      <c r="Q34" s="143">
        <f t="shared" si="3"/>
        <v>15</v>
      </c>
    </row>
    <row r="35" spans="1:17" x14ac:dyDescent="0.3">
      <c r="A35" t="s">
        <v>41</v>
      </c>
      <c r="B35" t="str">
        <f t="shared" si="0"/>
        <v xml:space="preserve"> 14</v>
      </c>
      <c r="C35">
        <f t="shared" si="1"/>
        <v>6</v>
      </c>
      <c r="D35" t="str">
        <f t="shared" si="2"/>
        <v xml:space="preserve">2016-12-17 </v>
      </c>
      <c r="E35" t="str">
        <f>TEXT(Demand_Data___Hourly_OverviewSearch_1_csv[[#This Row],[Day]],"dddd")</f>
        <v>Friday</v>
      </c>
      <c r="F35">
        <v>23</v>
      </c>
      <c r="G35">
        <v>51</v>
      </c>
      <c r="H35">
        <v>69</v>
      </c>
      <c r="I35">
        <f>VLOOKUP(Demand_Data___Hourly_OverviewSearch_1_csv[[#This Row],[Date]],Supply_Data___Hourly_DriverActivity_1_csv__3[#All],2,FALSE)</f>
        <v>49</v>
      </c>
      <c r="J35">
        <f>VLOOKUP(Demand_Data___Hourly_OverviewSearch_1_csv[[#This Row],[Date]],Supply_Data___Hourly_DriverActivity_1_csv__3[#All],3,FALSE)</f>
        <v>14</v>
      </c>
      <c r="K35">
        <f>VLOOKUP(Demand_Data___Hourly_OverviewSearch_1_csv[[#This Row],[Date]],Supply_Data___Hourly_DriverActivity_1_csv__3[#All],4,FALSE)</f>
        <v>7</v>
      </c>
      <c r="L35">
        <f>VLOOKUP(Demand_Data___Hourly_OverviewSearch_1_csv[[#This Row],[Date]],Supply_Data___Hourly_DriverActivity_1_csv__3[#All],5,FALSE)</f>
        <v>7</v>
      </c>
      <c r="M35">
        <f>VLOOKUP(Demand_Data___Hourly_OverviewSearch_1_csv[[#This Row],[Date]],Supply_Data___Hourly_DriverActivity_1_csv__3[#All],6,FALSE)</f>
        <v>0.3</v>
      </c>
      <c r="N35">
        <f>VLOOKUP(Demand_Data___Hourly_OverviewSearch_1_csv[[#This Row],[Date]],Supply_Data___Hourly_DriverActivity_1_csv__3[#All],7,FALSE)</f>
        <v>1.21</v>
      </c>
      <c r="O35">
        <f>VLOOKUP(Demand_Data___Hourly_OverviewSearch_1_csv[[#This Row],[Date]],Supply_Data___Hourly_DriverActivity_1_csv__3[#All],8,FALSE)</f>
        <v>17</v>
      </c>
      <c r="P35">
        <f>(Demand_Data___Hourly_OverviewSearch_1_csv[[#This Row],[People saw 0 cars (unique)]]+Demand_Data___Hourly_OverviewSearch_1_csv[[#This Row],[People saw +1 cars (unique)]])</f>
        <v>74</v>
      </c>
      <c r="Q35" s="143">
        <f t="shared" si="3"/>
        <v>7</v>
      </c>
    </row>
    <row r="36" spans="1:17" x14ac:dyDescent="0.3">
      <c r="A36" t="s">
        <v>42</v>
      </c>
      <c r="B36" t="str">
        <f t="shared" si="0"/>
        <v xml:space="preserve"> 13</v>
      </c>
      <c r="C36">
        <f t="shared" si="1"/>
        <v>6</v>
      </c>
      <c r="D36" t="str">
        <f t="shared" si="2"/>
        <v xml:space="preserve">2016-12-17 </v>
      </c>
      <c r="E36" t="str">
        <f>TEXT(Demand_Data___Hourly_OverviewSearch_1_csv[[#This Row],[Day]],"dddd")</f>
        <v>Friday</v>
      </c>
      <c r="F36">
        <v>16</v>
      </c>
      <c r="G36">
        <v>32</v>
      </c>
      <c r="H36">
        <v>67</v>
      </c>
      <c r="I36">
        <f>VLOOKUP(Demand_Data___Hourly_OverviewSearch_1_csv[[#This Row],[Date]],Supply_Data___Hourly_DriverActivity_1_csv__3[#All],2,FALSE)</f>
        <v>40</v>
      </c>
      <c r="J36">
        <f>VLOOKUP(Demand_Data___Hourly_OverviewSearch_1_csv[[#This Row],[Date]],Supply_Data___Hourly_DriverActivity_1_csv__3[#All],3,FALSE)</f>
        <v>13</v>
      </c>
      <c r="K36">
        <f>VLOOKUP(Demand_Data___Hourly_OverviewSearch_1_csv[[#This Row],[Date]],Supply_Data___Hourly_DriverActivity_1_csv__3[#All],4,FALSE)</f>
        <v>4</v>
      </c>
      <c r="L36">
        <f>VLOOKUP(Demand_Data___Hourly_OverviewSearch_1_csv[[#This Row],[Date]],Supply_Data___Hourly_DriverActivity_1_csv__3[#All],5,FALSE)</f>
        <v>9</v>
      </c>
      <c r="M36">
        <f>VLOOKUP(Demand_Data___Hourly_OverviewSearch_1_csv[[#This Row],[Date]],Supply_Data___Hourly_DriverActivity_1_csv__3[#All],6,FALSE)</f>
        <v>0.3</v>
      </c>
      <c r="N36">
        <f>VLOOKUP(Demand_Data___Hourly_OverviewSearch_1_csv[[#This Row],[Date]],Supply_Data___Hourly_DriverActivity_1_csv__3[#All],7,FALSE)</f>
        <v>0.69</v>
      </c>
      <c r="O36">
        <f>VLOOKUP(Demand_Data___Hourly_OverviewSearch_1_csv[[#This Row],[Date]],Supply_Data___Hourly_DriverActivity_1_csv__3[#All],8,FALSE)</f>
        <v>9</v>
      </c>
      <c r="P36">
        <f>(Demand_Data___Hourly_OverviewSearch_1_csv[[#This Row],[People saw 0 cars (unique)]]+Demand_Data___Hourly_OverviewSearch_1_csv[[#This Row],[People saw +1 cars (unique)]])</f>
        <v>48</v>
      </c>
      <c r="Q36" s="143">
        <f t="shared" si="3"/>
        <v>9</v>
      </c>
    </row>
    <row r="37" spans="1:17" x14ac:dyDescent="0.3">
      <c r="A37" t="s">
        <v>43</v>
      </c>
      <c r="B37" t="str">
        <f t="shared" si="0"/>
        <v xml:space="preserve"> 12</v>
      </c>
      <c r="C37">
        <f t="shared" si="1"/>
        <v>6</v>
      </c>
      <c r="D37" t="str">
        <f t="shared" si="2"/>
        <v xml:space="preserve">2016-12-17 </v>
      </c>
      <c r="E37" t="str">
        <f>TEXT(Demand_Data___Hourly_OverviewSearch_1_csv[[#This Row],[Day]],"dddd")</f>
        <v>Friday</v>
      </c>
      <c r="F37">
        <v>16</v>
      </c>
      <c r="G37">
        <v>42</v>
      </c>
      <c r="H37">
        <v>72</v>
      </c>
      <c r="I37">
        <f>VLOOKUP(Demand_Data___Hourly_OverviewSearch_1_csv[[#This Row],[Date]],Supply_Data___Hourly_DriverActivity_1_csv__3[#All],2,FALSE)</f>
        <v>41</v>
      </c>
      <c r="J37">
        <f>VLOOKUP(Demand_Data___Hourly_OverviewSearch_1_csv[[#This Row],[Date]],Supply_Data___Hourly_DriverActivity_1_csv__3[#All],3,FALSE)</f>
        <v>15</v>
      </c>
      <c r="K37">
        <f>VLOOKUP(Demand_Data___Hourly_OverviewSearch_1_csv[[#This Row],[Date]],Supply_Data___Hourly_DriverActivity_1_csv__3[#All],4,FALSE)</f>
        <v>3</v>
      </c>
      <c r="L37">
        <f>VLOOKUP(Demand_Data___Hourly_OverviewSearch_1_csv[[#This Row],[Date]],Supply_Data___Hourly_DriverActivity_1_csv__3[#All],5,FALSE)</f>
        <v>12</v>
      </c>
      <c r="M37">
        <f>VLOOKUP(Demand_Data___Hourly_OverviewSearch_1_csv[[#This Row],[Date]],Supply_Data___Hourly_DriverActivity_1_csv__3[#All],6,FALSE)</f>
        <v>0.4</v>
      </c>
      <c r="N37">
        <f>VLOOKUP(Demand_Data___Hourly_OverviewSearch_1_csv[[#This Row],[Date]],Supply_Data___Hourly_DriverActivity_1_csv__3[#All],7,FALSE)</f>
        <v>0.4</v>
      </c>
      <c r="O37">
        <f>VLOOKUP(Demand_Data___Hourly_OverviewSearch_1_csv[[#This Row],[Date]],Supply_Data___Hourly_DriverActivity_1_csv__3[#All],8,FALSE)</f>
        <v>6</v>
      </c>
      <c r="P37">
        <f>(Demand_Data___Hourly_OverviewSearch_1_csv[[#This Row],[People saw 0 cars (unique)]]+Demand_Data___Hourly_OverviewSearch_1_csv[[#This Row],[People saw +1 cars (unique)]])</f>
        <v>58</v>
      </c>
      <c r="Q37" s="143">
        <f t="shared" si="3"/>
        <v>12</v>
      </c>
    </row>
    <row r="38" spans="1:17" x14ac:dyDescent="0.3">
      <c r="A38" t="s">
        <v>44</v>
      </c>
      <c r="B38" t="str">
        <f t="shared" si="0"/>
        <v xml:space="preserve"> 11</v>
      </c>
      <c r="C38">
        <f t="shared" si="1"/>
        <v>6</v>
      </c>
      <c r="D38" t="str">
        <f t="shared" si="2"/>
        <v xml:space="preserve">2016-12-17 </v>
      </c>
      <c r="E38" t="str">
        <f>TEXT(Demand_Data___Hourly_OverviewSearch_1_csv[[#This Row],[Day]],"dddd")</f>
        <v>Friday</v>
      </c>
      <c r="F38">
        <v>30</v>
      </c>
      <c r="G38">
        <v>25</v>
      </c>
      <c r="H38">
        <v>45</v>
      </c>
      <c r="I38">
        <f>VLOOKUP(Demand_Data___Hourly_OverviewSearch_1_csv[[#This Row],[Date]],Supply_Data___Hourly_DriverActivity_1_csv__3[#All],2,FALSE)</f>
        <v>34</v>
      </c>
      <c r="J38">
        <f>VLOOKUP(Demand_Data___Hourly_OverviewSearch_1_csv[[#This Row],[Date]],Supply_Data___Hourly_DriverActivity_1_csv__3[#All],3,FALSE)</f>
        <v>12</v>
      </c>
      <c r="K38">
        <f>VLOOKUP(Demand_Data___Hourly_OverviewSearch_1_csv[[#This Row],[Date]],Supply_Data___Hourly_DriverActivity_1_csv__3[#All],4,FALSE)</f>
        <v>5</v>
      </c>
      <c r="L38">
        <f>VLOOKUP(Demand_Data___Hourly_OverviewSearch_1_csv[[#This Row],[Date]],Supply_Data___Hourly_DriverActivity_1_csv__3[#All],5,FALSE)</f>
        <v>7</v>
      </c>
      <c r="M38">
        <f>VLOOKUP(Demand_Data___Hourly_OverviewSearch_1_csv[[#This Row],[Date]],Supply_Data___Hourly_DriverActivity_1_csv__3[#All],6,FALSE)</f>
        <v>0.4</v>
      </c>
      <c r="N38">
        <f>VLOOKUP(Demand_Data___Hourly_OverviewSearch_1_csv[[#This Row],[Date]],Supply_Data___Hourly_DriverActivity_1_csv__3[#All],7,FALSE)</f>
        <v>1.08</v>
      </c>
      <c r="O38">
        <f>VLOOKUP(Demand_Data___Hourly_OverviewSearch_1_csv[[#This Row],[Date]],Supply_Data___Hourly_DriverActivity_1_csv__3[#All],8,FALSE)</f>
        <v>13</v>
      </c>
      <c r="P38">
        <f>(Demand_Data___Hourly_OverviewSearch_1_csv[[#This Row],[People saw 0 cars (unique)]]+Demand_Data___Hourly_OverviewSearch_1_csv[[#This Row],[People saw +1 cars (unique)]])</f>
        <v>55</v>
      </c>
      <c r="Q38" s="143">
        <f t="shared" si="3"/>
        <v>7</v>
      </c>
    </row>
    <row r="39" spans="1:17" x14ac:dyDescent="0.3">
      <c r="A39" t="s">
        <v>45</v>
      </c>
      <c r="B39" t="str">
        <f t="shared" si="0"/>
        <v xml:space="preserve"> 10</v>
      </c>
      <c r="C39">
        <f t="shared" si="1"/>
        <v>6</v>
      </c>
      <c r="D39" t="str">
        <f t="shared" si="2"/>
        <v xml:space="preserve">2016-12-17 </v>
      </c>
      <c r="E39" t="str">
        <f>TEXT(Demand_Data___Hourly_OverviewSearch_1_csv[[#This Row],[Day]],"dddd")</f>
        <v>Friday</v>
      </c>
      <c r="F39">
        <v>36</v>
      </c>
      <c r="G39">
        <v>18</v>
      </c>
      <c r="H39">
        <v>33</v>
      </c>
      <c r="I39">
        <f>VLOOKUP(Demand_Data___Hourly_OverviewSearch_1_csv[[#This Row],[Date]],Supply_Data___Hourly_DriverActivity_1_csv__3[#All],2,FALSE)</f>
        <v>28</v>
      </c>
      <c r="J39">
        <f>VLOOKUP(Demand_Data___Hourly_OverviewSearch_1_csv[[#This Row],[Date]],Supply_Data___Hourly_DriverActivity_1_csv__3[#All],3,FALSE)</f>
        <v>6</v>
      </c>
      <c r="K39">
        <f>VLOOKUP(Demand_Data___Hourly_OverviewSearch_1_csv[[#This Row],[Date]],Supply_Data___Hourly_DriverActivity_1_csv__3[#All],4,FALSE)</f>
        <v>2</v>
      </c>
      <c r="L39">
        <f>VLOOKUP(Demand_Data___Hourly_OverviewSearch_1_csv[[#This Row],[Date]],Supply_Data___Hourly_DriverActivity_1_csv__3[#All],5,FALSE)</f>
        <v>3</v>
      </c>
      <c r="M39">
        <f>VLOOKUP(Demand_Data___Hourly_OverviewSearch_1_csv[[#This Row],[Date]],Supply_Data___Hourly_DriverActivity_1_csv__3[#All],6,FALSE)</f>
        <v>0.2</v>
      </c>
      <c r="N39">
        <f>VLOOKUP(Demand_Data___Hourly_OverviewSearch_1_csv[[#This Row],[Date]],Supply_Data___Hourly_DriverActivity_1_csv__3[#All],7,FALSE)</f>
        <v>1</v>
      </c>
      <c r="O39">
        <f>VLOOKUP(Demand_Data___Hourly_OverviewSearch_1_csv[[#This Row],[Date]],Supply_Data___Hourly_DriverActivity_1_csv__3[#All],8,FALSE)</f>
        <v>6</v>
      </c>
      <c r="P39">
        <f>(Demand_Data___Hourly_OverviewSearch_1_csv[[#This Row],[People saw 0 cars (unique)]]+Demand_Data___Hourly_OverviewSearch_1_csv[[#This Row],[People saw +1 cars (unique)]])</f>
        <v>54</v>
      </c>
      <c r="Q39" s="143">
        <f t="shared" si="3"/>
        <v>4</v>
      </c>
    </row>
    <row r="40" spans="1:17" x14ac:dyDescent="0.3">
      <c r="A40" t="s">
        <v>46</v>
      </c>
      <c r="B40" t="str">
        <f t="shared" si="0"/>
        <v xml:space="preserve"> 09</v>
      </c>
      <c r="C40">
        <f t="shared" si="1"/>
        <v>6</v>
      </c>
      <c r="D40" t="str">
        <f t="shared" si="2"/>
        <v xml:space="preserve">2016-12-17 </v>
      </c>
      <c r="E40" t="str">
        <f>TEXT(Demand_Data___Hourly_OverviewSearch_1_csv[[#This Row],[Day]],"dddd")</f>
        <v>Friday</v>
      </c>
      <c r="F40">
        <v>37</v>
      </c>
      <c r="G40">
        <v>25</v>
      </c>
      <c r="H40">
        <v>40</v>
      </c>
      <c r="I40">
        <f>VLOOKUP(Demand_Data___Hourly_OverviewSearch_1_csv[[#This Row],[Date]],Supply_Data___Hourly_DriverActivity_1_csv__3[#All],2,FALSE)</f>
        <v>23</v>
      </c>
      <c r="J40">
        <f>VLOOKUP(Demand_Data___Hourly_OverviewSearch_1_csv[[#This Row],[Date]],Supply_Data___Hourly_DriverActivity_1_csv__3[#All],3,FALSE)</f>
        <v>7</v>
      </c>
      <c r="K40">
        <f>VLOOKUP(Demand_Data___Hourly_OverviewSearch_1_csv[[#This Row],[Date]],Supply_Data___Hourly_DriverActivity_1_csv__3[#All],4,FALSE)</f>
        <v>4</v>
      </c>
      <c r="L40">
        <f>VLOOKUP(Demand_Data___Hourly_OverviewSearch_1_csv[[#This Row],[Date]],Supply_Data___Hourly_DriverActivity_1_csv__3[#All],5,FALSE)</f>
        <v>2</v>
      </c>
      <c r="M40">
        <f>VLOOKUP(Demand_Data___Hourly_OverviewSearch_1_csv[[#This Row],[Date]],Supply_Data___Hourly_DriverActivity_1_csv__3[#All],6,FALSE)</f>
        <v>0.3</v>
      </c>
      <c r="N40">
        <f>VLOOKUP(Demand_Data___Hourly_OverviewSearch_1_csv[[#This Row],[Date]],Supply_Data___Hourly_DriverActivity_1_csv__3[#All],7,FALSE)</f>
        <v>1.1399999999999999</v>
      </c>
      <c r="O40">
        <f>VLOOKUP(Demand_Data___Hourly_OverviewSearch_1_csv[[#This Row],[Date]],Supply_Data___Hourly_DriverActivity_1_csv__3[#All],8,FALSE)</f>
        <v>8</v>
      </c>
      <c r="P40">
        <f>(Demand_Data___Hourly_OverviewSearch_1_csv[[#This Row],[People saw 0 cars (unique)]]+Demand_Data___Hourly_OverviewSearch_1_csv[[#This Row],[People saw +1 cars (unique)]])</f>
        <v>62</v>
      </c>
      <c r="Q40" s="143">
        <f t="shared" si="3"/>
        <v>3</v>
      </c>
    </row>
    <row r="41" spans="1:17" x14ac:dyDescent="0.3">
      <c r="A41" t="s">
        <v>47</v>
      </c>
      <c r="B41" t="str">
        <f t="shared" si="0"/>
        <v xml:space="preserve"> 08</v>
      </c>
      <c r="C41">
        <f t="shared" si="1"/>
        <v>6</v>
      </c>
      <c r="D41" t="str">
        <f t="shared" si="2"/>
        <v xml:space="preserve">2016-12-17 </v>
      </c>
      <c r="E41" t="str">
        <f>TEXT(Demand_Data___Hourly_OverviewSearch_1_csv[[#This Row],[Day]],"dddd")</f>
        <v>Friday</v>
      </c>
      <c r="F41">
        <v>17</v>
      </c>
      <c r="G41">
        <v>15</v>
      </c>
      <c r="H41">
        <v>47</v>
      </c>
      <c r="I41">
        <f>VLOOKUP(Demand_Data___Hourly_OverviewSearch_1_csv[[#This Row],[Date]],Supply_Data___Hourly_DriverActivity_1_csv__3[#All],2,FALSE)</f>
        <v>23</v>
      </c>
      <c r="J41">
        <f>VLOOKUP(Demand_Data___Hourly_OverviewSearch_1_csv[[#This Row],[Date]],Supply_Data___Hourly_DriverActivity_1_csv__3[#All],3,FALSE)</f>
        <v>6</v>
      </c>
      <c r="K41">
        <f>VLOOKUP(Demand_Data___Hourly_OverviewSearch_1_csv[[#This Row],[Date]],Supply_Data___Hourly_DriverActivity_1_csv__3[#All],4,FALSE)</f>
        <v>1</v>
      </c>
      <c r="L41">
        <f>VLOOKUP(Demand_Data___Hourly_OverviewSearch_1_csv[[#This Row],[Date]],Supply_Data___Hourly_DriverActivity_1_csv__3[#All],5,FALSE)</f>
        <v>4</v>
      </c>
      <c r="M41">
        <f>VLOOKUP(Demand_Data___Hourly_OverviewSearch_1_csv[[#This Row],[Date]],Supply_Data___Hourly_DriverActivity_1_csv__3[#All],6,FALSE)</f>
        <v>0.3</v>
      </c>
      <c r="N41">
        <f>VLOOKUP(Demand_Data___Hourly_OverviewSearch_1_csv[[#This Row],[Date]],Supply_Data___Hourly_DriverActivity_1_csv__3[#All],7,FALSE)</f>
        <v>0.67</v>
      </c>
      <c r="O41">
        <f>VLOOKUP(Demand_Data___Hourly_OverviewSearch_1_csv[[#This Row],[Date]],Supply_Data___Hourly_DriverActivity_1_csv__3[#All],8,FALSE)</f>
        <v>4</v>
      </c>
      <c r="P41">
        <f>(Demand_Data___Hourly_OverviewSearch_1_csv[[#This Row],[People saw 0 cars (unique)]]+Demand_Data___Hourly_OverviewSearch_1_csv[[#This Row],[People saw +1 cars (unique)]])</f>
        <v>32</v>
      </c>
      <c r="Q41" s="143">
        <f t="shared" si="3"/>
        <v>5</v>
      </c>
    </row>
    <row r="42" spans="1:17" x14ac:dyDescent="0.3">
      <c r="A42" t="s">
        <v>48</v>
      </c>
      <c r="B42" t="str">
        <f t="shared" si="0"/>
        <v xml:space="preserve"> 07</v>
      </c>
      <c r="C42">
        <f t="shared" si="1"/>
        <v>6</v>
      </c>
      <c r="D42" t="str">
        <f t="shared" si="2"/>
        <v xml:space="preserve">2016-12-17 </v>
      </c>
      <c r="E42" t="str">
        <f>TEXT(Demand_Data___Hourly_OverviewSearch_1_csv[[#This Row],[Day]],"dddd")</f>
        <v>Friday</v>
      </c>
      <c r="F42">
        <v>8</v>
      </c>
      <c r="G42">
        <v>11</v>
      </c>
      <c r="H42">
        <v>58</v>
      </c>
      <c r="I42">
        <f>VLOOKUP(Demand_Data___Hourly_OverviewSearch_1_csv[[#This Row],[Date]],Supply_Data___Hourly_DriverActivity_1_csv__3[#All],2,FALSE)</f>
        <v>20</v>
      </c>
      <c r="J42">
        <f>VLOOKUP(Demand_Data___Hourly_OverviewSearch_1_csv[[#This Row],[Date]],Supply_Data___Hourly_DriverActivity_1_csv__3[#All],3,FALSE)</f>
        <v>7</v>
      </c>
      <c r="K42">
        <f>VLOOKUP(Demand_Data___Hourly_OverviewSearch_1_csv[[#This Row],[Date]],Supply_Data___Hourly_DriverActivity_1_csv__3[#All],4,FALSE)</f>
        <v>2</v>
      </c>
      <c r="L42">
        <f>VLOOKUP(Demand_Data___Hourly_OverviewSearch_1_csv[[#This Row],[Date]],Supply_Data___Hourly_DriverActivity_1_csv__3[#All],5,FALSE)</f>
        <v>6</v>
      </c>
      <c r="M42">
        <f>VLOOKUP(Demand_Data___Hourly_OverviewSearch_1_csv[[#This Row],[Date]],Supply_Data___Hourly_DriverActivity_1_csv__3[#All],6,FALSE)</f>
        <v>0.3</v>
      </c>
      <c r="N42">
        <f>VLOOKUP(Demand_Data___Hourly_OverviewSearch_1_csv[[#This Row],[Date]],Supply_Data___Hourly_DriverActivity_1_csv__3[#All],7,FALSE)</f>
        <v>0.71</v>
      </c>
      <c r="O42">
        <f>VLOOKUP(Demand_Data___Hourly_OverviewSearch_1_csv[[#This Row],[Date]],Supply_Data___Hourly_DriverActivity_1_csv__3[#All],8,FALSE)</f>
        <v>5</v>
      </c>
      <c r="P42">
        <f>(Demand_Data___Hourly_OverviewSearch_1_csv[[#This Row],[People saw 0 cars (unique)]]+Demand_Data___Hourly_OverviewSearch_1_csv[[#This Row],[People saw +1 cars (unique)]])</f>
        <v>19</v>
      </c>
      <c r="Q42" s="143">
        <f t="shared" si="3"/>
        <v>5</v>
      </c>
    </row>
    <row r="43" spans="1:17" x14ac:dyDescent="0.3">
      <c r="A43" t="s">
        <v>49</v>
      </c>
      <c r="B43" t="str">
        <f t="shared" si="0"/>
        <v xml:space="preserve"> 06</v>
      </c>
      <c r="C43">
        <f t="shared" si="1"/>
        <v>6</v>
      </c>
      <c r="D43" t="str">
        <f t="shared" si="2"/>
        <v xml:space="preserve">2016-12-17 </v>
      </c>
      <c r="E43" t="str">
        <f>TEXT(Demand_Data___Hourly_OverviewSearch_1_csv[[#This Row],[Day]],"dddd")</f>
        <v>Friday</v>
      </c>
      <c r="F43">
        <v>10</v>
      </c>
      <c r="G43">
        <v>9</v>
      </c>
      <c r="H43">
        <v>47</v>
      </c>
      <c r="I43">
        <f>VLOOKUP(Demand_Data___Hourly_OverviewSearch_1_csv[[#This Row],[Date]],Supply_Data___Hourly_DriverActivity_1_csv__3[#All],2,FALSE)</f>
        <v>36</v>
      </c>
      <c r="J43">
        <f>VLOOKUP(Demand_Data___Hourly_OverviewSearch_1_csv[[#This Row],[Date]],Supply_Data___Hourly_DriverActivity_1_csv__3[#All],3,FALSE)</f>
        <v>7</v>
      </c>
      <c r="K43">
        <f>VLOOKUP(Demand_Data___Hourly_OverviewSearch_1_csv[[#This Row],[Date]],Supply_Data___Hourly_DriverActivity_1_csv__3[#All],4,FALSE)</f>
        <v>3</v>
      </c>
      <c r="L43">
        <f>VLOOKUP(Demand_Data___Hourly_OverviewSearch_1_csv[[#This Row],[Date]],Supply_Data___Hourly_DriverActivity_1_csv__3[#All],5,FALSE)</f>
        <v>4</v>
      </c>
      <c r="M43">
        <f>VLOOKUP(Demand_Data___Hourly_OverviewSearch_1_csv[[#This Row],[Date]],Supply_Data___Hourly_DriverActivity_1_csv__3[#All],6,FALSE)</f>
        <v>0.2</v>
      </c>
      <c r="N43">
        <f>VLOOKUP(Demand_Data___Hourly_OverviewSearch_1_csv[[#This Row],[Date]],Supply_Data___Hourly_DriverActivity_1_csv__3[#All],7,FALSE)</f>
        <v>0.43</v>
      </c>
      <c r="O43">
        <f>VLOOKUP(Demand_Data___Hourly_OverviewSearch_1_csv[[#This Row],[Date]],Supply_Data___Hourly_DriverActivity_1_csv__3[#All],8,FALSE)</f>
        <v>3</v>
      </c>
      <c r="P43">
        <f>(Demand_Data___Hourly_OverviewSearch_1_csv[[#This Row],[People saw 0 cars (unique)]]+Demand_Data___Hourly_OverviewSearch_1_csv[[#This Row],[People saw +1 cars (unique)]])</f>
        <v>19</v>
      </c>
      <c r="Q43" s="143">
        <f t="shared" si="3"/>
        <v>4</v>
      </c>
    </row>
    <row r="44" spans="1:17" x14ac:dyDescent="0.3">
      <c r="A44" t="s">
        <v>50</v>
      </c>
      <c r="B44" t="str">
        <f t="shared" si="0"/>
        <v xml:space="preserve"> 05</v>
      </c>
      <c r="C44">
        <f t="shared" si="1"/>
        <v>6</v>
      </c>
      <c r="D44" t="str">
        <f t="shared" si="2"/>
        <v xml:space="preserve">2016-12-17 </v>
      </c>
      <c r="E44" t="str">
        <f>TEXT(Demand_Data___Hourly_OverviewSearch_1_csv[[#This Row],[Day]],"dddd")</f>
        <v>Friday</v>
      </c>
      <c r="F44">
        <v>12</v>
      </c>
      <c r="G44">
        <v>25</v>
      </c>
      <c r="H44">
        <v>68</v>
      </c>
      <c r="I44">
        <f>VLOOKUP(Demand_Data___Hourly_OverviewSearch_1_csv[[#This Row],[Date]],Supply_Data___Hourly_DriverActivity_1_csv__3[#All],2,FALSE)</f>
        <v>51</v>
      </c>
      <c r="J44">
        <f>VLOOKUP(Demand_Data___Hourly_OverviewSearch_1_csv[[#This Row],[Date]],Supply_Data___Hourly_DriverActivity_1_csv__3[#All],3,FALSE)</f>
        <v>11</v>
      </c>
      <c r="K44">
        <f>VLOOKUP(Demand_Data___Hourly_OverviewSearch_1_csv[[#This Row],[Date]],Supply_Data___Hourly_DriverActivity_1_csv__3[#All],4,FALSE)</f>
        <v>6</v>
      </c>
      <c r="L44">
        <f>VLOOKUP(Demand_Data___Hourly_OverviewSearch_1_csv[[#This Row],[Date]],Supply_Data___Hourly_DriverActivity_1_csv__3[#All],5,FALSE)</f>
        <v>5</v>
      </c>
      <c r="M44">
        <f>VLOOKUP(Demand_Data___Hourly_OverviewSearch_1_csv[[#This Row],[Date]],Supply_Data___Hourly_DriverActivity_1_csv__3[#All],6,FALSE)</f>
        <v>0.2</v>
      </c>
      <c r="N44">
        <f>VLOOKUP(Demand_Data___Hourly_OverviewSearch_1_csv[[#This Row],[Date]],Supply_Data___Hourly_DriverActivity_1_csv__3[#All],7,FALSE)</f>
        <v>0.91</v>
      </c>
      <c r="O44">
        <f>VLOOKUP(Demand_Data___Hourly_OverviewSearch_1_csv[[#This Row],[Date]],Supply_Data___Hourly_DriverActivity_1_csv__3[#All],8,FALSE)</f>
        <v>10</v>
      </c>
      <c r="P44">
        <f>(Demand_Data___Hourly_OverviewSearch_1_csv[[#This Row],[People saw 0 cars (unique)]]+Demand_Data___Hourly_OverviewSearch_1_csv[[#This Row],[People saw +1 cars (unique)]])</f>
        <v>37</v>
      </c>
      <c r="Q44" s="143">
        <f t="shared" si="3"/>
        <v>5</v>
      </c>
    </row>
    <row r="45" spans="1:17" x14ac:dyDescent="0.3">
      <c r="A45" t="s">
        <v>51</v>
      </c>
      <c r="B45" t="str">
        <f t="shared" si="0"/>
        <v xml:space="preserve"> 04</v>
      </c>
      <c r="C45">
        <f t="shared" si="1"/>
        <v>6</v>
      </c>
      <c r="D45" t="str">
        <f t="shared" si="2"/>
        <v xml:space="preserve">2016-12-17 </v>
      </c>
      <c r="E45" t="str">
        <f>TEXT(Demand_Data___Hourly_OverviewSearch_1_csv[[#This Row],[Day]],"dddd")</f>
        <v>Friday</v>
      </c>
      <c r="F45">
        <v>106</v>
      </c>
      <c r="G45">
        <v>54</v>
      </c>
      <c r="H45">
        <v>34</v>
      </c>
      <c r="I45">
        <f>VLOOKUP(Demand_Data___Hourly_OverviewSearch_1_csv[[#This Row],[Date]],Supply_Data___Hourly_DriverActivity_1_csv__3[#All],2,FALSE)</f>
        <v>46</v>
      </c>
      <c r="J45">
        <f>VLOOKUP(Demand_Data___Hourly_OverviewSearch_1_csv[[#This Row],[Date]],Supply_Data___Hourly_DriverActivity_1_csv__3[#All],3,FALSE)</f>
        <v>14</v>
      </c>
      <c r="K45">
        <f>VLOOKUP(Demand_Data___Hourly_OverviewSearch_1_csv[[#This Row],[Date]],Supply_Data___Hourly_DriverActivity_1_csv__3[#All],4,FALSE)</f>
        <v>11</v>
      </c>
      <c r="L45">
        <f>VLOOKUP(Demand_Data___Hourly_OverviewSearch_1_csv[[#This Row],[Date]],Supply_Data___Hourly_DriverActivity_1_csv__3[#All],5,FALSE)</f>
        <v>3</v>
      </c>
      <c r="M45">
        <f>VLOOKUP(Demand_Data___Hourly_OverviewSearch_1_csv[[#This Row],[Date]],Supply_Data___Hourly_DriverActivity_1_csv__3[#All],6,FALSE)</f>
        <v>0.3</v>
      </c>
      <c r="N45">
        <f>VLOOKUP(Demand_Data___Hourly_OverviewSearch_1_csv[[#This Row],[Date]],Supply_Data___Hourly_DriverActivity_1_csv__3[#All],7,FALSE)</f>
        <v>1.86</v>
      </c>
      <c r="O45">
        <f>VLOOKUP(Demand_Data___Hourly_OverviewSearch_1_csv[[#This Row],[Date]],Supply_Data___Hourly_DriverActivity_1_csv__3[#All],8,FALSE)</f>
        <v>26</v>
      </c>
      <c r="P45">
        <f>(Demand_Data___Hourly_OverviewSearch_1_csv[[#This Row],[People saw 0 cars (unique)]]+Demand_Data___Hourly_OverviewSearch_1_csv[[#This Row],[People saw +1 cars (unique)]])</f>
        <v>160</v>
      </c>
      <c r="Q45" s="143">
        <f t="shared" si="3"/>
        <v>3</v>
      </c>
    </row>
    <row r="46" spans="1:17" x14ac:dyDescent="0.3">
      <c r="A46" t="s">
        <v>52</v>
      </c>
      <c r="B46" t="str">
        <f t="shared" si="0"/>
        <v xml:space="preserve"> 03</v>
      </c>
      <c r="C46">
        <f t="shared" si="1"/>
        <v>6</v>
      </c>
      <c r="D46" t="str">
        <f t="shared" si="2"/>
        <v xml:space="preserve">2016-12-17 </v>
      </c>
      <c r="E46" t="str">
        <f>TEXT(Demand_Data___Hourly_OverviewSearch_1_csv[[#This Row],[Day]],"dddd")</f>
        <v>Friday</v>
      </c>
      <c r="F46">
        <v>105</v>
      </c>
      <c r="G46">
        <v>87</v>
      </c>
      <c r="H46">
        <v>45</v>
      </c>
      <c r="I46">
        <f>VLOOKUP(Demand_Data___Hourly_OverviewSearch_1_csv[[#This Row],[Date]],Supply_Data___Hourly_DriverActivity_1_csv__3[#All],2,FALSE)</f>
        <v>64</v>
      </c>
      <c r="J46">
        <f>VLOOKUP(Demand_Data___Hourly_OverviewSearch_1_csv[[#This Row],[Date]],Supply_Data___Hourly_DriverActivity_1_csv__3[#All],3,FALSE)</f>
        <v>21</v>
      </c>
      <c r="K46">
        <f>VLOOKUP(Demand_Data___Hourly_OverviewSearch_1_csv[[#This Row],[Date]],Supply_Data___Hourly_DriverActivity_1_csv__3[#All],4,FALSE)</f>
        <v>16</v>
      </c>
      <c r="L46">
        <f>VLOOKUP(Demand_Data___Hourly_OverviewSearch_1_csv[[#This Row],[Date]],Supply_Data___Hourly_DriverActivity_1_csv__3[#All],5,FALSE)</f>
        <v>5</v>
      </c>
      <c r="M46">
        <f>VLOOKUP(Demand_Data___Hourly_OverviewSearch_1_csv[[#This Row],[Date]],Supply_Data___Hourly_DriverActivity_1_csv__3[#All],6,FALSE)</f>
        <v>0.3</v>
      </c>
      <c r="N46">
        <f>VLOOKUP(Demand_Data___Hourly_OverviewSearch_1_csv[[#This Row],[Date]],Supply_Data___Hourly_DriverActivity_1_csv__3[#All],7,FALSE)</f>
        <v>1.76</v>
      </c>
      <c r="O46">
        <f>VLOOKUP(Demand_Data___Hourly_OverviewSearch_1_csv[[#This Row],[Date]],Supply_Data___Hourly_DriverActivity_1_csv__3[#All],8,FALSE)</f>
        <v>37</v>
      </c>
      <c r="P46">
        <f>(Demand_Data___Hourly_OverviewSearch_1_csv[[#This Row],[People saw 0 cars (unique)]]+Demand_Data___Hourly_OverviewSearch_1_csv[[#This Row],[People saw +1 cars (unique)]])</f>
        <v>192</v>
      </c>
      <c r="Q46" s="143">
        <f t="shared" si="3"/>
        <v>5</v>
      </c>
    </row>
    <row r="47" spans="1:17" x14ac:dyDescent="0.3">
      <c r="A47" t="s">
        <v>53</v>
      </c>
      <c r="B47" t="str">
        <f t="shared" si="0"/>
        <v xml:space="preserve"> 02</v>
      </c>
      <c r="C47">
        <f t="shared" si="1"/>
        <v>6</v>
      </c>
      <c r="D47" t="str">
        <f t="shared" si="2"/>
        <v xml:space="preserve">2016-12-17 </v>
      </c>
      <c r="E47" t="str">
        <f>TEXT(Demand_Data___Hourly_OverviewSearch_1_csv[[#This Row],[Day]],"dddd")</f>
        <v>Friday</v>
      </c>
      <c r="F47">
        <v>67</v>
      </c>
      <c r="G47">
        <v>102</v>
      </c>
      <c r="H47">
        <v>60</v>
      </c>
      <c r="I47">
        <f>VLOOKUP(Demand_Data___Hourly_OverviewSearch_1_csv[[#This Row],[Date]],Supply_Data___Hourly_DriverActivity_1_csv__3[#All],2,FALSE)</f>
        <v>74</v>
      </c>
      <c r="J47">
        <f>VLOOKUP(Demand_Data___Hourly_OverviewSearch_1_csv[[#This Row],[Date]],Supply_Data___Hourly_DriverActivity_1_csv__3[#All],3,FALSE)</f>
        <v>27</v>
      </c>
      <c r="K47">
        <f>VLOOKUP(Demand_Data___Hourly_OverviewSearch_1_csv[[#This Row],[Date]],Supply_Data___Hourly_DriverActivity_1_csv__3[#All],4,FALSE)</f>
        <v>19</v>
      </c>
      <c r="L47">
        <f>VLOOKUP(Demand_Data___Hourly_OverviewSearch_1_csv[[#This Row],[Date]],Supply_Data___Hourly_DriverActivity_1_csv__3[#All],5,FALSE)</f>
        <v>8</v>
      </c>
      <c r="M47">
        <f>VLOOKUP(Demand_Data___Hourly_OverviewSearch_1_csv[[#This Row],[Date]],Supply_Data___Hourly_DriverActivity_1_csv__3[#All],6,FALSE)</f>
        <v>0.4</v>
      </c>
      <c r="N47">
        <f>VLOOKUP(Demand_Data___Hourly_OverviewSearch_1_csv[[#This Row],[Date]],Supply_Data___Hourly_DriverActivity_1_csv__3[#All],7,FALSE)</f>
        <v>1.52</v>
      </c>
      <c r="O47">
        <f>VLOOKUP(Demand_Data___Hourly_OverviewSearch_1_csv[[#This Row],[Date]],Supply_Data___Hourly_DriverActivity_1_csv__3[#All],8,FALSE)</f>
        <v>41</v>
      </c>
      <c r="P47">
        <f>(Demand_Data___Hourly_OverviewSearch_1_csv[[#This Row],[People saw 0 cars (unique)]]+Demand_Data___Hourly_OverviewSearch_1_csv[[#This Row],[People saw +1 cars (unique)]])</f>
        <v>169</v>
      </c>
      <c r="Q47" s="143">
        <f t="shared" si="3"/>
        <v>8</v>
      </c>
    </row>
    <row r="48" spans="1:17" x14ac:dyDescent="0.3">
      <c r="A48" t="s">
        <v>54</v>
      </c>
      <c r="B48" t="str">
        <f t="shared" si="0"/>
        <v xml:space="preserve"> 01</v>
      </c>
      <c r="C48">
        <f t="shared" si="1"/>
        <v>6</v>
      </c>
      <c r="D48" t="str">
        <f t="shared" si="2"/>
        <v xml:space="preserve">2016-12-17 </v>
      </c>
      <c r="E48" t="str">
        <f>TEXT(Demand_Data___Hourly_OverviewSearch_1_csv[[#This Row],[Day]],"dddd")</f>
        <v>Friday</v>
      </c>
      <c r="F48">
        <v>69</v>
      </c>
      <c r="G48">
        <v>96</v>
      </c>
      <c r="H48">
        <v>58</v>
      </c>
      <c r="I48">
        <f>VLOOKUP(Demand_Data___Hourly_OverviewSearch_1_csv[[#This Row],[Date]],Supply_Data___Hourly_DriverActivity_1_csv__3[#All],2,FALSE)</f>
        <v>83</v>
      </c>
      <c r="J48">
        <f>VLOOKUP(Demand_Data___Hourly_OverviewSearch_1_csv[[#This Row],[Date]],Supply_Data___Hourly_DriverActivity_1_csv__3[#All],3,FALSE)</f>
        <v>29</v>
      </c>
      <c r="K48">
        <f>VLOOKUP(Demand_Data___Hourly_OverviewSearch_1_csv[[#This Row],[Date]],Supply_Data___Hourly_DriverActivity_1_csv__3[#All],4,FALSE)</f>
        <v>20</v>
      </c>
      <c r="L48">
        <f>VLOOKUP(Demand_Data___Hourly_OverviewSearch_1_csv[[#This Row],[Date]],Supply_Data___Hourly_DriverActivity_1_csv__3[#All],5,FALSE)</f>
        <v>9</v>
      </c>
      <c r="M48">
        <f>VLOOKUP(Demand_Data___Hourly_OverviewSearch_1_csv[[#This Row],[Date]],Supply_Data___Hourly_DriverActivity_1_csv__3[#All],6,FALSE)</f>
        <v>0.3</v>
      </c>
      <c r="N48">
        <f>VLOOKUP(Demand_Data___Hourly_OverviewSearch_1_csv[[#This Row],[Date]],Supply_Data___Hourly_DriverActivity_1_csv__3[#All],7,FALSE)</f>
        <v>2.0299999999999998</v>
      </c>
      <c r="O48">
        <f>VLOOKUP(Demand_Data___Hourly_OverviewSearch_1_csv[[#This Row],[Date]],Supply_Data___Hourly_DriverActivity_1_csv__3[#All],8,FALSE)</f>
        <v>59</v>
      </c>
      <c r="P48">
        <f>(Demand_Data___Hourly_OverviewSearch_1_csv[[#This Row],[People saw 0 cars (unique)]]+Demand_Data___Hourly_OverviewSearch_1_csv[[#This Row],[People saw +1 cars (unique)]])</f>
        <v>165</v>
      </c>
      <c r="Q48" s="143">
        <f t="shared" si="3"/>
        <v>9</v>
      </c>
    </row>
    <row r="49" spans="1:17" x14ac:dyDescent="0.3">
      <c r="A49" t="s">
        <v>55</v>
      </c>
      <c r="B49" t="str">
        <f t="shared" si="0"/>
        <v xml:space="preserve"> 00</v>
      </c>
      <c r="C49">
        <f t="shared" si="1"/>
        <v>6</v>
      </c>
      <c r="D49" t="str">
        <f t="shared" si="2"/>
        <v xml:space="preserve">2016-12-17 </v>
      </c>
      <c r="E49" t="str">
        <f>TEXT(Demand_Data___Hourly_OverviewSearch_1_csv[[#This Row],[Day]],"dddd")</f>
        <v>Friday</v>
      </c>
      <c r="F49">
        <v>51</v>
      </c>
      <c r="G49">
        <v>115</v>
      </c>
      <c r="H49">
        <v>69</v>
      </c>
      <c r="I49">
        <f>VLOOKUP(Demand_Data___Hourly_OverviewSearch_1_csv[[#This Row],[Date]],Supply_Data___Hourly_DriverActivity_1_csv__3[#All],2,FALSE)</f>
        <v>95</v>
      </c>
      <c r="J49">
        <f>VLOOKUP(Demand_Data___Hourly_OverviewSearch_1_csv[[#This Row],[Date]],Supply_Data___Hourly_DriverActivity_1_csv__3[#All],3,FALSE)</f>
        <v>34</v>
      </c>
      <c r="K49">
        <f>VLOOKUP(Demand_Data___Hourly_OverviewSearch_1_csv[[#This Row],[Date]],Supply_Data___Hourly_DriverActivity_1_csv__3[#All],4,FALSE)</f>
        <v>22</v>
      </c>
      <c r="L49">
        <f>VLOOKUP(Demand_Data___Hourly_OverviewSearch_1_csv[[#This Row],[Date]],Supply_Data___Hourly_DriverActivity_1_csv__3[#All],5,FALSE)</f>
        <v>12</v>
      </c>
      <c r="M49">
        <f>VLOOKUP(Demand_Data___Hourly_OverviewSearch_1_csv[[#This Row],[Date]],Supply_Data___Hourly_DriverActivity_1_csv__3[#All],6,FALSE)</f>
        <v>0.4</v>
      </c>
      <c r="N49">
        <f>VLOOKUP(Demand_Data___Hourly_OverviewSearch_1_csv[[#This Row],[Date]],Supply_Data___Hourly_DriverActivity_1_csv__3[#All],7,FALSE)</f>
        <v>1.38</v>
      </c>
      <c r="O49">
        <f>VLOOKUP(Demand_Data___Hourly_OverviewSearch_1_csv[[#This Row],[Date]],Supply_Data___Hourly_DriverActivity_1_csv__3[#All],8,FALSE)</f>
        <v>47</v>
      </c>
      <c r="P49">
        <f>(Demand_Data___Hourly_OverviewSearch_1_csv[[#This Row],[People saw 0 cars (unique)]]+Demand_Data___Hourly_OverviewSearch_1_csv[[#This Row],[People saw +1 cars (unique)]])</f>
        <v>166</v>
      </c>
      <c r="Q49" s="143">
        <f t="shared" si="3"/>
        <v>12</v>
      </c>
    </row>
    <row r="50" spans="1:17" x14ac:dyDescent="0.3">
      <c r="A50" t="s">
        <v>56</v>
      </c>
      <c r="B50" t="str">
        <f t="shared" si="0"/>
        <v xml:space="preserve"> 23</v>
      </c>
      <c r="C50">
        <f t="shared" si="1"/>
        <v>5</v>
      </c>
      <c r="D50" t="str">
        <f t="shared" si="2"/>
        <v xml:space="preserve">2016-12-16 </v>
      </c>
      <c r="E50" t="str">
        <f>TEXT(Demand_Data___Hourly_OverviewSearch_1_csv[[#This Row],[Day]],"dddd")</f>
        <v>Thursday</v>
      </c>
      <c r="F50">
        <v>5</v>
      </c>
      <c r="G50">
        <v>107</v>
      </c>
      <c r="H50">
        <v>96</v>
      </c>
      <c r="I50">
        <f>VLOOKUP(Demand_Data___Hourly_OverviewSearch_1_csv[[#This Row],[Date]],Supply_Data___Hourly_DriverActivity_1_csv__3[#All],2,FALSE)</f>
        <v>119</v>
      </c>
      <c r="J50">
        <f>VLOOKUP(Demand_Data___Hourly_OverviewSearch_1_csv[[#This Row],[Date]],Supply_Data___Hourly_DriverActivity_1_csv__3[#All],3,FALSE)</f>
        <v>43</v>
      </c>
      <c r="K50">
        <f>VLOOKUP(Demand_Data___Hourly_OverviewSearch_1_csv[[#This Row],[Date]],Supply_Data___Hourly_DriverActivity_1_csv__3[#All],4,FALSE)</f>
        <v>17</v>
      </c>
      <c r="L50">
        <f>VLOOKUP(Demand_Data___Hourly_OverviewSearch_1_csv[[#This Row],[Date]],Supply_Data___Hourly_DriverActivity_1_csv__3[#All],5,FALSE)</f>
        <v>26</v>
      </c>
      <c r="M50">
        <f>VLOOKUP(Demand_Data___Hourly_OverviewSearch_1_csv[[#This Row],[Date]],Supply_Data___Hourly_DriverActivity_1_csv__3[#All],6,FALSE)</f>
        <v>0.4</v>
      </c>
      <c r="N50">
        <f>VLOOKUP(Demand_Data___Hourly_OverviewSearch_1_csv[[#This Row],[Date]],Supply_Data___Hourly_DriverActivity_1_csv__3[#All],7,FALSE)</f>
        <v>1.1399999999999999</v>
      </c>
      <c r="O50">
        <f>VLOOKUP(Demand_Data___Hourly_OverviewSearch_1_csv[[#This Row],[Date]],Supply_Data___Hourly_DriverActivity_1_csv__3[#All],8,FALSE)</f>
        <v>49</v>
      </c>
      <c r="P50">
        <f>(Demand_Data___Hourly_OverviewSearch_1_csv[[#This Row],[People saw 0 cars (unique)]]+Demand_Data___Hourly_OverviewSearch_1_csv[[#This Row],[People saw +1 cars (unique)]])</f>
        <v>112</v>
      </c>
      <c r="Q50" s="143">
        <f t="shared" si="3"/>
        <v>26</v>
      </c>
    </row>
    <row r="51" spans="1:17" x14ac:dyDescent="0.3">
      <c r="A51" t="s">
        <v>57</v>
      </c>
      <c r="B51" t="str">
        <f t="shared" si="0"/>
        <v xml:space="preserve"> 22</v>
      </c>
      <c r="C51">
        <f t="shared" si="1"/>
        <v>5</v>
      </c>
      <c r="D51" t="str">
        <f t="shared" si="2"/>
        <v xml:space="preserve">2016-12-16 </v>
      </c>
      <c r="E51" t="str">
        <f>TEXT(Demand_Data___Hourly_OverviewSearch_1_csv[[#This Row],[Day]],"dddd")</f>
        <v>Thursday</v>
      </c>
      <c r="F51">
        <v>21</v>
      </c>
      <c r="G51">
        <v>107</v>
      </c>
      <c r="H51">
        <v>84</v>
      </c>
      <c r="I51">
        <f>VLOOKUP(Demand_Data___Hourly_OverviewSearch_1_csv[[#This Row],[Date]],Supply_Data___Hourly_DriverActivity_1_csv__3[#All],2,FALSE)</f>
        <v>129</v>
      </c>
      <c r="J51">
        <f>VLOOKUP(Demand_Data___Hourly_OverviewSearch_1_csv[[#This Row],[Date]],Supply_Data___Hourly_DriverActivity_1_csv__3[#All],3,FALSE)</f>
        <v>47</v>
      </c>
      <c r="K51">
        <f>VLOOKUP(Demand_Data___Hourly_OverviewSearch_1_csv[[#This Row],[Date]],Supply_Data___Hourly_DriverActivity_1_csv__3[#All],4,FALSE)</f>
        <v>17</v>
      </c>
      <c r="L51">
        <f>VLOOKUP(Demand_Data___Hourly_OverviewSearch_1_csv[[#This Row],[Date]],Supply_Data___Hourly_DriverActivity_1_csv__3[#All],5,FALSE)</f>
        <v>30</v>
      </c>
      <c r="M51">
        <f>VLOOKUP(Demand_Data___Hourly_OverviewSearch_1_csv[[#This Row],[Date]],Supply_Data___Hourly_DriverActivity_1_csv__3[#All],6,FALSE)</f>
        <v>0.4</v>
      </c>
      <c r="N51">
        <f>VLOOKUP(Demand_Data___Hourly_OverviewSearch_1_csv[[#This Row],[Date]],Supply_Data___Hourly_DriverActivity_1_csv__3[#All],7,FALSE)</f>
        <v>0.98</v>
      </c>
      <c r="O51">
        <f>VLOOKUP(Demand_Data___Hourly_OverviewSearch_1_csv[[#This Row],[Date]],Supply_Data___Hourly_DriverActivity_1_csv__3[#All],8,FALSE)</f>
        <v>46</v>
      </c>
      <c r="P51">
        <f>(Demand_Data___Hourly_OverviewSearch_1_csv[[#This Row],[People saw 0 cars (unique)]]+Demand_Data___Hourly_OverviewSearch_1_csv[[#This Row],[People saw +1 cars (unique)]])</f>
        <v>128</v>
      </c>
      <c r="Q51" s="143">
        <f t="shared" si="3"/>
        <v>30</v>
      </c>
    </row>
    <row r="52" spans="1:17" x14ac:dyDescent="0.3">
      <c r="A52" t="s">
        <v>58</v>
      </c>
      <c r="B52" t="str">
        <f t="shared" si="0"/>
        <v xml:space="preserve"> 21</v>
      </c>
      <c r="C52">
        <f t="shared" si="1"/>
        <v>5</v>
      </c>
      <c r="D52" t="str">
        <f t="shared" si="2"/>
        <v xml:space="preserve">2016-12-16 </v>
      </c>
      <c r="E52" t="str">
        <f>TEXT(Demand_Data___Hourly_OverviewSearch_1_csv[[#This Row],[Day]],"dddd")</f>
        <v>Thursday</v>
      </c>
      <c r="F52">
        <v>39</v>
      </c>
      <c r="G52">
        <v>153</v>
      </c>
      <c r="H52">
        <v>80</v>
      </c>
      <c r="I52">
        <f>VLOOKUP(Demand_Data___Hourly_OverviewSearch_1_csv[[#This Row],[Date]],Supply_Data___Hourly_DriverActivity_1_csv__3[#All],2,FALSE)</f>
        <v>126</v>
      </c>
      <c r="J52">
        <f>VLOOKUP(Demand_Data___Hourly_OverviewSearch_1_csv[[#This Row],[Date]],Supply_Data___Hourly_DriverActivity_1_csv__3[#All],3,FALSE)</f>
        <v>50</v>
      </c>
      <c r="K52">
        <f>VLOOKUP(Demand_Data___Hourly_OverviewSearch_1_csv[[#This Row],[Date]],Supply_Data___Hourly_DriverActivity_1_csv__3[#All],4,FALSE)</f>
        <v>22</v>
      </c>
      <c r="L52">
        <f>VLOOKUP(Demand_Data___Hourly_OverviewSearch_1_csv[[#This Row],[Date]],Supply_Data___Hourly_DriverActivity_1_csv__3[#All],5,FALSE)</f>
        <v>28</v>
      </c>
      <c r="M52">
        <f>VLOOKUP(Demand_Data___Hourly_OverviewSearch_1_csv[[#This Row],[Date]],Supply_Data___Hourly_DriverActivity_1_csv__3[#All],6,FALSE)</f>
        <v>0.4</v>
      </c>
      <c r="N52">
        <f>VLOOKUP(Demand_Data___Hourly_OverviewSearch_1_csv[[#This Row],[Date]],Supply_Data___Hourly_DriverActivity_1_csv__3[#All],7,FALSE)</f>
        <v>0.8</v>
      </c>
      <c r="O52">
        <f>VLOOKUP(Demand_Data___Hourly_OverviewSearch_1_csv[[#This Row],[Date]],Supply_Data___Hourly_DriverActivity_1_csv__3[#All],8,FALSE)</f>
        <v>40</v>
      </c>
      <c r="P52">
        <f>(Demand_Data___Hourly_OverviewSearch_1_csv[[#This Row],[People saw 0 cars (unique)]]+Demand_Data___Hourly_OverviewSearch_1_csv[[#This Row],[People saw +1 cars (unique)]])</f>
        <v>192</v>
      </c>
      <c r="Q52" s="143">
        <f t="shared" si="3"/>
        <v>28</v>
      </c>
    </row>
    <row r="53" spans="1:17" x14ac:dyDescent="0.3">
      <c r="A53" t="s">
        <v>59</v>
      </c>
      <c r="B53" t="str">
        <f t="shared" si="0"/>
        <v xml:space="preserve"> 20</v>
      </c>
      <c r="C53">
        <f t="shared" si="1"/>
        <v>5</v>
      </c>
      <c r="D53" t="str">
        <f t="shared" si="2"/>
        <v xml:space="preserve">2016-12-16 </v>
      </c>
      <c r="E53" t="str">
        <f>TEXT(Demand_Data___Hourly_OverviewSearch_1_csv[[#This Row],[Day]],"dddd")</f>
        <v>Thursday</v>
      </c>
      <c r="F53">
        <v>87</v>
      </c>
      <c r="G53">
        <v>172</v>
      </c>
      <c r="H53">
        <v>66</v>
      </c>
      <c r="I53">
        <f>VLOOKUP(Demand_Data___Hourly_OverviewSearch_1_csv[[#This Row],[Date]],Supply_Data___Hourly_DriverActivity_1_csv__3[#All],2,FALSE)</f>
        <v>108</v>
      </c>
      <c r="J53">
        <f>VLOOKUP(Demand_Data___Hourly_OverviewSearch_1_csv[[#This Row],[Date]],Supply_Data___Hourly_DriverActivity_1_csv__3[#All],3,FALSE)</f>
        <v>38</v>
      </c>
      <c r="K53">
        <f>VLOOKUP(Demand_Data___Hourly_OverviewSearch_1_csv[[#This Row],[Date]],Supply_Data___Hourly_DriverActivity_1_csv__3[#All],4,FALSE)</f>
        <v>25</v>
      </c>
      <c r="L53">
        <f>VLOOKUP(Demand_Data___Hourly_OverviewSearch_1_csv[[#This Row],[Date]],Supply_Data___Hourly_DriverActivity_1_csv__3[#All],5,FALSE)</f>
        <v>13</v>
      </c>
      <c r="M53">
        <f>VLOOKUP(Demand_Data___Hourly_OverviewSearch_1_csv[[#This Row],[Date]],Supply_Data___Hourly_DriverActivity_1_csv__3[#All],6,FALSE)</f>
        <v>0.4</v>
      </c>
      <c r="N53">
        <f>VLOOKUP(Demand_Data___Hourly_OverviewSearch_1_csv[[#This Row],[Date]],Supply_Data___Hourly_DriverActivity_1_csv__3[#All],7,FALSE)</f>
        <v>1.63</v>
      </c>
      <c r="O53">
        <f>VLOOKUP(Demand_Data___Hourly_OverviewSearch_1_csv[[#This Row],[Date]],Supply_Data___Hourly_DriverActivity_1_csv__3[#All],8,FALSE)</f>
        <v>62</v>
      </c>
      <c r="P53">
        <f>(Demand_Data___Hourly_OverviewSearch_1_csv[[#This Row],[People saw 0 cars (unique)]]+Demand_Data___Hourly_OverviewSearch_1_csv[[#This Row],[People saw +1 cars (unique)]])</f>
        <v>259</v>
      </c>
      <c r="Q53" s="143">
        <f t="shared" si="3"/>
        <v>13</v>
      </c>
    </row>
    <row r="54" spans="1:17" x14ac:dyDescent="0.3">
      <c r="A54" t="s">
        <v>60</v>
      </c>
      <c r="B54" t="str">
        <f t="shared" si="0"/>
        <v xml:space="preserve"> 19</v>
      </c>
      <c r="C54">
        <f t="shared" si="1"/>
        <v>5</v>
      </c>
      <c r="D54" t="str">
        <f t="shared" si="2"/>
        <v xml:space="preserve">2016-12-16 </v>
      </c>
      <c r="E54" t="str">
        <f>TEXT(Demand_Data___Hourly_OverviewSearch_1_csv[[#This Row],[Day]],"dddd")</f>
        <v>Thursday</v>
      </c>
      <c r="F54">
        <v>129</v>
      </c>
      <c r="G54">
        <v>141</v>
      </c>
      <c r="H54">
        <v>52</v>
      </c>
      <c r="I54">
        <f>VLOOKUP(Demand_Data___Hourly_OverviewSearch_1_csv[[#This Row],[Date]],Supply_Data___Hourly_DriverActivity_1_csv__3[#All],2,FALSE)</f>
        <v>93</v>
      </c>
      <c r="J54">
        <f>VLOOKUP(Demand_Data___Hourly_OverviewSearch_1_csv[[#This Row],[Date]],Supply_Data___Hourly_DriverActivity_1_csv__3[#All],3,FALSE)</f>
        <v>33</v>
      </c>
      <c r="K54">
        <f>VLOOKUP(Demand_Data___Hourly_OverviewSearch_1_csv[[#This Row],[Date]],Supply_Data___Hourly_DriverActivity_1_csv__3[#All],4,FALSE)</f>
        <v>24</v>
      </c>
      <c r="L54">
        <f>VLOOKUP(Demand_Data___Hourly_OverviewSearch_1_csv[[#This Row],[Date]],Supply_Data___Hourly_DriverActivity_1_csv__3[#All],5,FALSE)</f>
        <v>8</v>
      </c>
      <c r="M54">
        <f>VLOOKUP(Demand_Data___Hourly_OverviewSearch_1_csv[[#This Row],[Date]],Supply_Data___Hourly_DriverActivity_1_csv__3[#All],6,FALSE)</f>
        <v>0.4</v>
      </c>
      <c r="N54">
        <f>VLOOKUP(Demand_Data___Hourly_OverviewSearch_1_csv[[#This Row],[Date]],Supply_Data___Hourly_DriverActivity_1_csv__3[#All],7,FALSE)</f>
        <v>1.0900000000000001</v>
      </c>
      <c r="O54">
        <f>VLOOKUP(Demand_Data___Hourly_OverviewSearch_1_csv[[#This Row],[Date]],Supply_Data___Hourly_DriverActivity_1_csv__3[#All],8,FALSE)</f>
        <v>36</v>
      </c>
      <c r="P54">
        <f>(Demand_Data___Hourly_OverviewSearch_1_csv[[#This Row],[People saw 0 cars (unique)]]+Demand_Data___Hourly_OverviewSearch_1_csv[[#This Row],[People saw +1 cars (unique)]])</f>
        <v>270</v>
      </c>
      <c r="Q54" s="143">
        <f t="shared" si="3"/>
        <v>9</v>
      </c>
    </row>
    <row r="55" spans="1:17" x14ac:dyDescent="0.3">
      <c r="A55" t="s">
        <v>61</v>
      </c>
      <c r="B55" t="str">
        <f t="shared" si="0"/>
        <v xml:space="preserve"> 18</v>
      </c>
      <c r="C55">
        <f t="shared" si="1"/>
        <v>5</v>
      </c>
      <c r="D55" t="str">
        <f t="shared" si="2"/>
        <v xml:space="preserve">2016-12-16 </v>
      </c>
      <c r="E55" t="str">
        <f>TEXT(Demand_Data___Hourly_OverviewSearch_1_csv[[#This Row],[Day]],"dddd")</f>
        <v>Thursday</v>
      </c>
      <c r="F55">
        <v>62</v>
      </c>
      <c r="G55">
        <v>169</v>
      </c>
      <c r="H55">
        <v>73</v>
      </c>
      <c r="I55">
        <f>VLOOKUP(Demand_Data___Hourly_OverviewSearch_1_csv[[#This Row],[Date]],Supply_Data___Hourly_DriverActivity_1_csv__3[#All],2,FALSE)</f>
        <v>92</v>
      </c>
      <c r="J55">
        <f>VLOOKUP(Demand_Data___Hourly_OverviewSearch_1_csv[[#This Row],[Date]],Supply_Data___Hourly_DriverActivity_1_csv__3[#All],3,FALSE)</f>
        <v>41</v>
      </c>
      <c r="K55">
        <f>VLOOKUP(Demand_Data___Hourly_OverviewSearch_1_csv[[#This Row],[Date]],Supply_Data___Hourly_DriverActivity_1_csv__3[#All],4,FALSE)</f>
        <v>29</v>
      </c>
      <c r="L55">
        <f>VLOOKUP(Demand_Data___Hourly_OverviewSearch_1_csv[[#This Row],[Date]],Supply_Data___Hourly_DriverActivity_1_csv__3[#All],5,FALSE)</f>
        <v>11</v>
      </c>
      <c r="M55">
        <f>VLOOKUP(Demand_Data___Hourly_OverviewSearch_1_csv[[#This Row],[Date]],Supply_Data___Hourly_DriverActivity_1_csv__3[#All],6,FALSE)</f>
        <v>0.4</v>
      </c>
      <c r="N55">
        <f>VLOOKUP(Demand_Data___Hourly_OverviewSearch_1_csv[[#This Row],[Date]],Supply_Data___Hourly_DriverActivity_1_csv__3[#All],7,FALSE)</f>
        <v>1.1499999999999999</v>
      </c>
      <c r="O55">
        <f>VLOOKUP(Demand_Data___Hourly_OverviewSearch_1_csv[[#This Row],[Date]],Supply_Data___Hourly_DriverActivity_1_csv__3[#All],8,FALSE)</f>
        <v>47</v>
      </c>
      <c r="P55">
        <f>(Demand_Data___Hourly_OverviewSearch_1_csv[[#This Row],[People saw 0 cars (unique)]]+Demand_Data___Hourly_OverviewSearch_1_csv[[#This Row],[People saw +1 cars (unique)]])</f>
        <v>231</v>
      </c>
      <c r="Q55" s="143">
        <f t="shared" si="3"/>
        <v>12</v>
      </c>
    </row>
    <row r="56" spans="1:17" x14ac:dyDescent="0.3">
      <c r="A56" t="s">
        <v>62</v>
      </c>
      <c r="B56" t="str">
        <f t="shared" si="0"/>
        <v xml:space="preserve"> 17</v>
      </c>
      <c r="C56">
        <f t="shared" si="1"/>
        <v>5</v>
      </c>
      <c r="D56" t="str">
        <f t="shared" si="2"/>
        <v xml:space="preserve">2016-12-16 </v>
      </c>
      <c r="E56" t="str">
        <f>TEXT(Demand_Data___Hourly_OverviewSearch_1_csv[[#This Row],[Day]],"dddd")</f>
        <v>Thursday</v>
      </c>
      <c r="F56">
        <v>29</v>
      </c>
      <c r="G56">
        <v>127</v>
      </c>
      <c r="H56">
        <v>81</v>
      </c>
      <c r="I56">
        <f>VLOOKUP(Demand_Data___Hourly_OverviewSearch_1_csv[[#This Row],[Date]],Supply_Data___Hourly_DriverActivity_1_csv__3[#All],2,FALSE)</f>
        <v>91</v>
      </c>
      <c r="J56">
        <f>VLOOKUP(Demand_Data___Hourly_OverviewSearch_1_csv[[#This Row],[Date]],Supply_Data___Hourly_DriverActivity_1_csv__3[#All],3,FALSE)</f>
        <v>36</v>
      </c>
      <c r="K56">
        <f>VLOOKUP(Demand_Data___Hourly_OverviewSearch_1_csv[[#This Row],[Date]],Supply_Data___Hourly_DriverActivity_1_csv__3[#All],4,FALSE)</f>
        <v>17</v>
      </c>
      <c r="L56">
        <f>VLOOKUP(Demand_Data___Hourly_OverviewSearch_1_csv[[#This Row],[Date]],Supply_Data___Hourly_DriverActivity_1_csv__3[#All],5,FALSE)</f>
        <v>18</v>
      </c>
      <c r="M56">
        <f>VLOOKUP(Demand_Data___Hourly_OverviewSearch_1_csv[[#This Row],[Date]],Supply_Data___Hourly_DriverActivity_1_csv__3[#All],6,FALSE)</f>
        <v>0.4</v>
      </c>
      <c r="N56">
        <f>VLOOKUP(Demand_Data___Hourly_OverviewSearch_1_csv[[#This Row],[Date]],Supply_Data___Hourly_DriverActivity_1_csv__3[#All],7,FALSE)</f>
        <v>0.89</v>
      </c>
      <c r="O56">
        <f>VLOOKUP(Demand_Data___Hourly_OverviewSearch_1_csv[[#This Row],[Date]],Supply_Data___Hourly_DriverActivity_1_csv__3[#All],8,FALSE)</f>
        <v>32</v>
      </c>
      <c r="P56">
        <f>(Demand_Data___Hourly_OverviewSearch_1_csv[[#This Row],[People saw 0 cars (unique)]]+Demand_Data___Hourly_OverviewSearch_1_csv[[#This Row],[People saw +1 cars (unique)]])</f>
        <v>156</v>
      </c>
      <c r="Q56" s="143">
        <f t="shared" si="3"/>
        <v>19</v>
      </c>
    </row>
    <row r="57" spans="1:17" x14ac:dyDescent="0.3">
      <c r="A57" t="s">
        <v>63</v>
      </c>
      <c r="B57" t="str">
        <f t="shared" si="0"/>
        <v xml:space="preserve"> 16</v>
      </c>
      <c r="C57">
        <f t="shared" si="1"/>
        <v>5</v>
      </c>
      <c r="D57" t="str">
        <f t="shared" si="2"/>
        <v xml:space="preserve">2016-12-16 </v>
      </c>
      <c r="E57" t="str">
        <f>TEXT(Demand_Data___Hourly_OverviewSearch_1_csv[[#This Row],[Day]],"dddd")</f>
        <v>Thursday</v>
      </c>
      <c r="F57">
        <v>85</v>
      </c>
      <c r="G57">
        <v>54</v>
      </c>
      <c r="H57">
        <v>39</v>
      </c>
      <c r="I57">
        <f>VLOOKUP(Demand_Data___Hourly_OverviewSearch_1_csv[[#This Row],[Date]],Supply_Data___Hourly_DriverActivity_1_csv__3[#All],2,FALSE)</f>
        <v>61</v>
      </c>
      <c r="J57">
        <f>VLOOKUP(Demand_Data___Hourly_OverviewSearch_1_csv[[#This Row],[Date]],Supply_Data___Hourly_DriverActivity_1_csv__3[#All],3,FALSE)</f>
        <v>18</v>
      </c>
      <c r="K57">
        <f>VLOOKUP(Demand_Data___Hourly_OverviewSearch_1_csv[[#This Row],[Date]],Supply_Data___Hourly_DriverActivity_1_csv__3[#All],4,FALSE)</f>
        <v>12</v>
      </c>
      <c r="L57">
        <f>VLOOKUP(Demand_Data___Hourly_OverviewSearch_1_csv[[#This Row],[Date]],Supply_Data___Hourly_DriverActivity_1_csv__3[#All],5,FALSE)</f>
        <v>7</v>
      </c>
      <c r="M57">
        <f>VLOOKUP(Demand_Data___Hourly_OverviewSearch_1_csv[[#This Row],[Date]],Supply_Data___Hourly_DriverActivity_1_csv__3[#All],6,FALSE)</f>
        <v>0.3</v>
      </c>
      <c r="N57">
        <f>VLOOKUP(Demand_Data___Hourly_OverviewSearch_1_csv[[#This Row],[Date]],Supply_Data___Hourly_DriverActivity_1_csv__3[#All],7,FALSE)</f>
        <v>1</v>
      </c>
      <c r="O57">
        <f>VLOOKUP(Demand_Data___Hourly_OverviewSearch_1_csv[[#This Row],[Date]],Supply_Data___Hourly_DriverActivity_1_csv__3[#All],8,FALSE)</f>
        <v>18</v>
      </c>
      <c r="P57">
        <f>(Demand_Data___Hourly_OverviewSearch_1_csv[[#This Row],[People saw 0 cars (unique)]]+Demand_Data___Hourly_OverviewSearch_1_csv[[#This Row],[People saw +1 cars (unique)]])</f>
        <v>139</v>
      </c>
      <c r="Q57" s="143">
        <f t="shared" si="3"/>
        <v>6</v>
      </c>
    </row>
    <row r="58" spans="1:17" x14ac:dyDescent="0.3">
      <c r="A58" t="s">
        <v>64</v>
      </c>
      <c r="B58" t="str">
        <f t="shared" si="0"/>
        <v xml:space="preserve"> 15</v>
      </c>
      <c r="C58">
        <f t="shared" si="1"/>
        <v>5</v>
      </c>
      <c r="D58" t="str">
        <f t="shared" si="2"/>
        <v xml:space="preserve">2016-12-16 </v>
      </c>
      <c r="E58" t="str">
        <f>TEXT(Demand_Data___Hourly_OverviewSearch_1_csv[[#This Row],[Day]],"dddd")</f>
        <v>Thursday</v>
      </c>
      <c r="F58">
        <v>80</v>
      </c>
      <c r="G58">
        <v>36</v>
      </c>
      <c r="H58">
        <v>31</v>
      </c>
      <c r="I58">
        <f>VLOOKUP(Demand_Data___Hourly_OverviewSearch_1_csv[[#This Row],[Date]],Supply_Data___Hourly_DriverActivity_1_csv__3[#All],2,FALSE)</f>
        <v>53</v>
      </c>
      <c r="J58">
        <f>VLOOKUP(Demand_Data___Hourly_OverviewSearch_1_csv[[#This Row],[Date]],Supply_Data___Hourly_DriverActivity_1_csv__3[#All],3,FALSE)</f>
        <v>14</v>
      </c>
      <c r="K58">
        <f>VLOOKUP(Demand_Data___Hourly_OverviewSearch_1_csv[[#This Row],[Date]],Supply_Data___Hourly_DriverActivity_1_csv__3[#All],4,FALSE)</f>
        <v>9</v>
      </c>
      <c r="L58">
        <f>VLOOKUP(Demand_Data___Hourly_OverviewSearch_1_csv[[#This Row],[Date]],Supply_Data___Hourly_DriverActivity_1_csv__3[#All],5,FALSE)</f>
        <v>5</v>
      </c>
      <c r="M58">
        <f>VLOOKUP(Demand_Data___Hourly_OverviewSearch_1_csv[[#This Row],[Date]],Supply_Data___Hourly_DriverActivity_1_csv__3[#All],6,FALSE)</f>
        <v>0.3</v>
      </c>
      <c r="N58">
        <f>VLOOKUP(Demand_Data___Hourly_OverviewSearch_1_csv[[#This Row],[Date]],Supply_Data___Hourly_DriverActivity_1_csv__3[#All],7,FALSE)</f>
        <v>0.93</v>
      </c>
      <c r="O58">
        <f>VLOOKUP(Demand_Data___Hourly_OverviewSearch_1_csv[[#This Row],[Date]],Supply_Data___Hourly_DriverActivity_1_csv__3[#All],8,FALSE)</f>
        <v>13</v>
      </c>
      <c r="P58">
        <f>(Demand_Data___Hourly_OverviewSearch_1_csv[[#This Row],[People saw 0 cars (unique)]]+Demand_Data___Hourly_OverviewSearch_1_csv[[#This Row],[People saw +1 cars (unique)]])</f>
        <v>116</v>
      </c>
      <c r="Q58" s="143">
        <f t="shared" si="3"/>
        <v>5</v>
      </c>
    </row>
    <row r="59" spans="1:17" x14ac:dyDescent="0.3">
      <c r="A59" t="s">
        <v>65</v>
      </c>
      <c r="B59" t="str">
        <f t="shared" si="0"/>
        <v xml:space="preserve"> 14</v>
      </c>
      <c r="C59">
        <f t="shared" si="1"/>
        <v>5</v>
      </c>
      <c r="D59" t="str">
        <f t="shared" si="2"/>
        <v xml:space="preserve">2016-12-16 </v>
      </c>
      <c r="E59" t="str">
        <f>TEXT(Demand_Data___Hourly_OverviewSearch_1_csv[[#This Row],[Day]],"dddd")</f>
        <v>Thursday</v>
      </c>
      <c r="F59">
        <v>54</v>
      </c>
      <c r="G59">
        <v>47</v>
      </c>
      <c r="H59">
        <v>47</v>
      </c>
      <c r="I59">
        <f>VLOOKUP(Demand_Data___Hourly_OverviewSearch_1_csv[[#This Row],[Date]],Supply_Data___Hourly_DriverActivity_1_csv__3[#All],2,FALSE)</f>
        <v>56</v>
      </c>
      <c r="J59">
        <f>VLOOKUP(Demand_Data___Hourly_OverviewSearch_1_csv[[#This Row],[Date]],Supply_Data___Hourly_DriverActivity_1_csv__3[#All],3,FALSE)</f>
        <v>12</v>
      </c>
      <c r="K59">
        <f>VLOOKUP(Demand_Data___Hourly_OverviewSearch_1_csv[[#This Row],[Date]],Supply_Data___Hourly_DriverActivity_1_csv__3[#All],4,FALSE)</f>
        <v>6</v>
      </c>
      <c r="L59">
        <f>VLOOKUP(Demand_Data___Hourly_OverviewSearch_1_csv[[#This Row],[Date]],Supply_Data___Hourly_DriverActivity_1_csv__3[#All],5,FALSE)</f>
        <v>7</v>
      </c>
      <c r="M59">
        <f>VLOOKUP(Demand_Data___Hourly_OverviewSearch_1_csv[[#This Row],[Date]],Supply_Data___Hourly_DriverActivity_1_csv__3[#All],6,FALSE)</f>
        <v>0.2</v>
      </c>
      <c r="N59">
        <f>VLOOKUP(Demand_Data___Hourly_OverviewSearch_1_csv[[#This Row],[Date]],Supply_Data___Hourly_DriverActivity_1_csv__3[#All],7,FALSE)</f>
        <v>1</v>
      </c>
      <c r="O59">
        <f>VLOOKUP(Demand_Data___Hourly_OverviewSearch_1_csv[[#This Row],[Date]],Supply_Data___Hourly_DriverActivity_1_csv__3[#All],8,FALSE)</f>
        <v>12</v>
      </c>
      <c r="P59">
        <f>(Demand_Data___Hourly_OverviewSearch_1_csv[[#This Row],[People saw 0 cars (unique)]]+Demand_Data___Hourly_OverviewSearch_1_csv[[#This Row],[People saw +1 cars (unique)]])</f>
        <v>101</v>
      </c>
      <c r="Q59" s="143">
        <f t="shared" si="3"/>
        <v>6</v>
      </c>
    </row>
    <row r="60" spans="1:17" x14ac:dyDescent="0.3">
      <c r="A60" t="s">
        <v>66</v>
      </c>
      <c r="B60" t="str">
        <f t="shared" si="0"/>
        <v xml:space="preserve"> 13</v>
      </c>
      <c r="C60">
        <f t="shared" si="1"/>
        <v>5</v>
      </c>
      <c r="D60" t="str">
        <f t="shared" si="2"/>
        <v xml:space="preserve">2016-12-16 </v>
      </c>
      <c r="E60" t="str">
        <f>TEXT(Demand_Data___Hourly_OverviewSearch_1_csv[[#This Row],[Day]],"dddd")</f>
        <v>Thursday</v>
      </c>
      <c r="F60">
        <v>66</v>
      </c>
      <c r="G60">
        <v>25</v>
      </c>
      <c r="H60">
        <v>27</v>
      </c>
      <c r="I60">
        <f>VLOOKUP(Demand_Data___Hourly_OverviewSearch_1_csv[[#This Row],[Date]],Supply_Data___Hourly_DriverActivity_1_csv__3[#All],2,FALSE)</f>
        <v>43</v>
      </c>
      <c r="J60">
        <f>VLOOKUP(Demand_Data___Hourly_OverviewSearch_1_csv[[#This Row],[Date]],Supply_Data___Hourly_DriverActivity_1_csv__3[#All],3,FALSE)</f>
        <v>14</v>
      </c>
      <c r="K60">
        <f>VLOOKUP(Demand_Data___Hourly_OverviewSearch_1_csv[[#This Row],[Date]],Supply_Data___Hourly_DriverActivity_1_csv__3[#All],4,FALSE)</f>
        <v>8</v>
      </c>
      <c r="L60">
        <f>VLOOKUP(Demand_Data___Hourly_OverviewSearch_1_csv[[#This Row],[Date]],Supply_Data___Hourly_DriverActivity_1_csv__3[#All],5,FALSE)</f>
        <v>5</v>
      </c>
      <c r="M60">
        <f>VLOOKUP(Demand_Data___Hourly_OverviewSearch_1_csv[[#This Row],[Date]],Supply_Data___Hourly_DriverActivity_1_csv__3[#All],6,FALSE)</f>
        <v>0.3</v>
      </c>
      <c r="N60">
        <f>VLOOKUP(Demand_Data___Hourly_OverviewSearch_1_csv[[#This Row],[Date]],Supply_Data___Hourly_DriverActivity_1_csv__3[#All],7,FALSE)</f>
        <v>0.71</v>
      </c>
      <c r="O60">
        <f>VLOOKUP(Demand_Data___Hourly_OverviewSearch_1_csv[[#This Row],[Date]],Supply_Data___Hourly_DriverActivity_1_csv__3[#All],8,FALSE)</f>
        <v>10</v>
      </c>
      <c r="P60">
        <f>(Demand_Data___Hourly_OverviewSearch_1_csv[[#This Row],[People saw 0 cars (unique)]]+Demand_Data___Hourly_OverviewSearch_1_csv[[#This Row],[People saw +1 cars (unique)]])</f>
        <v>91</v>
      </c>
      <c r="Q60" s="143">
        <f t="shared" si="3"/>
        <v>6</v>
      </c>
    </row>
    <row r="61" spans="1:17" x14ac:dyDescent="0.3">
      <c r="A61" t="s">
        <v>67</v>
      </c>
      <c r="B61" t="str">
        <f t="shared" si="0"/>
        <v xml:space="preserve"> 12</v>
      </c>
      <c r="C61">
        <f t="shared" si="1"/>
        <v>5</v>
      </c>
      <c r="D61" t="str">
        <f t="shared" si="2"/>
        <v xml:space="preserve">2016-12-16 </v>
      </c>
      <c r="E61" t="str">
        <f>TEXT(Demand_Data___Hourly_OverviewSearch_1_csv[[#This Row],[Day]],"dddd")</f>
        <v>Thursday</v>
      </c>
      <c r="F61">
        <v>37</v>
      </c>
      <c r="G61">
        <v>44</v>
      </c>
      <c r="H61">
        <v>54</v>
      </c>
      <c r="I61">
        <f>VLOOKUP(Demand_Data___Hourly_OverviewSearch_1_csv[[#This Row],[Date]],Supply_Data___Hourly_DriverActivity_1_csv__3[#All],2,FALSE)</f>
        <v>44</v>
      </c>
      <c r="J61">
        <f>VLOOKUP(Demand_Data___Hourly_OverviewSearch_1_csv[[#This Row],[Date]],Supply_Data___Hourly_DriverActivity_1_csv__3[#All],3,FALSE)</f>
        <v>16</v>
      </c>
      <c r="K61">
        <f>VLOOKUP(Demand_Data___Hourly_OverviewSearch_1_csv[[#This Row],[Date]],Supply_Data___Hourly_DriverActivity_1_csv__3[#All],4,FALSE)</f>
        <v>8</v>
      </c>
      <c r="L61">
        <f>VLOOKUP(Demand_Data___Hourly_OverviewSearch_1_csv[[#This Row],[Date]],Supply_Data___Hourly_DriverActivity_1_csv__3[#All],5,FALSE)</f>
        <v>8</v>
      </c>
      <c r="M61">
        <f>VLOOKUP(Demand_Data___Hourly_OverviewSearch_1_csv[[#This Row],[Date]],Supply_Data___Hourly_DriverActivity_1_csv__3[#All],6,FALSE)</f>
        <v>0.4</v>
      </c>
      <c r="N61">
        <f>VLOOKUP(Demand_Data___Hourly_OverviewSearch_1_csv[[#This Row],[Date]],Supply_Data___Hourly_DriverActivity_1_csv__3[#All],7,FALSE)</f>
        <v>0.94</v>
      </c>
      <c r="O61">
        <f>VLOOKUP(Demand_Data___Hourly_OverviewSearch_1_csv[[#This Row],[Date]],Supply_Data___Hourly_DriverActivity_1_csv__3[#All],8,FALSE)</f>
        <v>15</v>
      </c>
      <c r="P61">
        <f>(Demand_Data___Hourly_OverviewSearch_1_csv[[#This Row],[People saw 0 cars (unique)]]+Demand_Data___Hourly_OverviewSearch_1_csv[[#This Row],[People saw +1 cars (unique)]])</f>
        <v>81</v>
      </c>
      <c r="Q61" s="143">
        <f t="shared" si="3"/>
        <v>8</v>
      </c>
    </row>
    <row r="62" spans="1:17" x14ac:dyDescent="0.3">
      <c r="A62" t="s">
        <v>68</v>
      </c>
      <c r="B62" t="str">
        <f t="shared" si="0"/>
        <v xml:space="preserve"> 11</v>
      </c>
      <c r="C62">
        <f t="shared" si="1"/>
        <v>5</v>
      </c>
      <c r="D62" t="str">
        <f t="shared" si="2"/>
        <v xml:space="preserve">2016-12-16 </v>
      </c>
      <c r="E62" t="str">
        <f>TEXT(Demand_Data___Hourly_OverviewSearch_1_csv[[#This Row],[Day]],"dddd")</f>
        <v>Thursday</v>
      </c>
      <c r="F62">
        <v>32</v>
      </c>
      <c r="G62">
        <v>53</v>
      </c>
      <c r="H62">
        <v>62</v>
      </c>
      <c r="I62">
        <f>VLOOKUP(Demand_Data___Hourly_OverviewSearch_1_csv[[#This Row],[Date]],Supply_Data___Hourly_DriverActivity_1_csv__3[#All],2,FALSE)</f>
        <v>56</v>
      </c>
      <c r="J62">
        <f>VLOOKUP(Demand_Data___Hourly_OverviewSearch_1_csv[[#This Row],[Date]],Supply_Data___Hourly_DriverActivity_1_csv__3[#All],3,FALSE)</f>
        <v>20</v>
      </c>
      <c r="K62">
        <f>VLOOKUP(Demand_Data___Hourly_OverviewSearch_1_csv[[#This Row],[Date]],Supply_Data___Hourly_DriverActivity_1_csv__3[#All],4,FALSE)</f>
        <v>8</v>
      </c>
      <c r="L62">
        <f>VLOOKUP(Demand_Data___Hourly_OverviewSearch_1_csv[[#This Row],[Date]],Supply_Data___Hourly_DriverActivity_1_csv__3[#All],5,FALSE)</f>
        <v>12</v>
      </c>
      <c r="M62">
        <f>VLOOKUP(Demand_Data___Hourly_OverviewSearch_1_csv[[#This Row],[Date]],Supply_Data___Hourly_DriverActivity_1_csv__3[#All],6,FALSE)</f>
        <v>0.4</v>
      </c>
      <c r="N62">
        <f>VLOOKUP(Demand_Data___Hourly_OverviewSearch_1_csv[[#This Row],[Date]],Supply_Data___Hourly_DriverActivity_1_csv__3[#All],7,FALSE)</f>
        <v>0.5</v>
      </c>
      <c r="O62">
        <f>VLOOKUP(Demand_Data___Hourly_OverviewSearch_1_csv[[#This Row],[Date]],Supply_Data___Hourly_DriverActivity_1_csv__3[#All],8,FALSE)</f>
        <v>10</v>
      </c>
      <c r="P62">
        <f>(Demand_Data___Hourly_OverviewSearch_1_csv[[#This Row],[People saw 0 cars (unique)]]+Demand_Data___Hourly_OverviewSearch_1_csv[[#This Row],[People saw +1 cars (unique)]])</f>
        <v>85</v>
      </c>
      <c r="Q62" s="143">
        <f t="shared" si="3"/>
        <v>12</v>
      </c>
    </row>
    <row r="63" spans="1:17" x14ac:dyDescent="0.3">
      <c r="A63" t="s">
        <v>69</v>
      </c>
      <c r="B63" t="str">
        <f t="shared" si="0"/>
        <v xml:space="preserve"> 10</v>
      </c>
      <c r="C63">
        <f t="shared" si="1"/>
        <v>5</v>
      </c>
      <c r="D63" t="str">
        <f t="shared" si="2"/>
        <v xml:space="preserve">2016-12-16 </v>
      </c>
      <c r="E63" t="str">
        <f>TEXT(Demand_Data___Hourly_OverviewSearch_1_csv[[#This Row],[Day]],"dddd")</f>
        <v>Thursday</v>
      </c>
      <c r="F63">
        <v>44</v>
      </c>
      <c r="G63">
        <v>60</v>
      </c>
      <c r="H63">
        <v>58</v>
      </c>
      <c r="I63">
        <f>VLOOKUP(Demand_Data___Hourly_OverviewSearch_1_csv[[#This Row],[Date]],Supply_Data___Hourly_DriverActivity_1_csv__3[#All],2,FALSE)</f>
        <v>53</v>
      </c>
      <c r="J63">
        <f>VLOOKUP(Demand_Data___Hourly_OverviewSearch_1_csv[[#This Row],[Date]],Supply_Data___Hourly_DriverActivity_1_csv__3[#All],3,FALSE)</f>
        <v>22</v>
      </c>
      <c r="K63">
        <f>VLOOKUP(Demand_Data___Hourly_OverviewSearch_1_csv[[#This Row],[Date]],Supply_Data___Hourly_DriverActivity_1_csv__3[#All],4,FALSE)</f>
        <v>11</v>
      </c>
      <c r="L63">
        <f>VLOOKUP(Demand_Data___Hourly_OverviewSearch_1_csv[[#This Row],[Date]],Supply_Data___Hourly_DriverActivity_1_csv__3[#All],5,FALSE)</f>
        <v>11</v>
      </c>
      <c r="M63">
        <f>VLOOKUP(Demand_Data___Hourly_OverviewSearch_1_csv[[#This Row],[Date]],Supply_Data___Hourly_DriverActivity_1_csv__3[#All],6,FALSE)</f>
        <v>0.4</v>
      </c>
      <c r="N63">
        <f>VLOOKUP(Demand_Data___Hourly_OverviewSearch_1_csv[[#This Row],[Date]],Supply_Data___Hourly_DriverActivity_1_csv__3[#All],7,FALSE)</f>
        <v>0.91</v>
      </c>
      <c r="O63">
        <f>VLOOKUP(Demand_Data___Hourly_OverviewSearch_1_csv[[#This Row],[Date]],Supply_Data___Hourly_DriverActivity_1_csv__3[#All],8,FALSE)</f>
        <v>20</v>
      </c>
      <c r="P63">
        <f>(Demand_Data___Hourly_OverviewSearch_1_csv[[#This Row],[People saw 0 cars (unique)]]+Demand_Data___Hourly_OverviewSearch_1_csv[[#This Row],[People saw +1 cars (unique)]])</f>
        <v>104</v>
      </c>
      <c r="Q63" s="143">
        <f t="shared" si="3"/>
        <v>11</v>
      </c>
    </row>
    <row r="64" spans="1:17" x14ac:dyDescent="0.3">
      <c r="A64" t="s">
        <v>70</v>
      </c>
      <c r="B64" t="str">
        <f t="shared" si="0"/>
        <v xml:space="preserve"> 09</v>
      </c>
      <c r="C64">
        <f t="shared" si="1"/>
        <v>5</v>
      </c>
      <c r="D64" t="str">
        <f t="shared" si="2"/>
        <v xml:space="preserve">2016-12-16 </v>
      </c>
      <c r="E64" t="str">
        <f>TEXT(Demand_Data___Hourly_OverviewSearch_1_csv[[#This Row],[Day]],"dddd")</f>
        <v>Thursday</v>
      </c>
      <c r="F64">
        <v>90</v>
      </c>
      <c r="G64">
        <v>73</v>
      </c>
      <c r="H64">
        <v>45</v>
      </c>
      <c r="I64">
        <f>VLOOKUP(Demand_Data___Hourly_OverviewSearch_1_csv[[#This Row],[Date]],Supply_Data___Hourly_DriverActivity_1_csv__3[#All],2,FALSE)</f>
        <v>47</v>
      </c>
      <c r="J64">
        <f>VLOOKUP(Demand_Data___Hourly_OverviewSearch_1_csv[[#This Row],[Date]],Supply_Data___Hourly_DriverActivity_1_csv__3[#All],3,FALSE)</f>
        <v>22</v>
      </c>
      <c r="K64">
        <f>VLOOKUP(Demand_Data___Hourly_OverviewSearch_1_csv[[#This Row],[Date]],Supply_Data___Hourly_DriverActivity_1_csv__3[#All],4,FALSE)</f>
        <v>17</v>
      </c>
      <c r="L64">
        <f>VLOOKUP(Demand_Data___Hourly_OverviewSearch_1_csv[[#This Row],[Date]],Supply_Data___Hourly_DriverActivity_1_csv__3[#All],5,FALSE)</f>
        <v>5</v>
      </c>
      <c r="M64">
        <f>VLOOKUP(Demand_Data___Hourly_OverviewSearch_1_csv[[#This Row],[Date]],Supply_Data___Hourly_DriverActivity_1_csv__3[#All],6,FALSE)</f>
        <v>0.5</v>
      </c>
      <c r="N64">
        <f>VLOOKUP(Demand_Data___Hourly_OverviewSearch_1_csv[[#This Row],[Date]],Supply_Data___Hourly_DriverActivity_1_csv__3[#All],7,FALSE)</f>
        <v>1.59</v>
      </c>
      <c r="O64">
        <f>VLOOKUP(Demand_Data___Hourly_OverviewSearch_1_csv[[#This Row],[Date]],Supply_Data___Hourly_DriverActivity_1_csv__3[#All],8,FALSE)</f>
        <v>35</v>
      </c>
      <c r="P64">
        <f>(Demand_Data___Hourly_OverviewSearch_1_csv[[#This Row],[People saw 0 cars (unique)]]+Demand_Data___Hourly_OverviewSearch_1_csv[[#This Row],[People saw +1 cars (unique)]])</f>
        <v>163</v>
      </c>
      <c r="Q64" s="143">
        <f t="shared" si="3"/>
        <v>5</v>
      </c>
    </row>
    <row r="65" spans="1:17" x14ac:dyDescent="0.3">
      <c r="A65" t="s">
        <v>71</v>
      </c>
      <c r="B65" t="str">
        <f t="shared" si="0"/>
        <v xml:space="preserve"> 08</v>
      </c>
      <c r="C65">
        <f t="shared" si="1"/>
        <v>5</v>
      </c>
      <c r="D65" t="str">
        <f t="shared" si="2"/>
        <v xml:space="preserve">2016-12-16 </v>
      </c>
      <c r="E65" t="str">
        <f>TEXT(Demand_Data___Hourly_OverviewSearch_1_csv[[#This Row],[Day]],"dddd")</f>
        <v>Thursday</v>
      </c>
      <c r="F65">
        <v>54</v>
      </c>
      <c r="G65">
        <v>50</v>
      </c>
      <c r="H65">
        <v>48</v>
      </c>
      <c r="I65">
        <f>VLOOKUP(Demand_Data___Hourly_OverviewSearch_1_csv[[#This Row],[Date]],Supply_Data___Hourly_DriverActivity_1_csv__3[#All],2,FALSE)</f>
        <v>40</v>
      </c>
      <c r="J65">
        <f>VLOOKUP(Demand_Data___Hourly_OverviewSearch_1_csv[[#This Row],[Date]],Supply_Data___Hourly_DriverActivity_1_csv__3[#All],3,FALSE)</f>
        <v>12</v>
      </c>
      <c r="K65">
        <f>VLOOKUP(Demand_Data___Hourly_OverviewSearch_1_csv[[#This Row],[Date]],Supply_Data___Hourly_DriverActivity_1_csv__3[#All],4,FALSE)</f>
        <v>8</v>
      </c>
      <c r="L65">
        <f>VLOOKUP(Demand_Data___Hourly_OverviewSearch_1_csv[[#This Row],[Date]],Supply_Data___Hourly_DriverActivity_1_csv__3[#All],5,FALSE)</f>
        <v>5</v>
      </c>
      <c r="M65">
        <f>VLOOKUP(Demand_Data___Hourly_OverviewSearch_1_csv[[#This Row],[Date]],Supply_Data___Hourly_DriverActivity_1_csv__3[#All],6,FALSE)</f>
        <v>0.3</v>
      </c>
      <c r="N65">
        <f>VLOOKUP(Demand_Data___Hourly_OverviewSearch_1_csv[[#This Row],[Date]],Supply_Data___Hourly_DriverActivity_1_csv__3[#All],7,FALSE)</f>
        <v>1.58</v>
      </c>
      <c r="O65">
        <f>VLOOKUP(Demand_Data___Hourly_OverviewSearch_1_csv[[#This Row],[Date]],Supply_Data___Hourly_DriverActivity_1_csv__3[#All],8,FALSE)</f>
        <v>19</v>
      </c>
      <c r="P65">
        <f>(Demand_Data___Hourly_OverviewSearch_1_csv[[#This Row],[People saw 0 cars (unique)]]+Demand_Data___Hourly_OverviewSearch_1_csv[[#This Row],[People saw +1 cars (unique)]])</f>
        <v>104</v>
      </c>
      <c r="Q65" s="143">
        <f t="shared" si="3"/>
        <v>4</v>
      </c>
    </row>
    <row r="66" spans="1:17" x14ac:dyDescent="0.3">
      <c r="A66" t="s">
        <v>72</v>
      </c>
      <c r="B66" t="str">
        <f t="shared" ref="B66:B129" si="4">RIGHT(A66,3)</f>
        <v xml:space="preserve"> 07</v>
      </c>
      <c r="C66">
        <f t="shared" ref="C66:C129" si="5">WEEKDAY(DATEVALUE(LEFT(A66,FIND(" ",A66))),2)</f>
        <v>5</v>
      </c>
      <c r="D66" t="str">
        <f t="shared" ref="D66:D129" si="6">LEFT(A66,11)</f>
        <v xml:space="preserve">2016-12-16 </v>
      </c>
      <c r="E66" t="str">
        <f>TEXT(Demand_Data___Hourly_OverviewSearch_1_csv[[#This Row],[Day]],"dddd")</f>
        <v>Thursday</v>
      </c>
      <c r="F66">
        <v>22</v>
      </c>
      <c r="G66">
        <v>13</v>
      </c>
      <c r="H66">
        <v>37</v>
      </c>
      <c r="I66">
        <f>VLOOKUP(Demand_Data___Hourly_OverviewSearch_1_csv[[#This Row],[Date]],Supply_Data___Hourly_DriverActivity_1_csv__3[#All],2,FALSE)</f>
        <v>28</v>
      </c>
      <c r="J66">
        <f>VLOOKUP(Demand_Data___Hourly_OverviewSearch_1_csv[[#This Row],[Date]],Supply_Data___Hourly_DriverActivity_1_csv__3[#All],3,FALSE)</f>
        <v>7</v>
      </c>
      <c r="K66">
        <f>VLOOKUP(Demand_Data___Hourly_OverviewSearch_1_csv[[#This Row],[Date]],Supply_Data___Hourly_DriverActivity_1_csv__3[#All],4,FALSE)</f>
        <v>2</v>
      </c>
      <c r="L66">
        <f>VLOOKUP(Demand_Data___Hourly_OverviewSearch_1_csv[[#This Row],[Date]],Supply_Data___Hourly_DriverActivity_1_csv__3[#All],5,FALSE)</f>
        <v>5</v>
      </c>
      <c r="M66">
        <f>VLOOKUP(Demand_Data___Hourly_OverviewSearch_1_csv[[#This Row],[Date]],Supply_Data___Hourly_DriverActivity_1_csv__3[#All],6,FALSE)</f>
        <v>0.3</v>
      </c>
      <c r="N66">
        <f>VLOOKUP(Demand_Data___Hourly_OverviewSearch_1_csv[[#This Row],[Date]],Supply_Data___Hourly_DriverActivity_1_csv__3[#All],7,FALSE)</f>
        <v>0.86</v>
      </c>
      <c r="O66">
        <f>VLOOKUP(Demand_Data___Hourly_OverviewSearch_1_csv[[#This Row],[Date]],Supply_Data___Hourly_DriverActivity_1_csv__3[#All],8,FALSE)</f>
        <v>6</v>
      </c>
      <c r="P66">
        <f>(Demand_Data___Hourly_OverviewSearch_1_csv[[#This Row],[People saw 0 cars (unique)]]+Demand_Data___Hourly_OverviewSearch_1_csv[[#This Row],[People saw +1 cars (unique)]])</f>
        <v>35</v>
      </c>
      <c r="Q66" s="143">
        <f t="shared" ref="Q66:Q129" si="7">(J66-K66)</f>
        <v>5</v>
      </c>
    </row>
    <row r="67" spans="1:17" x14ac:dyDescent="0.3">
      <c r="A67" t="s">
        <v>73</v>
      </c>
      <c r="B67" t="str">
        <f t="shared" si="4"/>
        <v xml:space="preserve"> 06</v>
      </c>
      <c r="C67">
        <f t="shared" si="5"/>
        <v>5</v>
      </c>
      <c r="D67" t="str">
        <f t="shared" si="6"/>
        <v xml:space="preserve">2016-12-16 </v>
      </c>
      <c r="E67" t="str">
        <f>TEXT(Demand_Data___Hourly_OverviewSearch_1_csv[[#This Row],[Day]],"dddd")</f>
        <v>Thursday</v>
      </c>
      <c r="F67">
        <v>2</v>
      </c>
      <c r="G67">
        <v>3</v>
      </c>
      <c r="H67">
        <v>60</v>
      </c>
      <c r="I67">
        <f>VLOOKUP(Demand_Data___Hourly_OverviewSearch_1_csv[[#This Row],[Date]],Supply_Data___Hourly_DriverActivity_1_csv__3[#All],2,FALSE)</f>
        <v>17</v>
      </c>
      <c r="J67">
        <f>VLOOKUP(Demand_Data___Hourly_OverviewSearch_1_csv[[#This Row],[Date]],Supply_Data___Hourly_DriverActivity_1_csv__3[#All],3,FALSE)</f>
        <v>4</v>
      </c>
      <c r="K67">
        <f>VLOOKUP(Demand_Data___Hourly_OverviewSearch_1_csv[[#This Row],[Date]],Supply_Data___Hourly_DriverActivity_1_csv__3[#All],4,FALSE)</f>
        <v>0</v>
      </c>
      <c r="L67">
        <f>VLOOKUP(Demand_Data___Hourly_OverviewSearch_1_csv[[#This Row],[Date]],Supply_Data___Hourly_DriverActivity_1_csv__3[#All],5,FALSE)</f>
        <v>3</v>
      </c>
      <c r="M67">
        <f>VLOOKUP(Demand_Data___Hourly_OverviewSearch_1_csv[[#This Row],[Date]],Supply_Data___Hourly_DriverActivity_1_csv__3[#All],6,FALSE)</f>
        <v>0.2</v>
      </c>
      <c r="N67">
        <f>VLOOKUP(Demand_Data___Hourly_OverviewSearch_1_csv[[#This Row],[Date]],Supply_Data___Hourly_DriverActivity_1_csv__3[#All],7,FALSE)</f>
        <v>0</v>
      </c>
      <c r="O67">
        <f>VLOOKUP(Demand_Data___Hourly_OverviewSearch_1_csv[[#This Row],[Date]],Supply_Data___Hourly_DriverActivity_1_csv__3[#All],8,FALSE)</f>
        <v>0</v>
      </c>
      <c r="P67">
        <f>(Demand_Data___Hourly_OverviewSearch_1_csv[[#This Row],[People saw 0 cars (unique)]]+Demand_Data___Hourly_OverviewSearch_1_csv[[#This Row],[People saw +1 cars (unique)]])</f>
        <v>5</v>
      </c>
      <c r="Q67" s="143">
        <f t="shared" si="7"/>
        <v>4</v>
      </c>
    </row>
    <row r="68" spans="1:17" x14ac:dyDescent="0.3">
      <c r="A68" t="s">
        <v>74</v>
      </c>
      <c r="B68" t="str">
        <f t="shared" si="4"/>
        <v xml:space="preserve"> 05</v>
      </c>
      <c r="C68">
        <f t="shared" si="5"/>
        <v>5</v>
      </c>
      <c r="D68" t="str">
        <f t="shared" si="6"/>
        <v xml:space="preserve">2016-12-16 </v>
      </c>
      <c r="E68" t="str">
        <f>TEXT(Demand_Data___Hourly_OverviewSearch_1_csv[[#This Row],[Day]],"dddd")</f>
        <v>Thursday</v>
      </c>
      <c r="F68">
        <v>2</v>
      </c>
      <c r="G68">
        <v>4</v>
      </c>
      <c r="H68">
        <v>67</v>
      </c>
      <c r="I68">
        <f>VLOOKUP(Demand_Data___Hourly_OverviewSearch_1_csv[[#This Row],[Date]],Supply_Data___Hourly_DriverActivity_1_csv__3[#All],2,FALSE)</f>
        <v>20</v>
      </c>
      <c r="J68">
        <f>VLOOKUP(Demand_Data___Hourly_OverviewSearch_1_csv[[#This Row],[Date]],Supply_Data___Hourly_DriverActivity_1_csv__3[#All],3,FALSE)</f>
        <v>5</v>
      </c>
      <c r="K68">
        <f>VLOOKUP(Demand_Data___Hourly_OverviewSearch_1_csv[[#This Row],[Date]],Supply_Data___Hourly_DriverActivity_1_csv__3[#All],4,FALSE)</f>
        <v>1</v>
      </c>
      <c r="L68">
        <f>VLOOKUP(Demand_Data___Hourly_OverviewSearch_1_csv[[#This Row],[Date]],Supply_Data___Hourly_DriverActivity_1_csv__3[#All],5,FALSE)</f>
        <v>4</v>
      </c>
      <c r="M68">
        <f>VLOOKUP(Demand_Data___Hourly_OverviewSearch_1_csv[[#This Row],[Date]],Supply_Data___Hourly_DriverActivity_1_csv__3[#All],6,FALSE)</f>
        <v>0.3</v>
      </c>
      <c r="N68">
        <f>VLOOKUP(Demand_Data___Hourly_OverviewSearch_1_csv[[#This Row],[Date]],Supply_Data___Hourly_DriverActivity_1_csv__3[#All],7,FALSE)</f>
        <v>0.2</v>
      </c>
      <c r="O68">
        <f>VLOOKUP(Demand_Data___Hourly_OverviewSearch_1_csv[[#This Row],[Date]],Supply_Data___Hourly_DriverActivity_1_csv__3[#All],8,FALSE)</f>
        <v>1</v>
      </c>
      <c r="P68">
        <f>(Demand_Data___Hourly_OverviewSearch_1_csv[[#This Row],[People saw 0 cars (unique)]]+Demand_Data___Hourly_OverviewSearch_1_csv[[#This Row],[People saw +1 cars (unique)]])</f>
        <v>6</v>
      </c>
      <c r="Q68" s="143">
        <f t="shared" si="7"/>
        <v>4</v>
      </c>
    </row>
    <row r="69" spans="1:17" x14ac:dyDescent="0.3">
      <c r="A69" t="s">
        <v>75</v>
      </c>
      <c r="B69" t="str">
        <f t="shared" si="4"/>
        <v xml:space="preserve"> 04</v>
      </c>
      <c r="C69">
        <f t="shared" si="5"/>
        <v>5</v>
      </c>
      <c r="D69" t="str">
        <f t="shared" si="6"/>
        <v xml:space="preserve">2016-12-16 </v>
      </c>
      <c r="E69" t="str">
        <f>TEXT(Demand_Data___Hourly_OverviewSearch_1_csv[[#This Row],[Day]],"dddd")</f>
        <v>Thursday</v>
      </c>
      <c r="F69">
        <v>18</v>
      </c>
      <c r="G69">
        <v>13</v>
      </c>
      <c r="H69">
        <v>42</v>
      </c>
      <c r="I69">
        <f>VLOOKUP(Demand_Data___Hourly_OverviewSearch_1_csv[[#This Row],[Date]],Supply_Data___Hourly_DriverActivity_1_csv__3[#All],2,FALSE)</f>
        <v>24</v>
      </c>
      <c r="J69">
        <f>VLOOKUP(Demand_Data___Hourly_OverviewSearch_1_csv[[#This Row],[Date]],Supply_Data___Hourly_DriverActivity_1_csv__3[#All],3,FALSE)</f>
        <v>4</v>
      </c>
      <c r="K69">
        <f>VLOOKUP(Demand_Data___Hourly_OverviewSearch_1_csv[[#This Row],[Date]],Supply_Data___Hourly_DriverActivity_1_csv__3[#All],4,FALSE)</f>
        <v>2</v>
      </c>
      <c r="L69">
        <f>VLOOKUP(Demand_Data___Hourly_OverviewSearch_1_csv[[#This Row],[Date]],Supply_Data___Hourly_DriverActivity_1_csv__3[#All],5,FALSE)</f>
        <v>3</v>
      </c>
      <c r="M69">
        <f>VLOOKUP(Demand_Data___Hourly_OverviewSearch_1_csv[[#This Row],[Date]],Supply_Data___Hourly_DriverActivity_1_csv__3[#All],6,FALSE)</f>
        <v>0.2</v>
      </c>
      <c r="N69">
        <f>VLOOKUP(Demand_Data___Hourly_OverviewSearch_1_csv[[#This Row],[Date]],Supply_Data___Hourly_DriverActivity_1_csv__3[#All],7,FALSE)</f>
        <v>1.25</v>
      </c>
      <c r="O69">
        <f>VLOOKUP(Demand_Data___Hourly_OverviewSearch_1_csv[[#This Row],[Date]],Supply_Data___Hourly_DriverActivity_1_csv__3[#All],8,FALSE)</f>
        <v>5</v>
      </c>
      <c r="P69">
        <f>(Demand_Data___Hourly_OverviewSearch_1_csv[[#This Row],[People saw 0 cars (unique)]]+Demand_Data___Hourly_OverviewSearch_1_csv[[#This Row],[People saw +1 cars (unique)]])</f>
        <v>31</v>
      </c>
      <c r="Q69" s="143">
        <f t="shared" si="7"/>
        <v>2</v>
      </c>
    </row>
    <row r="70" spans="1:17" x14ac:dyDescent="0.3">
      <c r="A70" t="s">
        <v>76</v>
      </c>
      <c r="B70" t="str">
        <f t="shared" si="4"/>
        <v xml:space="preserve"> 03</v>
      </c>
      <c r="C70">
        <f t="shared" si="5"/>
        <v>5</v>
      </c>
      <c r="D70" t="str">
        <f t="shared" si="6"/>
        <v xml:space="preserve">2016-12-16 </v>
      </c>
      <c r="E70" t="str">
        <f>TEXT(Demand_Data___Hourly_OverviewSearch_1_csv[[#This Row],[Day]],"dddd")</f>
        <v>Thursday</v>
      </c>
      <c r="F70">
        <v>59</v>
      </c>
      <c r="G70">
        <v>18</v>
      </c>
      <c r="H70">
        <v>23</v>
      </c>
      <c r="I70">
        <f>VLOOKUP(Demand_Data___Hourly_OverviewSearch_1_csv[[#This Row],[Date]],Supply_Data___Hourly_DriverActivity_1_csv__3[#All],2,FALSE)</f>
        <v>23</v>
      </c>
      <c r="J70">
        <f>VLOOKUP(Demand_Data___Hourly_OverviewSearch_1_csv[[#This Row],[Date]],Supply_Data___Hourly_DriverActivity_1_csv__3[#All],3,FALSE)</f>
        <v>6</v>
      </c>
      <c r="K70">
        <f>VLOOKUP(Demand_Data___Hourly_OverviewSearch_1_csv[[#This Row],[Date]],Supply_Data___Hourly_DriverActivity_1_csv__3[#All],4,FALSE)</f>
        <v>3</v>
      </c>
      <c r="L70">
        <f>VLOOKUP(Demand_Data___Hourly_OverviewSearch_1_csv[[#This Row],[Date]],Supply_Data___Hourly_DriverActivity_1_csv__3[#All],5,FALSE)</f>
        <v>2</v>
      </c>
      <c r="M70">
        <f>VLOOKUP(Demand_Data___Hourly_OverviewSearch_1_csv[[#This Row],[Date]],Supply_Data___Hourly_DriverActivity_1_csv__3[#All],6,FALSE)</f>
        <v>0.3</v>
      </c>
      <c r="N70">
        <f>VLOOKUP(Demand_Data___Hourly_OverviewSearch_1_csv[[#This Row],[Date]],Supply_Data___Hourly_DriverActivity_1_csv__3[#All],7,FALSE)</f>
        <v>1</v>
      </c>
      <c r="O70">
        <f>VLOOKUP(Demand_Data___Hourly_OverviewSearch_1_csv[[#This Row],[Date]],Supply_Data___Hourly_DriverActivity_1_csv__3[#All],8,FALSE)</f>
        <v>6</v>
      </c>
      <c r="P70">
        <f>(Demand_Data___Hourly_OverviewSearch_1_csv[[#This Row],[People saw 0 cars (unique)]]+Demand_Data___Hourly_OverviewSearch_1_csv[[#This Row],[People saw +1 cars (unique)]])</f>
        <v>77</v>
      </c>
      <c r="Q70" s="143">
        <f t="shared" si="7"/>
        <v>3</v>
      </c>
    </row>
    <row r="71" spans="1:17" x14ac:dyDescent="0.3">
      <c r="A71" t="s">
        <v>77</v>
      </c>
      <c r="B71" t="str">
        <f t="shared" si="4"/>
        <v xml:space="preserve"> 02</v>
      </c>
      <c r="C71">
        <f t="shared" si="5"/>
        <v>5</v>
      </c>
      <c r="D71" t="str">
        <f t="shared" si="6"/>
        <v xml:space="preserve">2016-12-16 </v>
      </c>
      <c r="E71" t="str">
        <f>TEXT(Demand_Data___Hourly_OverviewSearch_1_csv[[#This Row],[Day]],"dddd")</f>
        <v>Thursday</v>
      </c>
      <c r="F71">
        <v>59</v>
      </c>
      <c r="G71">
        <v>26</v>
      </c>
      <c r="H71">
        <v>31</v>
      </c>
      <c r="I71">
        <f>VLOOKUP(Demand_Data___Hourly_OverviewSearch_1_csv[[#This Row],[Date]],Supply_Data___Hourly_DriverActivity_1_csv__3[#All],2,FALSE)</f>
        <v>34</v>
      </c>
      <c r="J71">
        <f>VLOOKUP(Demand_Data___Hourly_OverviewSearch_1_csv[[#This Row],[Date]],Supply_Data___Hourly_DriverActivity_1_csv__3[#All],3,FALSE)</f>
        <v>12</v>
      </c>
      <c r="K71">
        <f>VLOOKUP(Demand_Data___Hourly_OverviewSearch_1_csv[[#This Row],[Date]],Supply_Data___Hourly_DriverActivity_1_csv__3[#All],4,FALSE)</f>
        <v>8</v>
      </c>
      <c r="L71">
        <f>VLOOKUP(Demand_Data___Hourly_OverviewSearch_1_csv[[#This Row],[Date]],Supply_Data___Hourly_DriverActivity_1_csv__3[#All],5,FALSE)</f>
        <v>4</v>
      </c>
      <c r="M71">
        <f>VLOOKUP(Demand_Data___Hourly_OverviewSearch_1_csv[[#This Row],[Date]],Supply_Data___Hourly_DriverActivity_1_csv__3[#All],6,FALSE)</f>
        <v>0.4</v>
      </c>
      <c r="N71">
        <f>VLOOKUP(Demand_Data___Hourly_OverviewSearch_1_csv[[#This Row],[Date]],Supply_Data___Hourly_DriverActivity_1_csv__3[#All],7,FALSE)</f>
        <v>1.25</v>
      </c>
      <c r="O71">
        <f>VLOOKUP(Demand_Data___Hourly_OverviewSearch_1_csv[[#This Row],[Date]],Supply_Data___Hourly_DriverActivity_1_csv__3[#All],8,FALSE)</f>
        <v>15</v>
      </c>
      <c r="P71">
        <f>(Demand_Data___Hourly_OverviewSearch_1_csv[[#This Row],[People saw 0 cars (unique)]]+Demand_Data___Hourly_OverviewSearch_1_csv[[#This Row],[People saw +1 cars (unique)]])</f>
        <v>85</v>
      </c>
      <c r="Q71" s="143">
        <f t="shared" si="7"/>
        <v>4</v>
      </c>
    </row>
    <row r="72" spans="1:17" x14ac:dyDescent="0.3">
      <c r="A72" t="s">
        <v>78</v>
      </c>
      <c r="B72" t="str">
        <f t="shared" si="4"/>
        <v xml:space="preserve"> 01</v>
      </c>
      <c r="C72">
        <f t="shared" si="5"/>
        <v>5</v>
      </c>
      <c r="D72" t="str">
        <f t="shared" si="6"/>
        <v xml:space="preserve">2016-12-16 </v>
      </c>
      <c r="E72" t="str">
        <f>TEXT(Demand_Data___Hourly_OverviewSearch_1_csv[[#This Row],[Day]],"dddd")</f>
        <v>Thursday</v>
      </c>
      <c r="F72">
        <v>34</v>
      </c>
      <c r="G72">
        <v>40</v>
      </c>
      <c r="H72">
        <v>54</v>
      </c>
      <c r="I72">
        <f>VLOOKUP(Demand_Data___Hourly_OverviewSearch_1_csv[[#This Row],[Date]],Supply_Data___Hourly_DriverActivity_1_csv__3[#All],2,FALSE)</f>
        <v>43</v>
      </c>
      <c r="J72">
        <f>VLOOKUP(Demand_Data___Hourly_OverviewSearch_1_csv[[#This Row],[Date]],Supply_Data___Hourly_DriverActivity_1_csv__3[#All],3,FALSE)</f>
        <v>13</v>
      </c>
      <c r="K72">
        <f>VLOOKUP(Demand_Data___Hourly_OverviewSearch_1_csv[[#This Row],[Date]],Supply_Data___Hourly_DriverActivity_1_csv__3[#All],4,FALSE)</f>
        <v>8</v>
      </c>
      <c r="L72">
        <f>VLOOKUP(Demand_Data___Hourly_OverviewSearch_1_csv[[#This Row],[Date]],Supply_Data___Hourly_DriverActivity_1_csv__3[#All],5,FALSE)</f>
        <v>5</v>
      </c>
      <c r="M72">
        <f>VLOOKUP(Demand_Data___Hourly_OverviewSearch_1_csv[[#This Row],[Date]],Supply_Data___Hourly_DriverActivity_1_csv__3[#All],6,FALSE)</f>
        <v>0.3</v>
      </c>
      <c r="N72">
        <f>VLOOKUP(Demand_Data___Hourly_OverviewSearch_1_csv[[#This Row],[Date]],Supply_Data___Hourly_DriverActivity_1_csv__3[#All],7,FALSE)</f>
        <v>1.69</v>
      </c>
      <c r="O72">
        <f>VLOOKUP(Demand_Data___Hourly_OverviewSearch_1_csv[[#This Row],[Date]],Supply_Data___Hourly_DriverActivity_1_csv__3[#All],8,FALSE)</f>
        <v>22</v>
      </c>
      <c r="P72">
        <f>(Demand_Data___Hourly_OverviewSearch_1_csv[[#This Row],[People saw 0 cars (unique)]]+Demand_Data___Hourly_OverviewSearch_1_csv[[#This Row],[People saw +1 cars (unique)]])</f>
        <v>74</v>
      </c>
      <c r="Q72" s="143">
        <f t="shared" si="7"/>
        <v>5</v>
      </c>
    </row>
    <row r="73" spans="1:17" x14ac:dyDescent="0.3">
      <c r="A73" t="s">
        <v>79</v>
      </c>
      <c r="B73" t="str">
        <f t="shared" si="4"/>
        <v xml:space="preserve"> 00</v>
      </c>
      <c r="C73">
        <f t="shared" si="5"/>
        <v>5</v>
      </c>
      <c r="D73" t="str">
        <f t="shared" si="6"/>
        <v xml:space="preserve">2016-12-16 </v>
      </c>
      <c r="E73" t="str">
        <f>TEXT(Demand_Data___Hourly_OverviewSearch_1_csv[[#This Row],[Day]],"dddd")</f>
        <v>Thursday</v>
      </c>
      <c r="F73">
        <v>26</v>
      </c>
      <c r="G73">
        <v>60</v>
      </c>
      <c r="H73">
        <v>70</v>
      </c>
      <c r="I73">
        <f>VLOOKUP(Demand_Data___Hourly_OverviewSearch_1_csv[[#This Row],[Date]],Supply_Data___Hourly_DriverActivity_1_csv__3[#All],2,FALSE)</f>
        <v>57</v>
      </c>
      <c r="J73">
        <f>VLOOKUP(Demand_Data___Hourly_OverviewSearch_1_csv[[#This Row],[Date]],Supply_Data___Hourly_DriverActivity_1_csv__3[#All],3,FALSE)</f>
        <v>22</v>
      </c>
      <c r="K73">
        <f>VLOOKUP(Demand_Data___Hourly_OverviewSearch_1_csv[[#This Row],[Date]],Supply_Data___Hourly_DriverActivity_1_csv__3[#All],4,FALSE)</f>
        <v>11</v>
      </c>
      <c r="L73">
        <f>VLOOKUP(Demand_Data___Hourly_OverviewSearch_1_csv[[#This Row],[Date]],Supply_Data___Hourly_DriverActivity_1_csv__3[#All],5,FALSE)</f>
        <v>11</v>
      </c>
      <c r="M73">
        <f>VLOOKUP(Demand_Data___Hourly_OverviewSearch_1_csv[[#This Row],[Date]],Supply_Data___Hourly_DriverActivity_1_csv__3[#All],6,FALSE)</f>
        <v>0.4</v>
      </c>
      <c r="N73">
        <f>VLOOKUP(Demand_Data___Hourly_OverviewSearch_1_csv[[#This Row],[Date]],Supply_Data___Hourly_DriverActivity_1_csv__3[#All],7,FALSE)</f>
        <v>1.18</v>
      </c>
      <c r="O73">
        <f>VLOOKUP(Demand_Data___Hourly_OverviewSearch_1_csv[[#This Row],[Date]],Supply_Data___Hourly_DriverActivity_1_csv__3[#All],8,FALSE)</f>
        <v>26</v>
      </c>
      <c r="P73">
        <f>(Demand_Data___Hourly_OverviewSearch_1_csv[[#This Row],[People saw 0 cars (unique)]]+Demand_Data___Hourly_OverviewSearch_1_csv[[#This Row],[People saw +1 cars (unique)]])</f>
        <v>86</v>
      </c>
      <c r="Q73" s="143">
        <f t="shared" si="7"/>
        <v>11</v>
      </c>
    </row>
    <row r="74" spans="1:17" x14ac:dyDescent="0.3">
      <c r="A74" t="s">
        <v>80</v>
      </c>
      <c r="B74" t="str">
        <f t="shared" si="4"/>
        <v xml:space="preserve"> 23</v>
      </c>
      <c r="C74">
        <f t="shared" si="5"/>
        <v>4</v>
      </c>
      <c r="D74" t="str">
        <f t="shared" si="6"/>
        <v xml:space="preserve">2016-12-15 </v>
      </c>
      <c r="E74" t="str">
        <f>TEXT(Demand_Data___Hourly_OverviewSearch_1_csv[[#This Row],[Day]],"dddd")</f>
        <v>Wednesday</v>
      </c>
      <c r="F74">
        <v>34</v>
      </c>
      <c r="G74">
        <v>89</v>
      </c>
      <c r="H74">
        <v>72</v>
      </c>
      <c r="I74">
        <f>VLOOKUP(Demand_Data___Hourly_OverviewSearch_1_csv[[#This Row],[Date]],Supply_Data___Hourly_DriverActivity_1_csv__3[#All],2,FALSE)</f>
        <v>67</v>
      </c>
      <c r="J74">
        <f>VLOOKUP(Demand_Data___Hourly_OverviewSearch_1_csv[[#This Row],[Date]],Supply_Data___Hourly_DriverActivity_1_csv__3[#All],3,FALSE)</f>
        <v>33</v>
      </c>
      <c r="K74">
        <f>VLOOKUP(Demand_Data___Hourly_OverviewSearch_1_csv[[#This Row],[Date]],Supply_Data___Hourly_DriverActivity_1_csv__3[#All],4,FALSE)</f>
        <v>21</v>
      </c>
      <c r="L74">
        <f>VLOOKUP(Demand_Data___Hourly_OverviewSearch_1_csv[[#This Row],[Date]],Supply_Data___Hourly_DriverActivity_1_csv__3[#All],5,FALSE)</f>
        <v>12</v>
      </c>
      <c r="M74">
        <f>VLOOKUP(Demand_Data___Hourly_OverviewSearch_1_csv[[#This Row],[Date]],Supply_Data___Hourly_DriverActivity_1_csv__3[#All],6,FALSE)</f>
        <v>0.5</v>
      </c>
      <c r="N74">
        <f>VLOOKUP(Demand_Data___Hourly_OverviewSearch_1_csv[[#This Row],[Date]],Supply_Data___Hourly_DriverActivity_1_csv__3[#All],7,FALSE)</f>
        <v>1.55</v>
      </c>
      <c r="O74">
        <f>VLOOKUP(Demand_Data___Hourly_OverviewSearch_1_csv[[#This Row],[Date]],Supply_Data___Hourly_DriverActivity_1_csv__3[#All],8,FALSE)</f>
        <v>51</v>
      </c>
      <c r="P74">
        <f>(Demand_Data___Hourly_OverviewSearch_1_csv[[#This Row],[People saw 0 cars (unique)]]+Demand_Data___Hourly_OverviewSearch_1_csv[[#This Row],[People saw +1 cars (unique)]])</f>
        <v>123</v>
      </c>
      <c r="Q74" s="143">
        <f t="shared" si="7"/>
        <v>12</v>
      </c>
    </row>
    <row r="75" spans="1:17" x14ac:dyDescent="0.3">
      <c r="A75" t="s">
        <v>81</v>
      </c>
      <c r="B75" t="str">
        <f t="shared" si="4"/>
        <v xml:space="preserve"> 22</v>
      </c>
      <c r="C75">
        <f t="shared" si="5"/>
        <v>4</v>
      </c>
      <c r="D75" t="str">
        <f t="shared" si="6"/>
        <v xml:space="preserve">2016-12-15 </v>
      </c>
      <c r="E75" t="str">
        <f>TEXT(Demand_Data___Hourly_OverviewSearch_1_csv[[#This Row],[Day]],"dddd")</f>
        <v>Wednesday</v>
      </c>
      <c r="F75">
        <v>2</v>
      </c>
      <c r="G75">
        <v>91</v>
      </c>
      <c r="H75">
        <v>98</v>
      </c>
      <c r="I75">
        <f>VLOOKUP(Demand_Data___Hourly_OverviewSearch_1_csv[[#This Row],[Date]],Supply_Data___Hourly_DriverActivity_1_csv__3[#All],2,FALSE)</f>
        <v>90</v>
      </c>
      <c r="J75">
        <f>VLOOKUP(Demand_Data___Hourly_OverviewSearch_1_csv[[#This Row],[Date]],Supply_Data___Hourly_DriverActivity_1_csv__3[#All],3,FALSE)</f>
        <v>36</v>
      </c>
      <c r="K75">
        <f>VLOOKUP(Demand_Data___Hourly_OverviewSearch_1_csv[[#This Row],[Date]],Supply_Data___Hourly_DriverActivity_1_csv__3[#All],4,FALSE)</f>
        <v>16</v>
      </c>
      <c r="L75">
        <f>VLOOKUP(Demand_Data___Hourly_OverviewSearch_1_csv[[#This Row],[Date]],Supply_Data___Hourly_DriverActivity_1_csv__3[#All],5,FALSE)</f>
        <v>20</v>
      </c>
      <c r="M75">
        <f>VLOOKUP(Demand_Data___Hourly_OverviewSearch_1_csv[[#This Row],[Date]],Supply_Data___Hourly_DriverActivity_1_csv__3[#All],6,FALSE)</f>
        <v>0.4</v>
      </c>
      <c r="N75">
        <f>VLOOKUP(Demand_Data___Hourly_OverviewSearch_1_csv[[#This Row],[Date]],Supply_Data___Hourly_DriverActivity_1_csv__3[#All],7,FALSE)</f>
        <v>1.19</v>
      </c>
      <c r="O75">
        <f>VLOOKUP(Demand_Data___Hourly_OverviewSearch_1_csv[[#This Row],[Date]],Supply_Data___Hourly_DriverActivity_1_csv__3[#All],8,FALSE)</f>
        <v>43</v>
      </c>
      <c r="P75">
        <f>(Demand_Data___Hourly_OverviewSearch_1_csv[[#This Row],[People saw 0 cars (unique)]]+Demand_Data___Hourly_OverviewSearch_1_csv[[#This Row],[People saw +1 cars (unique)]])</f>
        <v>93</v>
      </c>
      <c r="Q75" s="143">
        <f t="shared" si="7"/>
        <v>20</v>
      </c>
    </row>
    <row r="76" spans="1:17" x14ac:dyDescent="0.3">
      <c r="A76" t="s">
        <v>82</v>
      </c>
      <c r="B76" t="str">
        <f t="shared" si="4"/>
        <v xml:space="preserve"> 21</v>
      </c>
      <c r="C76">
        <f t="shared" si="5"/>
        <v>4</v>
      </c>
      <c r="D76" t="str">
        <f t="shared" si="6"/>
        <v xml:space="preserve">2016-12-15 </v>
      </c>
      <c r="E76" t="str">
        <f>TEXT(Demand_Data___Hourly_OverviewSearch_1_csv[[#This Row],[Day]],"dddd")</f>
        <v>Wednesday</v>
      </c>
      <c r="F76">
        <v>16</v>
      </c>
      <c r="G76">
        <v>97</v>
      </c>
      <c r="H76">
        <v>86</v>
      </c>
      <c r="I76">
        <f>VLOOKUP(Demand_Data___Hourly_OverviewSearch_1_csv[[#This Row],[Date]],Supply_Data___Hourly_DriverActivity_1_csv__3[#All],2,FALSE)</f>
        <v>95</v>
      </c>
      <c r="J76">
        <f>VLOOKUP(Demand_Data___Hourly_OverviewSearch_1_csv[[#This Row],[Date]],Supply_Data___Hourly_DriverActivity_1_csv__3[#All],3,FALSE)</f>
        <v>35</v>
      </c>
      <c r="K76">
        <f>VLOOKUP(Demand_Data___Hourly_OverviewSearch_1_csv[[#This Row],[Date]],Supply_Data___Hourly_DriverActivity_1_csv__3[#All],4,FALSE)</f>
        <v>17</v>
      </c>
      <c r="L76">
        <f>VLOOKUP(Demand_Data___Hourly_OverviewSearch_1_csv[[#This Row],[Date]],Supply_Data___Hourly_DriverActivity_1_csv__3[#All],5,FALSE)</f>
        <v>18</v>
      </c>
      <c r="M76">
        <f>VLOOKUP(Demand_Data___Hourly_OverviewSearch_1_csv[[#This Row],[Date]],Supply_Data___Hourly_DriverActivity_1_csv__3[#All],6,FALSE)</f>
        <v>0.4</v>
      </c>
      <c r="N76">
        <f>VLOOKUP(Demand_Data___Hourly_OverviewSearch_1_csv[[#This Row],[Date]],Supply_Data___Hourly_DriverActivity_1_csv__3[#All],7,FALSE)</f>
        <v>1.29</v>
      </c>
      <c r="O76">
        <f>VLOOKUP(Demand_Data___Hourly_OverviewSearch_1_csv[[#This Row],[Date]],Supply_Data___Hourly_DriverActivity_1_csv__3[#All],8,FALSE)</f>
        <v>45</v>
      </c>
      <c r="P76">
        <f>(Demand_Data___Hourly_OverviewSearch_1_csv[[#This Row],[People saw 0 cars (unique)]]+Demand_Data___Hourly_OverviewSearch_1_csv[[#This Row],[People saw +1 cars (unique)]])</f>
        <v>113</v>
      </c>
      <c r="Q76" s="143">
        <f t="shared" si="7"/>
        <v>18</v>
      </c>
    </row>
    <row r="77" spans="1:17" x14ac:dyDescent="0.3">
      <c r="A77" t="s">
        <v>83</v>
      </c>
      <c r="B77" t="str">
        <f t="shared" si="4"/>
        <v xml:space="preserve"> 20</v>
      </c>
      <c r="C77">
        <f t="shared" si="5"/>
        <v>4</v>
      </c>
      <c r="D77" t="str">
        <f t="shared" si="6"/>
        <v xml:space="preserve">2016-12-15 </v>
      </c>
      <c r="E77" t="str">
        <f>TEXT(Demand_Data___Hourly_OverviewSearch_1_csv[[#This Row],[Day]],"dddd")</f>
        <v>Wednesday</v>
      </c>
      <c r="F77">
        <v>66</v>
      </c>
      <c r="G77">
        <v>105</v>
      </c>
      <c r="H77">
        <v>61</v>
      </c>
      <c r="I77">
        <f>VLOOKUP(Demand_Data___Hourly_OverviewSearch_1_csv[[#This Row],[Date]],Supply_Data___Hourly_DriverActivity_1_csv__3[#All],2,FALSE)</f>
        <v>78</v>
      </c>
      <c r="J77">
        <f>VLOOKUP(Demand_Data___Hourly_OverviewSearch_1_csv[[#This Row],[Date]],Supply_Data___Hourly_DriverActivity_1_csv__3[#All],3,FALSE)</f>
        <v>33</v>
      </c>
      <c r="K77">
        <f>VLOOKUP(Demand_Data___Hourly_OverviewSearch_1_csv[[#This Row],[Date]],Supply_Data___Hourly_DriverActivity_1_csv__3[#All],4,FALSE)</f>
        <v>24</v>
      </c>
      <c r="L77">
        <f>VLOOKUP(Demand_Data___Hourly_OverviewSearch_1_csv[[#This Row],[Date]],Supply_Data___Hourly_DriverActivity_1_csv__3[#All],5,FALSE)</f>
        <v>9</v>
      </c>
      <c r="M77">
        <f>VLOOKUP(Demand_Data___Hourly_OverviewSearch_1_csv[[#This Row],[Date]],Supply_Data___Hourly_DriverActivity_1_csv__3[#All],6,FALSE)</f>
        <v>0.4</v>
      </c>
      <c r="N77">
        <f>VLOOKUP(Demand_Data___Hourly_OverviewSearch_1_csv[[#This Row],[Date]],Supply_Data___Hourly_DriverActivity_1_csv__3[#All],7,FALSE)</f>
        <v>1.52</v>
      </c>
      <c r="O77">
        <f>VLOOKUP(Demand_Data___Hourly_OverviewSearch_1_csv[[#This Row],[Date]],Supply_Data___Hourly_DriverActivity_1_csv__3[#All],8,FALSE)</f>
        <v>50</v>
      </c>
      <c r="P77">
        <f>(Demand_Data___Hourly_OverviewSearch_1_csv[[#This Row],[People saw 0 cars (unique)]]+Demand_Data___Hourly_OverviewSearch_1_csv[[#This Row],[People saw +1 cars (unique)]])</f>
        <v>171</v>
      </c>
      <c r="Q77" s="143">
        <f t="shared" si="7"/>
        <v>9</v>
      </c>
    </row>
    <row r="78" spans="1:17" x14ac:dyDescent="0.3">
      <c r="A78" t="s">
        <v>84</v>
      </c>
      <c r="B78" t="str">
        <f t="shared" si="4"/>
        <v xml:space="preserve"> 19</v>
      </c>
      <c r="C78">
        <f t="shared" si="5"/>
        <v>4</v>
      </c>
      <c r="D78" t="str">
        <f t="shared" si="6"/>
        <v xml:space="preserve">2016-12-15 </v>
      </c>
      <c r="E78" t="str">
        <f>TEXT(Demand_Data___Hourly_OverviewSearch_1_csv[[#This Row],[Day]],"dddd")</f>
        <v>Wednesday</v>
      </c>
      <c r="F78">
        <v>105</v>
      </c>
      <c r="G78">
        <v>81</v>
      </c>
      <c r="H78">
        <v>44</v>
      </c>
      <c r="I78">
        <f>VLOOKUP(Demand_Data___Hourly_OverviewSearch_1_csv[[#This Row],[Date]],Supply_Data___Hourly_DriverActivity_1_csv__3[#All],2,FALSE)</f>
        <v>70</v>
      </c>
      <c r="J78">
        <f>VLOOKUP(Demand_Data___Hourly_OverviewSearch_1_csv[[#This Row],[Date]],Supply_Data___Hourly_DriverActivity_1_csv__3[#All],3,FALSE)</f>
        <v>30</v>
      </c>
      <c r="K78">
        <f>VLOOKUP(Demand_Data___Hourly_OverviewSearch_1_csv[[#This Row],[Date]],Supply_Data___Hourly_DriverActivity_1_csv__3[#All],4,FALSE)</f>
        <v>26</v>
      </c>
      <c r="L78">
        <f>VLOOKUP(Demand_Data___Hourly_OverviewSearch_1_csv[[#This Row],[Date]],Supply_Data___Hourly_DriverActivity_1_csv__3[#All],5,FALSE)</f>
        <v>4</v>
      </c>
      <c r="M78">
        <f>VLOOKUP(Demand_Data___Hourly_OverviewSearch_1_csv[[#This Row],[Date]],Supply_Data___Hourly_DriverActivity_1_csv__3[#All],6,FALSE)</f>
        <v>0.4</v>
      </c>
      <c r="N78">
        <f>VLOOKUP(Demand_Data___Hourly_OverviewSearch_1_csv[[#This Row],[Date]],Supply_Data___Hourly_DriverActivity_1_csv__3[#All],7,FALSE)</f>
        <v>1.47</v>
      </c>
      <c r="O78">
        <f>VLOOKUP(Demand_Data___Hourly_OverviewSearch_1_csv[[#This Row],[Date]],Supply_Data___Hourly_DriverActivity_1_csv__3[#All],8,FALSE)</f>
        <v>44</v>
      </c>
      <c r="P78">
        <f>(Demand_Data___Hourly_OverviewSearch_1_csv[[#This Row],[People saw 0 cars (unique)]]+Demand_Data___Hourly_OverviewSearch_1_csv[[#This Row],[People saw +1 cars (unique)]])</f>
        <v>186</v>
      </c>
      <c r="Q78" s="143">
        <f t="shared" si="7"/>
        <v>4</v>
      </c>
    </row>
    <row r="79" spans="1:17" x14ac:dyDescent="0.3">
      <c r="A79" t="s">
        <v>85</v>
      </c>
      <c r="B79" t="str">
        <f t="shared" si="4"/>
        <v xml:space="preserve"> 18</v>
      </c>
      <c r="C79">
        <f t="shared" si="5"/>
        <v>4</v>
      </c>
      <c r="D79" t="str">
        <f t="shared" si="6"/>
        <v xml:space="preserve">2016-12-15 </v>
      </c>
      <c r="E79" t="str">
        <f>TEXT(Demand_Data___Hourly_OverviewSearch_1_csv[[#This Row],[Day]],"dddd")</f>
        <v>Wednesday</v>
      </c>
      <c r="F79">
        <v>124</v>
      </c>
      <c r="G79">
        <v>72</v>
      </c>
      <c r="H79">
        <v>37</v>
      </c>
      <c r="I79">
        <f>VLOOKUP(Demand_Data___Hourly_OverviewSearch_1_csv[[#This Row],[Date]],Supply_Data___Hourly_DriverActivity_1_csv__3[#All],2,FALSE)</f>
        <v>59</v>
      </c>
      <c r="J79">
        <f>VLOOKUP(Demand_Data___Hourly_OverviewSearch_1_csv[[#This Row],[Date]],Supply_Data___Hourly_DriverActivity_1_csv__3[#All],3,FALSE)</f>
        <v>25</v>
      </c>
      <c r="K79">
        <f>VLOOKUP(Demand_Data___Hourly_OverviewSearch_1_csv[[#This Row],[Date]],Supply_Data___Hourly_DriverActivity_1_csv__3[#All],4,FALSE)</f>
        <v>21</v>
      </c>
      <c r="L79">
        <f>VLOOKUP(Demand_Data___Hourly_OverviewSearch_1_csv[[#This Row],[Date]],Supply_Data___Hourly_DriverActivity_1_csv__3[#All],5,FALSE)</f>
        <v>4</v>
      </c>
      <c r="M79">
        <f>VLOOKUP(Demand_Data___Hourly_OverviewSearch_1_csv[[#This Row],[Date]],Supply_Data___Hourly_DriverActivity_1_csv__3[#All],6,FALSE)</f>
        <v>0.4</v>
      </c>
      <c r="N79">
        <f>VLOOKUP(Demand_Data___Hourly_OverviewSearch_1_csv[[#This Row],[Date]],Supply_Data___Hourly_DriverActivity_1_csv__3[#All],7,FALSE)</f>
        <v>1.72</v>
      </c>
      <c r="O79">
        <f>VLOOKUP(Demand_Data___Hourly_OverviewSearch_1_csv[[#This Row],[Date]],Supply_Data___Hourly_DriverActivity_1_csv__3[#All],8,FALSE)</f>
        <v>43</v>
      </c>
      <c r="P79">
        <f>(Demand_Data___Hourly_OverviewSearch_1_csv[[#This Row],[People saw 0 cars (unique)]]+Demand_Data___Hourly_OverviewSearch_1_csv[[#This Row],[People saw +1 cars (unique)]])</f>
        <v>196</v>
      </c>
      <c r="Q79" s="143">
        <f t="shared" si="7"/>
        <v>4</v>
      </c>
    </row>
    <row r="80" spans="1:17" x14ac:dyDescent="0.3">
      <c r="A80" t="s">
        <v>86</v>
      </c>
      <c r="B80" t="str">
        <f t="shared" si="4"/>
        <v xml:space="preserve"> 17</v>
      </c>
      <c r="C80">
        <f t="shared" si="5"/>
        <v>4</v>
      </c>
      <c r="D80" t="str">
        <f t="shared" si="6"/>
        <v xml:space="preserve">2016-12-15 </v>
      </c>
      <c r="E80" t="str">
        <f>TEXT(Demand_Data___Hourly_OverviewSearch_1_csv[[#This Row],[Day]],"dddd")</f>
        <v>Wednesday</v>
      </c>
      <c r="F80">
        <v>51</v>
      </c>
      <c r="G80">
        <v>66</v>
      </c>
      <c r="H80">
        <v>56</v>
      </c>
      <c r="I80">
        <f>VLOOKUP(Demand_Data___Hourly_OverviewSearch_1_csv[[#This Row],[Date]],Supply_Data___Hourly_DriverActivity_1_csv__3[#All],2,FALSE)</f>
        <v>63</v>
      </c>
      <c r="J80">
        <f>VLOOKUP(Demand_Data___Hourly_OverviewSearch_1_csv[[#This Row],[Date]],Supply_Data___Hourly_DriverActivity_1_csv__3[#All],3,FALSE)</f>
        <v>18</v>
      </c>
      <c r="K80">
        <f>VLOOKUP(Demand_Data___Hourly_OverviewSearch_1_csv[[#This Row],[Date]],Supply_Data___Hourly_DriverActivity_1_csv__3[#All],4,FALSE)</f>
        <v>12</v>
      </c>
      <c r="L80">
        <f>VLOOKUP(Demand_Data___Hourly_OverviewSearch_1_csv[[#This Row],[Date]],Supply_Data___Hourly_DriverActivity_1_csv__3[#All],5,FALSE)</f>
        <v>7</v>
      </c>
      <c r="M80">
        <f>VLOOKUP(Demand_Data___Hourly_OverviewSearch_1_csv[[#This Row],[Date]],Supply_Data___Hourly_DriverActivity_1_csv__3[#All],6,FALSE)</f>
        <v>0.3</v>
      </c>
      <c r="N80">
        <f>VLOOKUP(Demand_Data___Hourly_OverviewSearch_1_csv[[#This Row],[Date]],Supply_Data___Hourly_DriverActivity_1_csv__3[#All],7,FALSE)</f>
        <v>1.33</v>
      </c>
      <c r="O80">
        <f>VLOOKUP(Demand_Data___Hourly_OverviewSearch_1_csv[[#This Row],[Date]],Supply_Data___Hourly_DriverActivity_1_csv__3[#All],8,FALSE)</f>
        <v>24</v>
      </c>
      <c r="P80">
        <f>(Demand_Data___Hourly_OverviewSearch_1_csv[[#This Row],[People saw 0 cars (unique)]]+Demand_Data___Hourly_OverviewSearch_1_csv[[#This Row],[People saw +1 cars (unique)]])</f>
        <v>117</v>
      </c>
      <c r="Q80" s="143">
        <f t="shared" si="7"/>
        <v>6</v>
      </c>
    </row>
    <row r="81" spans="1:17" x14ac:dyDescent="0.3">
      <c r="A81" t="s">
        <v>87</v>
      </c>
      <c r="B81" t="str">
        <f t="shared" si="4"/>
        <v xml:space="preserve"> 16</v>
      </c>
      <c r="C81">
        <f t="shared" si="5"/>
        <v>4</v>
      </c>
      <c r="D81" t="str">
        <f t="shared" si="6"/>
        <v xml:space="preserve">2016-12-15 </v>
      </c>
      <c r="E81" t="str">
        <f>TEXT(Demand_Data___Hourly_OverviewSearch_1_csv[[#This Row],[Day]],"dddd")</f>
        <v>Wednesday</v>
      </c>
      <c r="F81">
        <v>20</v>
      </c>
      <c r="G81">
        <v>46</v>
      </c>
      <c r="H81">
        <v>70</v>
      </c>
      <c r="I81">
        <f>VLOOKUP(Demand_Data___Hourly_OverviewSearch_1_csv[[#This Row],[Date]],Supply_Data___Hourly_DriverActivity_1_csv__3[#All],2,FALSE)</f>
        <v>64</v>
      </c>
      <c r="J81">
        <f>VLOOKUP(Demand_Data___Hourly_OverviewSearch_1_csv[[#This Row],[Date]],Supply_Data___Hourly_DriverActivity_1_csv__3[#All],3,FALSE)</f>
        <v>18</v>
      </c>
      <c r="K81">
        <f>VLOOKUP(Demand_Data___Hourly_OverviewSearch_1_csv[[#This Row],[Date]],Supply_Data___Hourly_DriverActivity_1_csv__3[#All],4,FALSE)</f>
        <v>7</v>
      </c>
      <c r="L81">
        <f>VLOOKUP(Demand_Data___Hourly_OverviewSearch_1_csv[[#This Row],[Date]],Supply_Data___Hourly_DriverActivity_1_csv__3[#All],5,FALSE)</f>
        <v>11</v>
      </c>
      <c r="M81">
        <f>VLOOKUP(Demand_Data___Hourly_OverviewSearch_1_csv[[#This Row],[Date]],Supply_Data___Hourly_DriverActivity_1_csv__3[#All],6,FALSE)</f>
        <v>0.3</v>
      </c>
      <c r="N81">
        <f>VLOOKUP(Demand_Data___Hourly_OverviewSearch_1_csv[[#This Row],[Date]],Supply_Data___Hourly_DriverActivity_1_csv__3[#All],7,FALSE)</f>
        <v>0.89</v>
      </c>
      <c r="O81">
        <f>VLOOKUP(Demand_Data___Hourly_OverviewSearch_1_csv[[#This Row],[Date]],Supply_Data___Hourly_DriverActivity_1_csv__3[#All],8,FALSE)</f>
        <v>16</v>
      </c>
      <c r="P81">
        <f>(Demand_Data___Hourly_OverviewSearch_1_csv[[#This Row],[People saw 0 cars (unique)]]+Demand_Data___Hourly_OverviewSearch_1_csv[[#This Row],[People saw +1 cars (unique)]])</f>
        <v>66</v>
      </c>
      <c r="Q81" s="143">
        <f t="shared" si="7"/>
        <v>11</v>
      </c>
    </row>
    <row r="82" spans="1:17" x14ac:dyDescent="0.3">
      <c r="A82" t="s">
        <v>88</v>
      </c>
      <c r="B82" t="str">
        <f t="shared" si="4"/>
        <v xml:space="preserve"> 15</v>
      </c>
      <c r="C82">
        <f t="shared" si="5"/>
        <v>4</v>
      </c>
      <c r="D82" t="str">
        <f t="shared" si="6"/>
        <v xml:space="preserve">2016-12-15 </v>
      </c>
      <c r="E82" t="str">
        <f>TEXT(Demand_Data___Hourly_OverviewSearch_1_csv[[#This Row],[Day]],"dddd")</f>
        <v>Wednesday</v>
      </c>
      <c r="F82">
        <v>18</v>
      </c>
      <c r="G82">
        <v>25</v>
      </c>
      <c r="H82">
        <v>58</v>
      </c>
      <c r="I82">
        <f>VLOOKUP(Demand_Data___Hourly_OverviewSearch_1_csv[[#This Row],[Date]],Supply_Data___Hourly_DriverActivity_1_csv__3[#All],2,FALSE)</f>
        <v>61</v>
      </c>
      <c r="J82">
        <f>VLOOKUP(Demand_Data___Hourly_OverviewSearch_1_csv[[#This Row],[Date]],Supply_Data___Hourly_DriverActivity_1_csv__3[#All],3,FALSE)</f>
        <v>12</v>
      </c>
      <c r="K82">
        <f>VLOOKUP(Demand_Data___Hourly_OverviewSearch_1_csv[[#This Row],[Date]],Supply_Data___Hourly_DriverActivity_1_csv__3[#All],4,FALSE)</f>
        <v>3</v>
      </c>
      <c r="L82">
        <f>VLOOKUP(Demand_Data___Hourly_OverviewSearch_1_csv[[#This Row],[Date]],Supply_Data___Hourly_DriverActivity_1_csv__3[#All],5,FALSE)</f>
        <v>9</v>
      </c>
      <c r="M82">
        <f>VLOOKUP(Demand_Data___Hourly_OverviewSearch_1_csv[[#This Row],[Date]],Supply_Data___Hourly_DriverActivity_1_csv__3[#All],6,FALSE)</f>
        <v>0.2</v>
      </c>
      <c r="N82">
        <f>VLOOKUP(Demand_Data___Hourly_OverviewSearch_1_csv[[#This Row],[Date]],Supply_Data___Hourly_DriverActivity_1_csv__3[#All],7,FALSE)</f>
        <v>0.5</v>
      </c>
      <c r="O82">
        <f>VLOOKUP(Demand_Data___Hourly_OverviewSearch_1_csv[[#This Row],[Date]],Supply_Data___Hourly_DriverActivity_1_csv__3[#All],8,FALSE)</f>
        <v>6</v>
      </c>
      <c r="P82">
        <f>(Demand_Data___Hourly_OverviewSearch_1_csv[[#This Row],[People saw 0 cars (unique)]]+Demand_Data___Hourly_OverviewSearch_1_csv[[#This Row],[People saw +1 cars (unique)]])</f>
        <v>43</v>
      </c>
      <c r="Q82" s="143">
        <f t="shared" si="7"/>
        <v>9</v>
      </c>
    </row>
    <row r="83" spans="1:17" x14ac:dyDescent="0.3">
      <c r="A83" t="s">
        <v>89</v>
      </c>
      <c r="B83" t="str">
        <f t="shared" si="4"/>
        <v xml:space="preserve"> 14</v>
      </c>
      <c r="C83">
        <f t="shared" si="5"/>
        <v>4</v>
      </c>
      <c r="D83" t="str">
        <f t="shared" si="6"/>
        <v xml:space="preserve">2016-12-15 </v>
      </c>
      <c r="E83" t="str">
        <f>TEXT(Demand_Data___Hourly_OverviewSearch_1_csv[[#This Row],[Day]],"dddd")</f>
        <v>Wednesday</v>
      </c>
      <c r="F83">
        <v>28</v>
      </c>
      <c r="G83">
        <v>32</v>
      </c>
      <c r="H83">
        <v>53</v>
      </c>
      <c r="I83">
        <f>VLOOKUP(Demand_Data___Hourly_OverviewSearch_1_csv[[#This Row],[Date]],Supply_Data___Hourly_DriverActivity_1_csv__3[#All],2,FALSE)</f>
        <v>58</v>
      </c>
      <c r="J83">
        <f>VLOOKUP(Demand_Data___Hourly_OverviewSearch_1_csv[[#This Row],[Date]],Supply_Data___Hourly_DriverActivity_1_csv__3[#All],3,FALSE)</f>
        <v>14</v>
      </c>
      <c r="K83">
        <f>VLOOKUP(Demand_Data___Hourly_OverviewSearch_1_csv[[#This Row],[Date]],Supply_Data___Hourly_DriverActivity_1_csv__3[#All],4,FALSE)</f>
        <v>5</v>
      </c>
      <c r="L83">
        <f>VLOOKUP(Demand_Data___Hourly_OverviewSearch_1_csv[[#This Row],[Date]],Supply_Data___Hourly_DriverActivity_1_csv__3[#All],5,FALSE)</f>
        <v>9</v>
      </c>
      <c r="M83">
        <f>VLOOKUP(Demand_Data___Hourly_OverviewSearch_1_csv[[#This Row],[Date]],Supply_Data___Hourly_DriverActivity_1_csv__3[#All],6,FALSE)</f>
        <v>0.2</v>
      </c>
      <c r="N83">
        <f>VLOOKUP(Demand_Data___Hourly_OverviewSearch_1_csv[[#This Row],[Date]],Supply_Data___Hourly_DriverActivity_1_csv__3[#All],7,FALSE)</f>
        <v>0.64</v>
      </c>
      <c r="O83">
        <f>VLOOKUP(Demand_Data___Hourly_OverviewSearch_1_csv[[#This Row],[Date]],Supply_Data___Hourly_DriverActivity_1_csv__3[#All],8,FALSE)</f>
        <v>9</v>
      </c>
      <c r="P83">
        <f>(Demand_Data___Hourly_OverviewSearch_1_csv[[#This Row],[People saw 0 cars (unique)]]+Demand_Data___Hourly_OverviewSearch_1_csv[[#This Row],[People saw +1 cars (unique)]])</f>
        <v>60</v>
      </c>
      <c r="Q83" s="143">
        <f t="shared" si="7"/>
        <v>9</v>
      </c>
    </row>
    <row r="84" spans="1:17" x14ac:dyDescent="0.3">
      <c r="A84" t="s">
        <v>90</v>
      </c>
      <c r="B84" t="str">
        <f t="shared" si="4"/>
        <v xml:space="preserve"> 13</v>
      </c>
      <c r="C84">
        <f t="shared" si="5"/>
        <v>4</v>
      </c>
      <c r="D84" t="str">
        <f t="shared" si="6"/>
        <v xml:space="preserve">2016-12-15 </v>
      </c>
      <c r="E84" t="str">
        <f>TEXT(Demand_Data___Hourly_OverviewSearch_1_csv[[#This Row],[Day]],"dddd")</f>
        <v>Wednesday</v>
      </c>
      <c r="F84">
        <v>31</v>
      </c>
      <c r="G84">
        <v>32</v>
      </c>
      <c r="H84">
        <v>51</v>
      </c>
      <c r="I84">
        <f>VLOOKUP(Demand_Data___Hourly_OverviewSearch_1_csv[[#This Row],[Date]],Supply_Data___Hourly_DriverActivity_1_csv__3[#All],2,FALSE)</f>
        <v>50</v>
      </c>
      <c r="J84">
        <f>VLOOKUP(Demand_Data___Hourly_OverviewSearch_1_csv[[#This Row],[Date]],Supply_Data___Hourly_DriverActivity_1_csv__3[#All],3,FALSE)</f>
        <v>9</v>
      </c>
      <c r="K84">
        <f>VLOOKUP(Demand_Data___Hourly_OverviewSearch_1_csv[[#This Row],[Date]],Supply_Data___Hourly_DriverActivity_1_csv__3[#All],4,FALSE)</f>
        <v>3</v>
      </c>
      <c r="L84">
        <f>VLOOKUP(Demand_Data___Hourly_OverviewSearch_1_csv[[#This Row],[Date]],Supply_Data___Hourly_DriverActivity_1_csv__3[#All],5,FALSE)</f>
        <v>5</v>
      </c>
      <c r="M84">
        <f>VLOOKUP(Demand_Data___Hourly_OverviewSearch_1_csv[[#This Row],[Date]],Supply_Data___Hourly_DriverActivity_1_csv__3[#All],6,FALSE)</f>
        <v>0.2</v>
      </c>
      <c r="N84">
        <f>VLOOKUP(Demand_Data___Hourly_OverviewSearch_1_csv[[#This Row],[Date]],Supply_Data___Hourly_DriverActivity_1_csv__3[#All],7,FALSE)</f>
        <v>0.67</v>
      </c>
      <c r="O84">
        <f>VLOOKUP(Demand_Data___Hourly_OverviewSearch_1_csv[[#This Row],[Date]],Supply_Data___Hourly_DriverActivity_1_csv__3[#All],8,FALSE)</f>
        <v>6</v>
      </c>
      <c r="P84">
        <f>(Demand_Data___Hourly_OverviewSearch_1_csv[[#This Row],[People saw 0 cars (unique)]]+Demand_Data___Hourly_OverviewSearch_1_csv[[#This Row],[People saw +1 cars (unique)]])</f>
        <v>63</v>
      </c>
      <c r="Q84" s="143">
        <f t="shared" si="7"/>
        <v>6</v>
      </c>
    </row>
    <row r="85" spans="1:17" x14ac:dyDescent="0.3">
      <c r="A85" t="s">
        <v>91</v>
      </c>
      <c r="B85" t="str">
        <f t="shared" si="4"/>
        <v xml:space="preserve"> 12</v>
      </c>
      <c r="C85">
        <f t="shared" si="5"/>
        <v>4</v>
      </c>
      <c r="D85" t="str">
        <f t="shared" si="6"/>
        <v xml:space="preserve">2016-12-15 </v>
      </c>
      <c r="E85" t="str">
        <f>TEXT(Demand_Data___Hourly_OverviewSearch_1_csv[[#This Row],[Day]],"dddd")</f>
        <v>Wednesday</v>
      </c>
      <c r="F85">
        <v>18</v>
      </c>
      <c r="G85">
        <v>32</v>
      </c>
      <c r="H85">
        <v>64</v>
      </c>
      <c r="I85">
        <f>VLOOKUP(Demand_Data___Hourly_OverviewSearch_1_csv[[#This Row],[Date]],Supply_Data___Hourly_DriverActivity_1_csv__3[#All],2,FALSE)</f>
        <v>56</v>
      </c>
      <c r="J85">
        <f>VLOOKUP(Demand_Data___Hourly_OverviewSearch_1_csv[[#This Row],[Date]],Supply_Data___Hourly_DriverActivity_1_csv__3[#All],3,FALSE)</f>
        <v>18</v>
      </c>
      <c r="K85">
        <f>VLOOKUP(Demand_Data___Hourly_OverviewSearch_1_csv[[#This Row],[Date]],Supply_Data___Hourly_DriverActivity_1_csv__3[#All],4,FALSE)</f>
        <v>8</v>
      </c>
      <c r="L85">
        <f>VLOOKUP(Demand_Data___Hourly_OverviewSearch_1_csv[[#This Row],[Date]],Supply_Data___Hourly_DriverActivity_1_csv__3[#All],5,FALSE)</f>
        <v>10</v>
      </c>
      <c r="M85">
        <f>VLOOKUP(Demand_Data___Hourly_OverviewSearch_1_csv[[#This Row],[Date]],Supply_Data___Hourly_DriverActivity_1_csv__3[#All],6,FALSE)</f>
        <v>0.3</v>
      </c>
      <c r="N85">
        <f>VLOOKUP(Demand_Data___Hourly_OverviewSearch_1_csv[[#This Row],[Date]],Supply_Data___Hourly_DriverActivity_1_csv__3[#All],7,FALSE)</f>
        <v>0.44</v>
      </c>
      <c r="O85">
        <f>VLOOKUP(Demand_Data___Hourly_OverviewSearch_1_csv[[#This Row],[Date]],Supply_Data___Hourly_DriverActivity_1_csv__3[#All],8,FALSE)</f>
        <v>8</v>
      </c>
      <c r="P85">
        <f>(Demand_Data___Hourly_OverviewSearch_1_csv[[#This Row],[People saw 0 cars (unique)]]+Demand_Data___Hourly_OverviewSearch_1_csv[[#This Row],[People saw +1 cars (unique)]])</f>
        <v>50</v>
      </c>
      <c r="Q85" s="143">
        <f t="shared" si="7"/>
        <v>10</v>
      </c>
    </row>
    <row r="86" spans="1:17" x14ac:dyDescent="0.3">
      <c r="A86" t="s">
        <v>92</v>
      </c>
      <c r="B86" t="str">
        <f t="shared" si="4"/>
        <v xml:space="preserve"> 11</v>
      </c>
      <c r="C86">
        <f t="shared" si="5"/>
        <v>4</v>
      </c>
      <c r="D86" t="str">
        <f t="shared" si="6"/>
        <v xml:space="preserve">2016-12-15 </v>
      </c>
      <c r="E86" t="str">
        <f>TEXT(Demand_Data___Hourly_OverviewSearch_1_csv[[#This Row],[Day]],"dddd")</f>
        <v>Wednesday</v>
      </c>
      <c r="F86">
        <v>20</v>
      </c>
      <c r="G86">
        <v>46</v>
      </c>
      <c r="H86">
        <v>70</v>
      </c>
      <c r="I86">
        <f>VLOOKUP(Demand_Data___Hourly_OverviewSearch_1_csv[[#This Row],[Date]],Supply_Data___Hourly_DriverActivity_1_csv__3[#All],2,FALSE)</f>
        <v>63</v>
      </c>
      <c r="J86">
        <f>VLOOKUP(Demand_Data___Hourly_OverviewSearch_1_csv[[#This Row],[Date]],Supply_Data___Hourly_DriverActivity_1_csv__3[#All],3,FALSE)</f>
        <v>22</v>
      </c>
      <c r="K86">
        <f>VLOOKUP(Demand_Data___Hourly_OverviewSearch_1_csv[[#This Row],[Date]],Supply_Data___Hourly_DriverActivity_1_csv__3[#All],4,FALSE)</f>
        <v>8</v>
      </c>
      <c r="L86">
        <f>VLOOKUP(Demand_Data___Hourly_OverviewSearch_1_csv[[#This Row],[Date]],Supply_Data___Hourly_DriverActivity_1_csv__3[#All],5,FALSE)</f>
        <v>14</v>
      </c>
      <c r="M86">
        <f>VLOOKUP(Demand_Data___Hourly_OverviewSearch_1_csv[[#This Row],[Date]],Supply_Data___Hourly_DriverActivity_1_csv__3[#All],6,FALSE)</f>
        <v>0.3</v>
      </c>
      <c r="N86">
        <f>VLOOKUP(Demand_Data___Hourly_OverviewSearch_1_csv[[#This Row],[Date]],Supply_Data___Hourly_DriverActivity_1_csv__3[#All],7,FALSE)</f>
        <v>0.91</v>
      </c>
      <c r="O86">
        <f>VLOOKUP(Demand_Data___Hourly_OverviewSearch_1_csv[[#This Row],[Date]],Supply_Data___Hourly_DriverActivity_1_csv__3[#All],8,FALSE)</f>
        <v>20</v>
      </c>
      <c r="P86">
        <f>(Demand_Data___Hourly_OverviewSearch_1_csv[[#This Row],[People saw 0 cars (unique)]]+Demand_Data___Hourly_OverviewSearch_1_csv[[#This Row],[People saw +1 cars (unique)]])</f>
        <v>66</v>
      </c>
      <c r="Q86" s="143">
        <f t="shared" si="7"/>
        <v>14</v>
      </c>
    </row>
    <row r="87" spans="1:17" x14ac:dyDescent="0.3">
      <c r="A87" t="s">
        <v>93</v>
      </c>
      <c r="B87" t="str">
        <f t="shared" si="4"/>
        <v xml:space="preserve"> 10</v>
      </c>
      <c r="C87">
        <f t="shared" si="5"/>
        <v>4</v>
      </c>
      <c r="D87" t="str">
        <f t="shared" si="6"/>
        <v xml:space="preserve">2016-12-15 </v>
      </c>
      <c r="E87" t="str">
        <f>TEXT(Demand_Data___Hourly_OverviewSearch_1_csv[[#This Row],[Day]],"dddd")</f>
        <v>Wednesday</v>
      </c>
      <c r="F87">
        <v>27</v>
      </c>
      <c r="G87">
        <v>47</v>
      </c>
      <c r="H87">
        <v>64</v>
      </c>
      <c r="I87">
        <f>VLOOKUP(Demand_Data___Hourly_OverviewSearch_1_csv[[#This Row],[Date]],Supply_Data___Hourly_DriverActivity_1_csv__3[#All],2,FALSE)</f>
        <v>69</v>
      </c>
      <c r="J87">
        <f>VLOOKUP(Demand_Data___Hourly_OverviewSearch_1_csv[[#This Row],[Date]],Supply_Data___Hourly_DriverActivity_1_csv__3[#All],3,FALSE)</f>
        <v>26</v>
      </c>
      <c r="K87">
        <f>VLOOKUP(Demand_Data___Hourly_OverviewSearch_1_csv[[#This Row],[Date]],Supply_Data___Hourly_DriverActivity_1_csv__3[#All],4,FALSE)</f>
        <v>13</v>
      </c>
      <c r="L87">
        <f>VLOOKUP(Demand_Data___Hourly_OverviewSearch_1_csv[[#This Row],[Date]],Supply_Data___Hourly_DriverActivity_1_csv__3[#All],5,FALSE)</f>
        <v>13</v>
      </c>
      <c r="M87">
        <f>VLOOKUP(Demand_Data___Hourly_OverviewSearch_1_csv[[#This Row],[Date]],Supply_Data___Hourly_DriverActivity_1_csv__3[#All],6,FALSE)</f>
        <v>0.4</v>
      </c>
      <c r="N87">
        <f>VLOOKUP(Demand_Data___Hourly_OverviewSearch_1_csv[[#This Row],[Date]],Supply_Data___Hourly_DriverActivity_1_csv__3[#All],7,FALSE)</f>
        <v>0.85</v>
      </c>
      <c r="O87">
        <f>VLOOKUP(Demand_Data___Hourly_OverviewSearch_1_csv[[#This Row],[Date]],Supply_Data___Hourly_DriverActivity_1_csv__3[#All],8,FALSE)</f>
        <v>22</v>
      </c>
      <c r="P87">
        <f>(Demand_Data___Hourly_OverviewSearch_1_csv[[#This Row],[People saw 0 cars (unique)]]+Demand_Data___Hourly_OverviewSearch_1_csv[[#This Row],[People saw +1 cars (unique)]])</f>
        <v>74</v>
      </c>
      <c r="Q87" s="143">
        <f t="shared" si="7"/>
        <v>13</v>
      </c>
    </row>
    <row r="88" spans="1:17" x14ac:dyDescent="0.3">
      <c r="A88" t="s">
        <v>94</v>
      </c>
      <c r="B88" t="str">
        <f t="shared" si="4"/>
        <v xml:space="preserve"> 09</v>
      </c>
      <c r="C88">
        <f t="shared" si="5"/>
        <v>4</v>
      </c>
      <c r="D88" t="str">
        <f t="shared" si="6"/>
        <v xml:space="preserve">2016-12-15 </v>
      </c>
      <c r="E88" t="str">
        <f>TEXT(Demand_Data___Hourly_OverviewSearch_1_csv[[#This Row],[Day]],"dddd")</f>
        <v>Wednesday</v>
      </c>
      <c r="F88">
        <v>43</v>
      </c>
      <c r="G88">
        <v>57</v>
      </c>
      <c r="H88">
        <v>57</v>
      </c>
      <c r="I88">
        <f>VLOOKUP(Demand_Data___Hourly_OverviewSearch_1_csv[[#This Row],[Date]],Supply_Data___Hourly_DriverActivity_1_csv__3[#All],2,FALSE)</f>
        <v>54</v>
      </c>
      <c r="J88">
        <f>VLOOKUP(Demand_Data___Hourly_OverviewSearch_1_csv[[#This Row],[Date]],Supply_Data___Hourly_DriverActivity_1_csv__3[#All],3,FALSE)</f>
        <v>25</v>
      </c>
      <c r="K88">
        <f>VLOOKUP(Demand_Data___Hourly_OverviewSearch_1_csv[[#This Row],[Date]],Supply_Data___Hourly_DriverActivity_1_csv__3[#All],4,FALSE)</f>
        <v>18</v>
      </c>
      <c r="L88">
        <f>VLOOKUP(Demand_Data___Hourly_OverviewSearch_1_csv[[#This Row],[Date]],Supply_Data___Hourly_DriverActivity_1_csv__3[#All],5,FALSE)</f>
        <v>7</v>
      </c>
      <c r="M88">
        <f>VLOOKUP(Demand_Data___Hourly_OverviewSearch_1_csv[[#This Row],[Date]],Supply_Data___Hourly_DriverActivity_1_csv__3[#All],6,FALSE)</f>
        <v>0.5</v>
      </c>
      <c r="N88">
        <f>VLOOKUP(Demand_Data___Hourly_OverviewSearch_1_csv[[#This Row],[Date]],Supply_Data___Hourly_DriverActivity_1_csv__3[#All],7,FALSE)</f>
        <v>1.48</v>
      </c>
      <c r="O88">
        <f>VLOOKUP(Demand_Data___Hourly_OverviewSearch_1_csv[[#This Row],[Date]],Supply_Data___Hourly_DriverActivity_1_csv__3[#All],8,FALSE)</f>
        <v>37</v>
      </c>
      <c r="P88">
        <f>(Demand_Data___Hourly_OverviewSearch_1_csv[[#This Row],[People saw 0 cars (unique)]]+Demand_Data___Hourly_OverviewSearch_1_csv[[#This Row],[People saw +1 cars (unique)]])</f>
        <v>100</v>
      </c>
      <c r="Q88" s="143">
        <f t="shared" si="7"/>
        <v>7</v>
      </c>
    </row>
    <row r="89" spans="1:17" x14ac:dyDescent="0.3">
      <c r="A89" t="s">
        <v>95</v>
      </c>
      <c r="B89" t="str">
        <f t="shared" si="4"/>
        <v xml:space="preserve"> 08</v>
      </c>
      <c r="C89">
        <f t="shared" si="5"/>
        <v>4</v>
      </c>
      <c r="D89" t="str">
        <f t="shared" si="6"/>
        <v xml:space="preserve">2016-12-15 </v>
      </c>
      <c r="E89" t="str">
        <f>TEXT(Demand_Data___Hourly_OverviewSearch_1_csv[[#This Row],[Day]],"dddd")</f>
        <v>Wednesday</v>
      </c>
      <c r="F89">
        <v>57</v>
      </c>
      <c r="G89">
        <v>37</v>
      </c>
      <c r="H89">
        <v>39</v>
      </c>
      <c r="I89">
        <f>VLOOKUP(Demand_Data___Hourly_OverviewSearch_1_csv[[#This Row],[Date]],Supply_Data___Hourly_DriverActivity_1_csv__3[#All],2,FALSE)</f>
        <v>45</v>
      </c>
      <c r="J89">
        <f>VLOOKUP(Demand_Data___Hourly_OverviewSearch_1_csv[[#This Row],[Date]],Supply_Data___Hourly_DriverActivity_1_csv__3[#All],3,FALSE)</f>
        <v>15</v>
      </c>
      <c r="K89">
        <f>VLOOKUP(Demand_Data___Hourly_OverviewSearch_1_csv[[#This Row],[Date]],Supply_Data___Hourly_DriverActivity_1_csv__3[#All],4,FALSE)</f>
        <v>8</v>
      </c>
      <c r="L89">
        <f>VLOOKUP(Demand_Data___Hourly_OverviewSearch_1_csv[[#This Row],[Date]],Supply_Data___Hourly_DriverActivity_1_csv__3[#All],5,FALSE)</f>
        <v>7</v>
      </c>
      <c r="M89">
        <f>VLOOKUP(Demand_Data___Hourly_OverviewSearch_1_csv[[#This Row],[Date]],Supply_Data___Hourly_DriverActivity_1_csv__3[#All],6,FALSE)</f>
        <v>0.3</v>
      </c>
      <c r="N89">
        <f>VLOOKUP(Demand_Data___Hourly_OverviewSearch_1_csv[[#This Row],[Date]],Supply_Data___Hourly_DriverActivity_1_csv__3[#All],7,FALSE)</f>
        <v>1.47</v>
      </c>
      <c r="O89">
        <f>VLOOKUP(Demand_Data___Hourly_OverviewSearch_1_csv[[#This Row],[Date]],Supply_Data___Hourly_DriverActivity_1_csv__3[#All],8,FALSE)</f>
        <v>22</v>
      </c>
      <c r="P89">
        <f>(Demand_Data___Hourly_OverviewSearch_1_csv[[#This Row],[People saw 0 cars (unique)]]+Demand_Data___Hourly_OverviewSearch_1_csv[[#This Row],[People saw +1 cars (unique)]])</f>
        <v>94</v>
      </c>
      <c r="Q89" s="143">
        <f t="shared" si="7"/>
        <v>7</v>
      </c>
    </row>
    <row r="90" spans="1:17" x14ac:dyDescent="0.3">
      <c r="A90" t="s">
        <v>96</v>
      </c>
      <c r="B90" t="str">
        <f t="shared" si="4"/>
        <v xml:space="preserve"> 07</v>
      </c>
      <c r="C90">
        <f t="shared" si="5"/>
        <v>4</v>
      </c>
      <c r="D90" t="str">
        <f t="shared" si="6"/>
        <v xml:space="preserve">2016-12-15 </v>
      </c>
      <c r="E90" t="str">
        <f>TEXT(Demand_Data___Hourly_OverviewSearch_1_csv[[#This Row],[Day]],"dddd")</f>
        <v>Wednesday</v>
      </c>
      <c r="F90">
        <v>17</v>
      </c>
      <c r="G90">
        <v>14</v>
      </c>
      <c r="H90">
        <v>45</v>
      </c>
      <c r="I90">
        <f>VLOOKUP(Demand_Data___Hourly_OverviewSearch_1_csv[[#This Row],[Date]],Supply_Data___Hourly_DriverActivity_1_csv__3[#All],2,FALSE)</f>
        <v>35</v>
      </c>
      <c r="J90">
        <f>VLOOKUP(Demand_Data___Hourly_OverviewSearch_1_csv[[#This Row],[Date]],Supply_Data___Hourly_DriverActivity_1_csv__3[#All],3,FALSE)</f>
        <v>9</v>
      </c>
      <c r="K90">
        <f>VLOOKUP(Demand_Data___Hourly_OverviewSearch_1_csv[[#This Row],[Date]],Supply_Data___Hourly_DriverActivity_1_csv__3[#All],4,FALSE)</f>
        <v>3</v>
      </c>
      <c r="L90">
        <f>VLOOKUP(Demand_Data___Hourly_OverviewSearch_1_csv[[#This Row],[Date]],Supply_Data___Hourly_DriverActivity_1_csv__3[#All],5,FALSE)</f>
        <v>7</v>
      </c>
      <c r="M90">
        <f>VLOOKUP(Demand_Data___Hourly_OverviewSearch_1_csv[[#This Row],[Date]],Supply_Data___Hourly_DriverActivity_1_csv__3[#All],6,FALSE)</f>
        <v>0.3</v>
      </c>
      <c r="N90">
        <f>VLOOKUP(Demand_Data___Hourly_OverviewSearch_1_csv[[#This Row],[Date]],Supply_Data___Hourly_DriverActivity_1_csv__3[#All],7,FALSE)</f>
        <v>0.78</v>
      </c>
      <c r="O90">
        <f>VLOOKUP(Demand_Data___Hourly_OverviewSearch_1_csv[[#This Row],[Date]],Supply_Data___Hourly_DriverActivity_1_csv__3[#All],8,FALSE)</f>
        <v>7</v>
      </c>
      <c r="P90">
        <f>(Demand_Data___Hourly_OverviewSearch_1_csv[[#This Row],[People saw 0 cars (unique)]]+Demand_Data___Hourly_OverviewSearch_1_csv[[#This Row],[People saw +1 cars (unique)]])</f>
        <v>31</v>
      </c>
      <c r="Q90" s="143">
        <f t="shared" si="7"/>
        <v>6</v>
      </c>
    </row>
    <row r="91" spans="1:17" x14ac:dyDescent="0.3">
      <c r="A91" t="s">
        <v>97</v>
      </c>
      <c r="B91" t="str">
        <f t="shared" si="4"/>
        <v xml:space="preserve"> 06</v>
      </c>
      <c r="C91">
        <f t="shared" si="5"/>
        <v>4</v>
      </c>
      <c r="D91" t="str">
        <f t="shared" si="6"/>
        <v xml:space="preserve">2016-12-15 </v>
      </c>
      <c r="E91" t="str">
        <f>TEXT(Demand_Data___Hourly_OverviewSearch_1_csv[[#This Row],[Day]],"dddd")</f>
        <v>Wednesday</v>
      </c>
      <c r="F91">
        <v>2</v>
      </c>
      <c r="G91">
        <v>2</v>
      </c>
      <c r="H91">
        <v>50</v>
      </c>
      <c r="I91">
        <f>VLOOKUP(Demand_Data___Hourly_OverviewSearch_1_csv[[#This Row],[Date]],Supply_Data___Hourly_DriverActivity_1_csv__3[#All],2,FALSE)</f>
        <v>23</v>
      </c>
      <c r="J91">
        <f>VLOOKUP(Demand_Data___Hourly_OverviewSearch_1_csv[[#This Row],[Date]],Supply_Data___Hourly_DriverActivity_1_csv__3[#All],3,FALSE)</f>
        <v>9</v>
      </c>
      <c r="K91">
        <f>VLOOKUP(Demand_Data___Hourly_OverviewSearch_1_csv[[#This Row],[Date]],Supply_Data___Hourly_DriverActivity_1_csv__3[#All],4,FALSE)</f>
        <v>0</v>
      </c>
      <c r="L91">
        <f>VLOOKUP(Demand_Data___Hourly_OverviewSearch_1_csv[[#This Row],[Date]],Supply_Data___Hourly_DriverActivity_1_csv__3[#All],5,FALSE)</f>
        <v>9</v>
      </c>
      <c r="M91">
        <f>VLOOKUP(Demand_Data___Hourly_OverviewSearch_1_csv[[#This Row],[Date]],Supply_Data___Hourly_DriverActivity_1_csv__3[#All],6,FALSE)</f>
        <v>0.4</v>
      </c>
      <c r="N91">
        <f>VLOOKUP(Demand_Data___Hourly_OverviewSearch_1_csv[[#This Row],[Date]],Supply_Data___Hourly_DriverActivity_1_csv__3[#All],7,FALSE)</f>
        <v>0.11</v>
      </c>
      <c r="O91">
        <f>VLOOKUP(Demand_Data___Hourly_OverviewSearch_1_csv[[#This Row],[Date]],Supply_Data___Hourly_DriverActivity_1_csv__3[#All],8,FALSE)</f>
        <v>1</v>
      </c>
      <c r="P91">
        <f>(Demand_Data___Hourly_OverviewSearch_1_csv[[#This Row],[People saw 0 cars (unique)]]+Demand_Data___Hourly_OverviewSearch_1_csv[[#This Row],[People saw +1 cars (unique)]])</f>
        <v>4</v>
      </c>
      <c r="Q91" s="143">
        <f t="shared" si="7"/>
        <v>9</v>
      </c>
    </row>
    <row r="92" spans="1:17" x14ac:dyDescent="0.3">
      <c r="A92" t="s">
        <v>98</v>
      </c>
      <c r="B92" t="str">
        <f t="shared" si="4"/>
        <v xml:space="preserve"> 05</v>
      </c>
      <c r="C92">
        <f t="shared" si="5"/>
        <v>4</v>
      </c>
      <c r="D92" t="str">
        <f t="shared" si="6"/>
        <v xml:space="preserve">2016-12-15 </v>
      </c>
      <c r="E92" t="str">
        <f>TEXT(Demand_Data___Hourly_OverviewSearch_1_csv[[#This Row],[Day]],"dddd")</f>
        <v>Wednesday</v>
      </c>
      <c r="F92">
        <v>0</v>
      </c>
      <c r="G92">
        <v>3</v>
      </c>
      <c r="H92">
        <v>100</v>
      </c>
      <c r="I92">
        <f>VLOOKUP(Demand_Data___Hourly_OverviewSearch_1_csv[[#This Row],[Date]],Supply_Data___Hourly_DriverActivity_1_csv__3[#All],2,FALSE)</f>
        <v>14</v>
      </c>
      <c r="J92">
        <f>VLOOKUP(Demand_Data___Hourly_OverviewSearch_1_csv[[#This Row],[Date]],Supply_Data___Hourly_DriverActivity_1_csv__3[#All],3,FALSE)</f>
        <v>7</v>
      </c>
      <c r="K92">
        <f>VLOOKUP(Demand_Data___Hourly_OverviewSearch_1_csv[[#This Row],[Date]],Supply_Data___Hourly_DriverActivity_1_csv__3[#All],4,FALSE)</f>
        <v>1</v>
      </c>
      <c r="L92">
        <f>VLOOKUP(Demand_Data___Hourly_OverviewSearch_1_csv[[#This Row],[Date]],Supply_Data___Hourly_DriverActivity_1_csv__3[#All],5,FALSE)</f>
        <v>7</v>
      </c>
      <c r="M92">
        <f>VLOOKUP(Demand_Data___Hourly_OverviewSearch_1_csv[[#This Row],[Date]],Supply_Data___Hourly_DriverActivity_1_csv__3[#All],6,FALSE)</f>
        <v>0.5</v>
      </c>
      <c r="N92">
        <f>VLOOKUP(Demand_Data___Hourly_OverviewSearch_1_csv[[#This Row],[Date]],Supply_Data___Hourly_DriverActivity_1_csv__3[#All],7,FALSE)</f>
        <v>0.43</v>
      </c>
      <c r="O92">
        <f>VLOOKUP(Demand_Data___Hourly_OverviewSearch_1_csv[[#This Row],[Date]],Supply_Data___Hourly_DriverActivity_1_csv__3[#All],8,FALSE)</f>
        <v>3</v>
      </c>
      <c r="P92">
        <f>(Demand_Data___Hourly_OverviewSearch_1_csv[[#This Row],[People saw 0 cars (unique)]]+Demand_Data___Hourly_OverviewSearch_1_csv[[#This Row],[People saw +1 cars (unique)]])</f>
        <v>3</v>
      </c>
      <c r="Q92" s="143">
        <f t="shared" si="7"/>
        <v>6</v>
      </c>
    </row>
    <row r="93" spans="1:17" x14ac:dyDescent="0.3">
      <c r="A93" t="s">
        <v>99</v>
      </c>
      <c r="B93" t="str">
        <f t="shared" si="4"/>
        <v xml:space="preserve"> 04</v>
      </c>
      <c r="C93">
        <f t="shared" si="5"/>
        <v>4</v>
      </c>
      <c r="D93" t="str">
        <f t="shared" si="6"/>
        <v xml:space="preserve">2016-12-15 </v>
      </c>
      <c r="E93" t="str">
        <f>TEXT(Demand_Data___Hourly_OverviewSearch_1_csv[[#This Row],[Day]],"dddd")</f>
        <v>Wednesday</v>
      </c>
      <c r="F93">
        <v>5</v>
      </c>
      <c r="G93">
        <v>3</v>
      </c>
      <c r="H93">
        <v>38</v>
      </c>
      <c r="I93">
        <f>VLOOKUP(Demand_Data___Hourly_OverviewSearch_1_csv[[#This Row],[Date]],Supply_Data___Hourly_DriverActivity_1_csv__3[#All],2,FALSE)</f>
        <v>21</v>
      </c>
      <c r="J93">
        <f>VLOOKUP(Demand_Data___Hourly_OverviewSearch_1_csv[[#This Row],[Date]],Supply_Data___Hourly_DriverActivity_1_csv__3[#All],3,FALSE)</f>
        <v>6</v>
      </c>
      <c r="K93">
        <f>VLOOKUP(Demand_Data___Hourly_OverviewSearch_1_csv[[#This Row],[Date]],Supply_Data___Hourly_DriverActivity_1_csv__3[#All],4,FALSE)</f>
        <v>1</v>
      </c>
      <c r="L93">
        <f>VLOOKUP(Demand_Data___Hourly_OverviewSearch_1_csv[[#This Row],[Date]],Supply_Data___Hourly_DriverActivity_1_csv__3[#All],5,FALSE)</f>
        <v>5</v>
      </c>
      <c r="M93">
        <f>VLOOKUP(Demand_Data___Hourly_OverviewSearch_1_csv[[#This Row],[Date]],Supply_Data___Hourly_DriverActivity_1_csv__3[#All],6,FALSE)</f>
        <v>0.3</v>
      </c>
      <c r="N93">
        <f>VLOOKUP(Demand_Data___Hourly_OverviewSearch_1_csv[[#This Row],[Date]],Supply_Data___Hourly_DriverActivity_1_csv__3[#All],7,FALSE)</f>
        <v>0</v>
      </c>
      <c r="O93">
        <f>VLOOKUP(Demand_Data___Hourly_OverviewSearch_1_csv[[#This Row],[Date]],Supply_Data___Hourly_DriverActivity_1_csv__3[#All],8,FALSE)</f>
        <v>0</v>
      </c>
      <c r="P93">
        <f>(Demand_Data___Hourly_OverviewSearch_1_csv[[#This Row],[People saw 0 cars (unique)]]+Demand_Data___Hourly_OverviewSearch_1_csv[[#This Row],[People saw +1 cars (unique)]])</f>
        <v>8</v>
      </c>
      <c r="Q93" s="143">
        <f t="shared" si="7"/>
        <v>5</v>
      </c>
    </row>
    <row r="94" spans="1:17" x14ac:dyDescent="0.3">
      <c r="A94" t="s">
        <v>100</v>
      </c>
      <c r="B94" t="str">
        <f t="shared" si="4"/>
        <v xml:space="preserve"> 03</v>
      </c>
      <c r="C94">
        <f t="shared" si="5"/>
        <v>4</v>
      </c>
      <c r="D94" t="str">
        <f t="shared" si="6"/>
        <v xml:space="preserve">2016-12-15 </v>
      </c>
      <c r="E94" t="str">
        <f>TEXT(Demand_Data___Hourly_OverviewSearch_1_csv[[#This Row],[Day]],"dddd")</f>
        <v>Wednesday</v>
      </c>
      <c r="F94">
        <v>13</v>
      </c>
      <c r="G94">
        <v>9</v>
      </c>
      <c r="H94">
        <v>41</v>
      </c>
      <c r="I94">
        <f>VLOOKUP(Demand_Data___Hourly_OverviewSearch_1_csv[[#This Row],[Date]],Supply_Data___Hourly_DriverActivity_1_csv__3[#All],2,FALSE)</f>
        <v>22</v>
      </c>
      <c r="J94">
        <f>VLOOKUP(Demand_Data___Hourly_OverviewSearch_1_csv[[#This Row],[Date]],Supply_Data___Hourly_DriverActivity_1_csv__3[#All],3,FALSE)</f>
        <v>7</v>
      </c>
      <c r="K94">
        <f>VLOOKUP(Demand_Data___Hourly_OverviewSearch_1_csv[[#This Row],[Date]],Supply_Data___Hourly_DriverActivity_1_csv__3[#All],4,FALSE)</f>
        <v>2</v>
      </c>
      <c r="L94">
        <f>VLOOKUP(Demand_Data___Hourly_OverviewSearch_1_csv[[#This Row],[Date]],Supply_Data___Hourly_DriverActivity_1_csv__3[#All],5,FALSE)</f>
        <v>5</v>
      </c>
      <c r="M94">
        <f>VLOOKUP(Demand_Data___Hourly_OverviewSearch_1_csv[[#This Row],[Date]],Supply_Data___Hourly_DriverActivity_1_csv__3[#All],6,FALSE)</f>
        <v>0.3</v>
      </c>
      <c r="N94">
        <f>VLOOKUP(Demand_Data___Hourly_OverviewSearch_1_csv[[#This Row],[Date]],Supply_Data___Hourly_DriverActivity_1_csv__3[#All],7,FALSE)</f>
        <v>0.71</v>
      </c>
      <c r="O94">
        <f>VLOOKUP(Demand_Data___Hourly_OverviewSearch_1_csv[[#This Row],[Date]],Supply_Data___Hourly_DriverActivity_1_csv__3[#All],8,FALSE)</f>
        <v>5</v>
      </c>
      <c r="P94">
        <f>(Demand_Data___Hourly_OverviewSearch_1_csv[[#This Row],[People saw 0 cars (unique)]]+Demand_Data___Hourly_OverviewSearch_1_csv[[#This Row],[People saw +1 cars (unique)]])</f>
        <v>22</v>
      </c>
      <c r="Q94" s="143">
        <f t="shared" si="7"/>
        <v>5</v>
      </c>
    </row>
    <row r="95" spans="1:17" x14ac:dyDescent="0.3">
      <c r="A95" t="s">
        <v>101</v>
      </c>
      <c r="B95" t="str">
        <f t="shared" si="4"/>
        <v xml:space="preserve"> 02</v>
      </c>
      <c r="C95">
        <f t="shared" si="5"/>
        <v>4</v>
      </c>
      <c r="D95" t="str">
        <f t="shared" si="6"/>
        <v xml:space="preserve">2016-12-15 </v>
      </c>
      <c r="E95" t="str">
        <f>TEXT(Demand_Data___Hourly_OverviewSearch_1_csv[[#This Row],[Day]],"dddd")</f>
        <v>Wednesday</v>
      </c>
      <c r="F95">
        <v>16</v>
      </c>
      <c r="G95">
        <v>20</v>
      </c>
      <c r="H95">
        <v>56</v>
      </c>
      <c r="I95">
        <f>VLOOKUP(Demand_Data___Hourly_OverviewSearch_1_csv[[#This Row],[Date]],Supply_Data___Hourly_DriverActivity_1_csv__3[#All],2,FALSE)</f>
        <v>27</v>
      </c>
      <c r="J95">
        <f>VLOOKUP(Demand_Data___Hourly_OverviewSearch_1_csv[[#This Row],[Date]],Supply_Data___Hourly_DriverActivity_1_csv__3[#All],3,FALSE)</f>
        <v>9</v>
      </c>
      <c r="K95">
        <f>VLOOKUP(Demand_Data___Hourly_OverviewSearch_1_csv[[#This Row],[Date]],Supply_Data___Hourly_DriverActivity_1_csv__3[#All],4,FALSE)</f>
        <v>4</v>
      </c>
      <c r="L95">
        <f>VLOOKUP(Demand_Data___Hourly_OverviewSearch_1_csv[[#This Row],[Date]],Supply_Data___Hourly_DriverActivity_1_csv__3[#All],5,FALSE)</f>
        <v>5</v>
      </c>
      <c r="M95">
        <f>VLOOKUP(Demand_Data___Hourly_OverviewSearch_1_csv[[#This Row],[Date]],Supply_Data___Hourly_DriverActivity_1_csv__3[#All],6,FALSE)</f>
        <v>0.3</v>
      </c>
      <c r="N95">
        <f>VLOOKUP(Demand_Data___Hourly_OverviewSearch_1_csv[[#This Row],[Date]],Supply_Data___Hourly_DriverActivity_1_csv__3[#All],7,FALSE)</f>
        <v>0.89</v>
      </c>
      <c r="O95">
        <f>VLOOKUP(Demand_Data___Hourly_OverviewSearch_1_csv[[#This Row],[Date]],Supply_Data___Hourly_DriverActivity_1_csv__3[#All],8,FALSE)</f>
        <v>8</v>
      </c>
      <c r="P95">
        <f>(Demand_Data___Hourly_OverviewSearch_1_csv[[#This Row],[People saw 0 cars (unique)]]+Demand_Data___Hourly_OverviewSearch_1_csv[[#This Row],[People saw +1 cars (unique)]])</f>
        <v>36</v>
      </c>
      <c r="Q95" s="143">
        <f t="shared" si="7"/>
        <v>5</v>
      </c>
    </row>
    <row r="96" spans="1:17" x14ac:dyDescent="0.3">
      <c r="A96" t="s">
        <v>102</v>
      </c>
      <c r="B96" t="str">
        <f t="shared" si="4"/>
        <v xml:space="preserve"> 01</v>
      </c>
      <c r="C96">
        <f t="shared" si="5"/>
        <v>4</v>
      </c>
      <c r="D96" t="str">
        <f t="shared" si="6"/>
        <v xml:space="preserve">2016-12-15 </v>
      </c>
      <c r="E96" t="str">
        <f>TEXT(Demand_Data___Hourly_OverviewSearch_1_csv[[#This Row],[Day]],"dddd")</f>
        <v>Wednesday</v>
      </c>
      <c r="F96">
        <v>7</v>
      </c>
      <c r="G96">
        <v>30</v>
      </c>
      <c r="H96">
        <v>81</v>
      </c>
      <c r="I96">
        <f>VLOOKUP(Demand_Data___Hourly_OverviewSearch_1_csv[[#This Row],[Date]],Supply_Data___Hourly_DriverActivity_1_csv__3[#All],2,FALSE)</f>
        <v>43</v>
      </c>
      <c r="J96">
        <f>VLOOKUP(Demand_Data___Hourly_OverviewSearch_1_csv[[#This Row],[Date]],Supply_Data___Hourly_DriverActivity_1_csv__3[#All],3,FALSE)</f>
        <v>16</v>
      </c>
      <c r="K96">
        <f>VLOOKUP(Demand_Data___Hourly_OverviewSearch_1_csv[[#This Row],[Date]],Supply_Data___Hourly_DriverActivity_1_csv__3[#All],4,FALSE)</f>
        <v>7</v>
      </c>
      <c r="L96">
        <f>VLOOKUP(Demand_Data___Hourly_OverviewSearch_1_csv[[#This Row],[Date]],Supply_Data___Hourly_DriverActivity_1_csv__3[#All],5,FALSE)</f>
        <v>9</v>
      </c>
      <c r="M96">
        <f>VLOOKUP(Demand_Data___Hourly_OverviewSearch_1_csv[[#This Row],[Date]],Supply_Data___Hourly_DriverActivity_1_csv__3[#All],6,FALSE)</f>
        <v>0.4</v>
      </c>
      <c r="N96">
        <f>VLOOKUP(Demand_Data___Hourly_OverviewSearch_1_csv[[#This Row],[Date]],Supply_Data___Hourly_DriverActivity_1_csv__3[#All],7,FALSE)</f>
        <v>0.81</v>
      </c>
      <c r="O96">
        <f>VLOOKUP(Demand_Data___Hourly_OverviewSearch_1_csv[[#This Row],[Date]],Supply_Data___Hourly_DriverActivity_1_csv__3[#All],8,FALSE)</f>
        <v>13</v>
      </c>
      <c r="P96">
        <f>(Demand_Data___Hourly_OverviewSearch_1_csv[[#This Row],[People saw 0 cars (unique)]]+Demand_Data___Hourly_OverviewSearch_1_csv[[#This Row],[People saw +1 cars (unique)]])</f>
        <v>37</v>
      </c>
      <c r="Q96" s="143">
        <f t="shared" si="7"/>
        <v>9</v>
      </c>
    </row>
    <row r="97" spans="1:17" x14ac:dyDescent="0.3">
      <c r="A97" t="s">
        <v>103</v>
      </c>
      <c r="B97" t="str">
        <f t="shared" si="4"/>
        <v xml:space="preserve"> 00</v>
      </c>
      <c r="C97">
        <f t="shared" si="5"/>
        <v>4</v>
      </c>
      <c r="D97" t="str">
        <f t="shared" si="6"/>
        <v xml:space="preserve">2016-12-15 </v>
      </c>
      <c r="E97" t="str">
        <f>TEXT(Demand_Data___Hourly_OverviewSearch_1_csv[[#This Row],[Day]],"dddd")</f>
        <v>Wednesday</v>
      </c>
      <c r="F97">
        <v>29</v>
      </c>
      <c r="G97">
        <v>62</v>
      </c>
      <c r="H97">
        <v>68</v>
      </c>
      <c r="I97">
        <f>VLOOKUP(Demand_Data___Hourly_OverviewSearch_1_csv[[#This Row],[Date]],Supply_Data___Hourly_DriverActivity_1_csv__3[#All],2,FALSE)</f>
        <v>52</v>
      </c>
      <c r="J97">
        <f>VLOOKUP(Demand_Data___Hourly_OverviewSearch_1_csv[[#This Row],[Date]],Supply_Data___Hourly_DriverActivity_1_csv__3[#All],3,FALSE)</f>
        <v>21</v>
      </c>
      <c r="K97">
        <f>VLOOKUP(Demand_Data___Hourly_OverviewSearch_1_csv[[#This Row],[Date]],Supply_Data___Hourly_DriverActivity_1_csv__3[#All],4,FALSE)</f>
        <v>12</v>
      </c>
      <c r="L97">
        <f>VLOOKUP(Demand_Data___Hourly_OverviewSearch_1_csv[[#This Row],[Date]],Supply_Data___Hourly_DriverActivity_1_csv__3[#All],5,FALSE)</f>
        <v>9</v>
      </c>
      <c r="M97">
        <f>VLOOKUP(Demand_Data___Hourly_OverviewSearch_1_csv[[#This Row],[Date]],Supply_Data___Hourly_DriverActivity_1_csv__3[#All],6,FALSE)</f>
        <v>0.4</v>
      </c>
      <c r="N97">
        <f>VLOOKUP(Demand_Data___Hourly_OverviewSearch_1_csv[[#This Row],[Date]],Supply_Data___Hourly_DriverActivity_1_csv__3[#All],7,FALSE)</f>
        <v>1.48</v>
      </c>
      <c r="O97">
        <f>VLOOKUP(Demand_Data___Hourly_OverviewSearch_1_csv[[#This Row],[Date]],Supply_Data___Hourly_DriverActivity_1_csv__3[#All],8,FALSE)</f>
        <v>31</v>
      </c>
      <c r="P97">
        <f>(Demand_Data___Hourly_OverviewSearch_1_csv[[#This Row],[People saw 0 cars (unique)]]+Demand_Data___Hourly_OverviewSearch_1_csv[[#This Row],[People saw +1 cars (unique)]])</f>
        <v>91</v>
      </c>
      <c r="Q97" s="143">
        <f t="shared" si="7"/>
        <v>9</v>
      </c>
    </row>
    <row r="98" spans="1:17" x14ac:dyDescent="0.3">
      <c r="A98" t="s">
        <v>104</v>
      </c>
      <c r="B98" t="str">
        <f t="shared" si="4"/>
        <v xml:space="preserve"> 23</v>
      </c>
      <c r="C98">
        <f t="shared" si="5"/>
        <v>3</v>
      </c>
      <c r="D98" t="str">
        <f t="shared" si="6"/>
        <v xml:space="preserve">2016-12-14 </v>
      </c>
      <c r="E98" t="str">
        <f>TEXT(Demand_Data___Hourly_OverviewSearch_1_csv[[#This Row],[Day]],"dddd")</f>
        <v>Tuesday</v>
      </c>
      <c r="F98">
        <v>13</v>
      </c>
      <c r="G98">
        <v>71</v>
      </c>
      <c r="H98">
        <v>85</v>
      </c>
      <c r="I98">
        <f>VLOOKUP(Demand_Data___Hourly_OverviewSearch_1_csv[[#This Row],[Date]],Supply_Data___Hourly_DriverActivity_1_csv__3[#All],2,FALSE)</f>
        <v>71</v>
      </c>
      <c r="J98">
        <f>VLOOKUP(Demand_Data___Hourly_OverviewSearch_1_csv[[#This Row],[Date]],Supply_Data___Hourly_DriverActivity_1_csv__3[#All],3,FALSE)</f>
        <v>28</v>
      </c>
      <c r="K98">
        <f>VLOOKUP(Demand_Data___Hourly_OverviewSearch_1_csv[[#This Row],[Date]],Supply_Data___Hourly_DriverActivity_1_csv__3[#All],4,FALSE)</f>
        <v>12</v>
      </c>
      <c r="L98">
        <f>VLOOKUP(Demand_Data___Hourly_OverviewSearch_1_csv[[#This Row],[Date]],Supply_Data___Hourly_DriverActivity_1_csv__3[#All],5,FALSE)</f>
        <v>15</v>
      </c>
      <c r="M98">
        <f>VLOOKUP(Demand_Data___Hourly_OverviewSearch_1_csv[[#This Row],[Date]],Supply_Data___Hourly_DriverActivity_1_csv__3[#All],6,FALSE)</f>
        <v>0.4</v>
      </c>
      <c r="N98">
        <f>VLOOKUP(Demand_Data___Hourly_OverviewSearch_1_csv[[#This Row],[Date]],Supply_Data___Hourly_DriverActivity_1_csv__3[#All],7,FALSE)</f>
        <v>1.25</v>
      </c>
      <c r="O98">
        <f>VLOOKUP(Demand_Data___Hourly_OverviewSearch_1_csv[[#This Row],[Date]],Supply_Data___Hourly_DriverActivity_1_csv__3[#All],8,FALSE)</f>
        <v>35</v>
      </c>
      <c r="P98">
        <f>(Demand_Data___Hourly_OverviewSearch_1_csv[[#This Row],[People saw 0 cars (unique)]]+Demand_Data___Hourly_OverviewSearch_1_csv[[#This Row],[People saw +1 cars (unique)]])</f>
        <v>84</v>
      </c>
      <c r="Q98" s="143">
        <f t="shared" si="7"/>
        <v>16</v>
      </c>
    </row>
    <row r="99" spans="1:17" x14ac:dyDescent="0.3">
      <c r="A99" t="s">
        <v>105</v>
      </c>
      <c r="B99" t="str">
        <f t="shared" si="4"/>
        <v xml:space="preserve"> 22</v>
      </c>
      <c r="C99">
        <f t="shared" si="5"/>
        <v>3</v>
      </c>
      <c r="D99" t="str">
        <f t="shared" si="6"/>
        <v xml:space="preserve">2016-12-14 </v>
      </c>
      <c r="E99" t="str">
        <f>TEXT(Demand_Data___Hourly_OverviewSearch_1_csv[[#This Row],[Day]],"dddd")</f>
        <v>Tuesday</v>
      </c>
      <c r="F99">
        <v>14</v>
      </c>
      <c r="G99">
        <v>71</v>
      </c>
      <c r="H99">
        <v>84</v>
      </c>
      <c r="I99">
        <f>VLOOKUP(Demand_Data___Hourly_OverviewSearch_1_csv[[#This Row],[Date]],Supply_Data___Hourly_DriverActivity_1_csv__3[#All],2,FALSE)</f>
        <v>80</v>
      </c>
      <c r="J99">
        <f>VLOOKUP(Demand_Data___Hourly_OverviewSearch_1_csv[[#This Row],[Date]],Supply_Data___Hourly_DriverActivity_1_csv__3[#All],3,FALSE)</f>
        <v>28</v>
      </c>
      <c r="K99">
        <f>VLOOKUP(Demand_Data___Hourly_OverviewSearch_1_csv[[#This Row],[Date]],Supply_Data___Hourly_DriverActivity_1_csv__3[#All],4,FALSE)</f>
        <v>12</v>
      </c>
      <c r="L99">
        <f>VLOOKUP(Demand_Data___Hourly_OverviewSearch_1_csv[[#This Row],[Date]],Supply_Data___Hourly_DriverActivity_1_csv__3[#All],5,FALSE)</f>
        <v>16</v>
      </c>
      <c r="M99">
        <f>VLOOKUP(Demand_Data___Hourly_OverviewSearch_1_csv[[#This Row],[Date]],Supply_Data___Hourly_DriverActivity_1_csv__3[#All],6,FALSE)</f>
        <v>0.3</v>
      </c>
      <c r="N99">
        <f>VLOOKUP(Demand_Data___Hourly_OverviewSearch_1_csv[[#This Row],[Date]],Supply_Data___Hourly_DriverActivity_1_csv__3[#All],7,FALSE)</f>
        <v>1.1100000000000001</v>
      </c>
      <c r="O99">
        <f>VLOOKUP(Demand_Data___Hourly_OverviewSearch_1_csv[[#This Row],[Date]],Supply_Data___Hourly_DriverActivity_1_csv__3[#All],8,FALSE)</f>
        <v>31</v>
      </c>
      <c r="P99">
        <f>(Demand_Data___Hourly_OverviewSearch_1_csv[[#This Row],[People saw 0 cars (unique)]]+Demand_Data___Hourly_OverviewSearch_1_csv[[#This Row],[People saw +1 cars (unique)]])</f>
        <v>85</v>
      </c>
      <c r="Q99" s="143">
        <f t="shared" si="7"/>
        <v>16</v>
      </c>
    </row>
    <row r="100" spans="1:17" x14ac:dyDescent="0.3">
      <c r="A100" t="s">
        <v>106</v>
      </c>
      <c r="B100" t="str">
        <f t="shared" si="4"/>
        <v xml:space="preserve"> 21</v>
      </c>
      <c r="C100">
        <f t="shared" si="5"/>
        <v>3</v>
      </c>
      <c r="D100" t="str">
        <f t="shared" si="6"/>
        <v xml:space="preserve">2016-12-14 </v>
      </c>
      <c r="E100" t="str">
        <f>TEXT(Demand_Data___Hourly_OverviewSearch_1_csv[[#This Row],[Day]],"dddd")</f>
        <v>Tuesday</v>
      </c>
      <c r="F100">
        <v>12</v>
      </c>
      <c r="G100">
        <v>68</v>
      </c>
      <c r="H100">
        <v>85</v>
      </c>
      <c r="I100">
        <f>VLOOKUP(Demand_Data___Hourly_OverviewSearch_1_csv[[#This Row],[Date]],Supply_Data___Hourly_DriverActivity_1_csv__3[#All],2,FALSE)</f>
        <v>85</v>
      </c>
      <c r="J100">
        <f>VLOOKUP(Demand_Data___Hourly_OverviewSearch_1_csv[[#This Row],[Date]],Supply_Data___Hourly_DriverActivity_1_csv__3[#All],3,FALSE)</f>
        <v>29</v>
      </c>
      <c r="K100">
        <f>VLOOKUP(Demand_Data___Hourly_OverviewSearch_1_csv[[#This Row],[Date]],Supply_Data___Hourly_DriverActivity_1_csv__3[#All],4,FALSE)</f>
        <v>12</v>
      </c>
      <c r="L100">
        <f>VLOOKUP(Demand_Data___Hourly_OverviewSearch_1_csv[[#This Row],[Date]],Supply_Data___Hourly_DriverActivity_1_csv__3[#All],5,FALSE)</f>
        <v>18</v>
      </c>
      <c r="M100">
        <f>VLOOKUP(Demand_Data___Hourly_OverviewSearch_1_csv[[#This Row],[Date]],Supply_Data___Hourly_DriverActivity_1_csv__3[#All],6,FALSE)</f>
        <v>0.3</v>
      </c>
      <c r="N100">
        <f>VLOOKUP(Demand_Data___Hourly_OverviewSearch_1_csv[[#This Row],[Date]],Supply_Data___Hourly_DriverActivity_1_csv__3[#All],7,FALSE)</f>
        <v>1.28</v>
      </c>
      <c r="O100">
        <f>VLOOKUP(Demand_Data___Hourly_OverviewSearch_1_csv[[#This Row],[Date]],Supply_Data___Hourly_DriverActivity_1_csv__3[#All],8,FALSE)</f>
        <v>37</v>
      </c>
      <c r="P100">
        <f>(Demand_Data___Hourly_OverviewSearch_1_csv[[#This Row],[People saw 0 cars (unique)]]+Demand_Data___Hourly_OverviewSearch_1_csv[[#This Row],[People saw +1 cars (unique)]])</f>
        <v>80</v>
      </c>
      <c r="Q100" s="143">
        <f t="shared" si="7"/>
        <v>17</v>
      </c>
    </row>
    <row r="101" spans="1:17" x14ac:dyDescent="0.3">
      <c r="A101" t="s">
        <v>107</v>
      </c>
      <c r="B101" t="str">
        <f t="shared" si="4"/>
        <v xml:space="preserve"> 20</v>
      </c>
      <c r="C101">
        <f t="shared" si="5"/>
        <v>3</v>
      </c>
      <c r="D101" t="str">
        <f t="shared" si="6"/>
        <v xml:space="preserve">2016-12-14 </v>
      </c>
      <c r="E101" t="str">
        <f>TEXT(Demand_Data___Hourly_OverviewSearch_1_csv[[#This Row],[Day]],"dddd")</f>
        <v>Tuesday</v>
      </c>
      <c r="F101">
        <v>22</v>
      </c>
      <c r="G101">
        <v>83</v>
      </c>
      <c r="H101">
        <v>79</v>
      </c>
      <c r="I101">
        <f>VLOOKUP(Demand_Data___Hourly_OverviewSearch_1_csv[[#This Row],[Date]],Supply_Data___Hourly_DriverActivity_1_csv__3[#All],2,FALSE)</f>
        <v>89</v>
      </c>
      <c r="J101">
        <f>VLOOKUP(Demand_Data___Hourly_OverviewSearch_1_csv[[#This Row],[Date]],Supply_Data___Hourly_DriverActivity_1_csv__3[#All],3,FALSE)</f>
        <v>37</v>
      </c>
      <c r="K101">
        <f>VLOOKUP(Demand_Data___Hourly_OverviewSearch_1_csv[[#This Row],[Date]],Supply_Data___Hourly_DriverActivity_1_csv__3[#All],4,FALSE)</f>
        <v>21</v>
      </c>
      <c r="L101">
        <f>VLOOKUP(Demand_Data___Hourly_OverviewSearch_1_csv[[#This Row],[Date]],Supply_Data___Hourly_DriverActivity_1_csv__3[#All],5,FALSE)</f>
        <v>16</v>
      </c>
      <c r="M101">
        <f>VLOOKUP(Demand_Data___Hourly_OverviewSearch_1_csv[[#This Row],[Date]],Supply_Data___Hourly_DriverActivity_1_csv__3[#All],6,FALSE)</f>
        <v>0.4</v>
      </c>
      <c r="N101">
        <f>VLOOKUP(Demand_Data___Hourly_OverviewSearch_1_csv[[#This Row],[Date]],Supply_Data___Hourly_DriverActivity_1_csv__3[#All],7,FALSE)</f>
        <v>0.92</v>
      </c>
      <c r="O101">
        <f>VLOOKUP(Demand_Data___Hourly_OverviewSearch_1_csv[[#This Row],[Date]],Supply_Data___Hourly_DriverActivity_1_csv__3[#All],8,FALSE)</f>
        <v>34</v>
      </c>
      <c r="P101">
        <f>(Demand_Data___Hourly_OverviewSearch_1_csv[[#This Row],[People saw 0 cars (unique)]]+Demand_Data___Hourly_OverviewSearch_1_csv[[#This Row],[People saw +1 cars (unique)]])</f>
        <v>105</v>
      </c>
      <c r="Q101" s="143">
        <f t="shared" si="7"/>
        <v>16</v>
      </c>
    </row>
    <row r="102" spans="1:17" x14ac:dyDescent="0.3">
      <c r="A102" t="s">
        <v>108</v>
      </c>
      <c r="B102" t="str">
        <f t="shared" si="4"/>
        <v xml:space="preserve"> 19</v>
      </c>
      <c r="C102">
        <f t="shared" si="5"/>
        <v>3</v>
      </c>
      <c r="D102" t="str">
        <f t="shared" si="6"/>
        <v xml:space="preserve">2016-12-14 </v>
      </c>
      <c r="E102" t="str">
        <f>TEXT(Demand_Data___Hourly_OverviewSearch_1_csv[[#This Row],[Day]],"dddd")</f>
        <v>Tuesday</v>
      </c>
      <c r="F102">
        <v>75</v>
      </c>
      <c r="G102">
        <v>79</v>
      </c>
      <c r="H102">
        <v>51</v>
      </c>
      <c r="I102">
        <f>VLOOKUP(Demand_Data___Hourly_OverviewSearch_1_csv[[#This Row],[Date]],Supply_Data___Hourly_DriverActivity_1_csv__3[#All],2,FALSE)</f>
        <v>80</v>
      </c>
      <c r="J102">
        <f>VLOOKUP(Demand_Data___Hourly_OverviewSearch_1_csv[[#This Row],[Date]],Supply_Data___Hourly_DriverActivity_1_csv__3[#All],3,FALSE)</f>
        <v>30</v>
      </c>
      <c r="K102">
        <f>VLOOKUP(Demand_Data___Hourly_OverviewSearch_1_csv[[#This Row],[Date]],Supply_Data___Hourly_DriverActivity_1_csv__3[#All],4,FALSE)</f>
        <v>22</v>
      </c>
      <c r="L102">
        <f>VLOOKUP(Demand_Data___Hourly_OverviewSearch_1_csv[[#This Row],[Date]],Supply_Data___Hourly_DriverActivity_1_csv__3[#All],5,FALSE)</f>
        <v>9</v>
      </c>
      <c r="M102">
        <f>VLOOKUP(Demand_Data___Hourly_OverviewSearch_1_csv[[#This Row],[Date]],Supply_Data___Hourly_DriverActivity_1_csv__3[#All],6,FALSE)</f>
        <v>0.4</v>
      </c>
      <c r="N102">
        <f>VLOOKUP(Demand_Data___Hourly_OverviewSearch_1_csv[[#This Row],[Date]],Supply_Data___Hourly_DriverActivity_1_csv__3[#All],7,FALSE)</f>
        <v>1.43</v>
      </c>
      <c r="O102">
        <f>VLOOKUP(Demand_Data___Hourly_OverviewSearch_1_csv[[#This Row],[Date]],Supply_Data___Hourly_DriverActivity_1_csv__3[#All],8,FALSE)</f>
        <v>43</v>
      </c>
      <c r="P102">
        <f>(Demand_Data___Hourly_OverviewSearch_1_csv[[#This Row],[People saw 0 cars (unique)]]+Demand_Data___Hourly_OverviewSearch_1_csv[[#This Row],[People saw +1 cars (unique)]])</f>
        <v>154</v>
      </c>
      <c r="Q102" s="143">
        <f t="shared" si="7"/>
        <v>8</v>
      </c>
    </row>
    <row r="103" spans="1:17" x14ac:dyDescent="0.3">
      <c r="A103" t="s">
        <v>109</v>
      </c>
      <c r="B103" t="str">
        <f t="shared" si="4"/>
        <v xml:space="preserve"> 18</v>
      </c>
      <c r="C103">
        <f t="shared" si="5"/>
        <v>3</v>
      </c>
      <c r="D103" t="str">
        <f t="shared" si="6"/>
        <v xml:space="preserve">2016-12-14 </v>
      </c>
      <c r="E103" t="str">
        <f>TEXT(Demand_Data___Hourly_OverviewSearch_1_csv[[#This Row],[Day]],"dddd")</f>
        <v>Tuesday</v>
      </c>
      <c r="F103">
        <v>96</v>
      </c>
      <c r="G103">
        <v>66</v>
      </c>
      <c r="H103">
        <v>41</v>
      </c>
      <c r="I103">
        <f>VLOOKUP(Demand_Data___Hourly_OverviewSearch_1_csv[[#This Row],[Date]],Supply_Data___Hourly_DriverActivity_1_csv__3[#All],2,FALSE)</f>
        <v>69</v>
      </c>
      <c r="J103">
        <f>VLOOKUP(Demand_Data___Hourly_OverviewSearch_1_csv[[#This Row],[Date]],Supply_Data___Hourly_DriverActivity_1_csv__3[#All],3,FALSE)</f>
        <v>27</v>
      </c>
      <c r="K103">
        <f>VLOOKUP(Demand_Data___Hourly_OverviewSearch_1_csv[[#This Row],[Date]],Supply_Data___Hourly_DriverActivity_1_csv__3[#All],4,FALSE)</f>
        <v>21</v>
      </c>
      <c r="L103">
        <f>VLOOKUP(Demand_Data___Hourly_OverviewSearch_1_csv[[#This Row],[Date]],Supply_Data___Hourly_DriverActivity_1_csv__3[#All],5,FALSE)</f>
        <v>6</v>
      </c>
      <c r="M103">
        <f>VLOOKUP(Demand_Data___Hourly_OverviewSearch_1_csv[[#This Row],[Date]],Supply_Data___Hourly_DriverActivity_1_csv__3[#All],6,FALSE)</f>
        <v>0.4</v>
      </c>
      <c r="N103">
        <f>VLOOKUP(Demand_Data___Hourly_OverviewSearch_1_csv[[#This Row],[Date]],Supply_Data___Hourly_DriverActivity_1_csv__3[#All],7,FALSE)</f>
        <v>1.1100000000000001</v>
      </c>
      <c r="O103">
        <f>VLOOKUP(Demand_Data___Hourly_OverviewSearch_1_csv[[#This Row],[Date]],Supply_Data___Hourly_DriverActivity_1_csv__3[#All],8,FALSE)</f>
        <v>30</v>
      </c>
      <c r="P103">
        <f>(Demand_Data___Hourly_OverviewSearch_1_csv[[#This Row],[People saw 0 cars (unique)]]+Demand_Data___Hourly_OverviewSearch_1_csv[[#This Row],[People saw +1 cars (unique)]])</f>
        <v>162</v>
      </c>
      <c r="Q103" s="143">
        <f t="shared" si="7"/>
        <v>6</v>
      </c>
    </row>
    <row r="104" spans="1:17" x14ac:dyDescent="0.3">
      <c r="A104" t="s">
        <v>110</v>
      </c>
      <c r="B104" t="str">
        <f t="shared" si="4"/>
        <v xml:space="preserve"> 17</v>
      </c>
      <c r="C104">
        <f t="shared" si="5"/>
        <v>3</v>
      </c>
      <c r="D104" t="str">
        <f t="shared" si="6"/>
        <v xml:space="preserve">2016-12-14 </v>
      </c>
      <c r="E104" t="str">
        <f>TEXT(Demand_Data___Hourly_OverviewSearch_1_csv[[#This Row],[Day]],"dddd")</f>
        <v>Tuesday</v>
      </c>
      <c r="F104">
        <v>43</v>
      </c>
      <c r="G104">
        <v>66</v>
      </c>
      <c r="H104">
        <v>61</v>
      </c>
      <c r="I104">
        <f>VLOOKUP(Demand_Data___Hourly_OverviewSearch_1_csv[[#This Row],[Date]],Supply_Data___Hourly_DriverActivity_1_csv__3[#All],2,FALSE)</f>
        <v>76</v>
      </c>
      <c r="J104">
        <f>VLOOKUP(Demand_Data___Hourly_OverviewSearch_1_csv[[#This Row],[Date]],Supply_Data___Hourly_DriverActivity_1_csv__3[#All],3,FALSE)</f>
        <v>22</v>
      </c>
      <c r="K104">
        <f>VLOOKUP(Demand_Data___Hourly_OverviewSearch_1_csv[[#This Row],[Date]],Supply_Data___Hourly_DriverActivity_1_csv__3[#All],4,FALSE)</f>
        <v>12</v>
      </c>
      <c r="L104">
        <f>VLOOKUP(Demand_Data___Hourly_OverviewSearch_1_csv[[#This Row],[Date]],Supply_Data___Hourly_DriverActivity_1_csv__3[#All],5,FALSE)</f>
        <v>10</v>
      </c>
      <c r="M104">
        <f>VLOOKUP(Demand_Data___Hourly_OverviewSearch_1_csv[[#This Row],[Date]],Supply_Data___Hourly_DriverActivity_1_csv__3[#All],6,FALSE)</f>
        <v>0.3</v>
      </c>
      <c r="N104">
        <f>VLOOKUP(Demand_Data___Hourly_OverviewSearch_1_csv[[#This Row],[Date]],Supply_Data___Hourly_DriverActivity_1_csv__3[#All],7,FALSE)</f>
        <v>1.0900000000000001</v>
      </c>
      <c r="O104">
        <f>VLOOKUP(Demand_Data___Hourly_OverviewSearch_1_csv[[#This Row],[Date]],Supply_Data___Hourly_DriverActivity_1_csv__3[#All],8,FALSE)</f>
        <v>24</v>
      </c>
      <c r="P104">
        <f>(Demand_Data___Hourly_OverviewSearch_1_csv[[#This Row],[People saw 0 cars (unique)]]+Demand_Data___Hourly_OverviewSearch_1_csv[[#This Row],[People saw +1 cars (unique)]])</f>
        <v>109</v>
      </c>
      <c r="Q104" s="143">
        <f t="shared" si="7"/>
        <v>10</v>
      </c>
    </row>
    <row r="105" spans="1:17" x14ac:dyDescent="0.3">
      <c r="A105" t="s">
        <v>111</v>
      </c>
      <c r="B105" t="str">
        <f t="shared" si="4"/>
        <v xml:space="preserve"> 16</v>
      </c>
      <c r="C105">
        <f t="shared" si="5"/>
        <v>3</v>
      </c>
      <c r="D105" t="str">
        <f t="shared" si="6"/>
        <v xml:space="preserve">2016-12-14 </v>
      </c>
      <c r="E105" t="str">
        <f>TEXT(Demand_Data___Hourly_OverviewSearch_1_csv[[#This Row],[Day]],"dddd")</f>
        <v>Tuesday</v>
      </c>
      <c r="F105">
        <v>14</v>
      </c>
      <c r="G105">
        <v>48</v>
      </c>
      <c r="H105">
        <v>77</v>
      </c>
      <c r="I105">
        <f>VLOOKUP(Demand_Data___Hourly_OverviewSearch_1_csv[[#This Row],[Date]],Supply_Data___Hourly_DriverActivity_1_csv__3[#All],2,FALSE)</f>
        <v>67</v>
      </c>
      <c r="J105">
        <f>VLOOKUP(Demand_Data___Hourly_OverviewSearch_1_csv[[#This Row],[Date]],Supply_Data___Hourly_DriverActivity_1_csv__3[#All],3,FALSE)</f>
        <v>20</v>
      </c>
      <c r="K105">
        <f>VLOOKUP(Demand_Data___Hourly_OverviewSearch_1_csv[[#This Row],[Date]],Supply_Data___Hourly_DriverActivity_1_csv__3[#All],4,FALSE)</f>
        <v>7</v>
      </c>
      <c r="L105">
        <f>VLOOKUP(Demand_Data___Hourly_OverviewSearch_1_csv[[#This Row],[Date]],Supply_Data___Hourly_DriverActivity_1_csv__3[#All],5,FALSE)</f>
        <v>13</v>
      </c>
      <c r="M105">
        <f>VLOOKUP(Demand_Data___Hourly_OverviewSearch_1_csv[[#This Row],[Date]],Supply_Data___Hourly_DriverActivity_1_csv__3[#All],6,FALSE)</f>
        <v>0.3</v>
      </c>
      <c r="N105">
        <f>VLOOKUP(Demand_Data___Hourly_OverviewSearch_1_csv[[#This Row],[Date]],Supply_Data___Hourly_DriverActivity_1_csv__3[#All],7,FALSE)</f>
        <v>0.75</v>
      </c>
      <c r="O105">
        <f>VLOOKUP(Demand_Data___Hourly_OverviewSearch_1_csv[[#This Row],[Date]],Supply_Data___Hourly_DriverActivity_1_csv__3[#All],8,FALSE)</f>
        <v>15</v>
      </c>
      <c r="P105">
        <f>(Demand_Data___Hourly_OverviewSearch_1_csv[[#This Row],[People saw 0 cars (unique)]]+Demand_Data___Hourly_OverviewSearch_1_csv[[#This Row],[People saw +1 cars (unique)]])</f>
        <v>62</v>
      </c>
      <c r="Q105" s="143">
        <f t="shared" si="7"/>
        <v>13</v>
      </c>
    </row>
    <row r="106" spans="1:17" x14ac:dyDescent="0.3">
      <c r="A106" t="s">
        <v>112</v>
      </c>
      <c r="B106" t="str">
        <f t="shared" si="4"/>
        <v xml:space="preserve"> 15</v>
      </c>
      <c r="C106">
        <f t="shared" si="5"/>
        <v>3</v>
      </c>
      <c r="D106" t="str">
        <f t="shared" si="6"/>
        <v xml:space="preserve">2016-12-14 </v>
      </c>
      <c r="E106" t="str">
        <f>TEXT(Demand_Data___Hourly_OverviewSearch_1_csv[[#This Row],[Day]],"dddd")</f>
        <v>Tuesday</v>
      </c>
      <c r="F106">
        <v>11</v>
      </c>
      <c r="G106">
        <v>42</v>
      </c>
      <c r="H106">
        <v>79</v>
      </c>
      <c r="I106">
        <f>VLOOKUP(Demand_Data___Hourly_OverviewSearch_1_csv[[#This Row],[Date]],Supply_Data___Hourly_DriverActivity_1_csv__3[#All],2,FALSE)</f>
        <v>62</v>
      </c>
      <c r="J106">
        <f>VLOOKUP(Demand_Data___Hourly_OverviewSearch_1_csv[[#This Row],[Date]],Supply_Data___Hourly_DriverActivity_1_csv__3[#All],3,FALSE)</f>
        <v>19</v>
      </c>
      <c r="K106">
        <f>VLOOKUP(Demand_Data___Hourly_OverviewSearch_1_csv[[#This Row],[Date]],Supply_Data___Hourly_DriverActivity_1_csv__3[#All],4,FALSE)</f>
        <v>5</v>
      </c>
      <c r="L106">
        <f>VLOOKUP(Demand_Data___Hourly_OverviewSearch_1_csv[[#This Row],[Date]],Supply_Data___Hourly_DriverActivity_1_csv__3[#All],5,FALSE)</f>
        <v>14</v>
      </c>
      <c r="M106">
        <f>VLOOKUP(Demand_Data___Hourly_OverviewSearch_1_csv[[#This Row],[Date]],Supply_Data___Hourly_DriverActivity_1_csv__3[#All],6,FALSE)</f>
        <v>0.3</v>
      </c>
      <c r="N106">
        <f>VLOOKUP(Demand_Data___Hourly_OverviewSearch_1_csv[[#This Row],[Date]],Supply_Data___Hourly_DriverActivity_1_csv__3[#All],7,FALSE)</f>
        <v>0.57999999999999996</v>
      </c>
      <c r="O106">
        <f>VLOOKUP(Demand_Data___Hourly_OverviewSearch_1_csv[[#This Row],[Date]],Supply_Data___Hourly_DriverActivity_1_csv__3[#All],8,FALSE)</f>
        <v>11</v>
      </c>
      <c r="P106">
        <f>(Demand_Data___Hourly_OverviewSearch_1_csv[[#This Row],[People saw 0 cars (unique)]]+Demand_Data___Hourly_OverviewSearch_1_csv[[#This Row],[People saw +1 cars (unique)]])</f>
        <v>53</v>
      </c>
      <c r="Q106" s="143">
        <f t="shared" si="7"/>
        <v>14</v>
      </c>
    </row>
    <row r="107" spans="1:17" x14ac:dyDescent="0.3">
      <c r="A107" t="s">
        <v>113</v>
      </c>
      <c r="B107" t="str">
        <f t="shared" si="4"/>
        <v xml:space="preserve"> 14</v>
      </c>
      <c r="C107">
        <f t="shared" si="5"/>
        <v>3</v>
      </c>
      <c r="D107" t="str">
        <f t="shared" si="6"/>
        <v xml:space="preserve">2016-12-14 </v>
      </c>
      <c r="E107" t="str">
        <f>TEXT(Demand_Data___Hourly_OverviewSearch_1_csv[[#This Row],[Day]],"dddd")</f>
        <v>Tuesday</v>
      </c>
      <c r="F107">
        <v>10</v>
      </c>
      <c r="G107">
        <v>21</v>
      </c>
      <c r="H107">
        <v>68</v>
      </c>
      <c r="I107">
        <f>VLOOKUP(Demand_Data___Hourly_OverviewSearch_1_csv[[#This Row],[Date]],Supply_Data___Hourly_DriverActivity_1_csv__3[#All],2,FALSE)</f>
        <v>62</v>
      </c>
      <c r="J107">
        <f>VLOOKUP(Demand_Data___Hourly_OverviewSearch_1_csv[[#This Row],[Date]],Supply_Data___Hourly_DriverActivity_1_csv__3[#All],3,FALSE)</f>
        <v>13</v>
      </c>
      <c r="K107">
        <f>VLOOKUP(Demand_Data___Hourly_OverviewSearch_1_csv[[#This Row],[Date]],Supply_Data___Hourly_DriverActivity_1_csv__3[#All],4,FALSE)</f>
        <v>3</v>
      </c>
      <c r="L107">
        <f>VLOOKUP(Demand_Data___Hourly_OverviewSearch_1_csv[[#This Row],[Date]],Supply_Data___Hourly_DriverActivity_1_csv__3[#All],5,FALSE)</f>
        <v>10</v>
      </c>
      <c r="M107">
        <f>VLOOKUP(Demand_Data___Hourly_OverviewSearch_1_csv[[#This Row],[Date]],Supply_Data___Hourly_DriverActivity_1_csv__3[#All],6,FALSE)</f>
        <v>0.2</v>
      </c>
      <c r="N107">
        <f>VLOOKUP(Demand_Data___Hourly_OverviewSearch_1_csv[[#This Row],[Date]],Supply_Data___Hourly_DriverActivity_1_csv__3[#All],7,FALSE)</f>
        <v>0.54</v>
      </c>
      <c r="O107">
        <f>VLOOKUP(Demand_Data___Hourly_OverviewSearch_1_csv[[#This Row],[Date]],Supply_Data___Hourly_DriverActivity_1_csv__3[#All],8,FALSE)</f>
        <v>7</v>
      </c>
      <c r="P107">
        <f>(Demand_Data___Hourly_OverviewSearch_1_csv[[#This Row],[People saw 0 cars (unique)]]+Demand_Data___Hourly_OverviewSearch_1_csv[[#This Row],[People saw +1 cars (unique)]])</f>
        <v>31</v>
      </c>
      <c r="Q107" s="143">
        <f t="shared" si="7"/>
        <v>10</v>
      </c>
    </row>
    <row r="108" spans="1:17" x14ac:dyDescent="0.3">
      <c r="A108" t="s">
        <v>114</v>
      </c>
      <c r="B108" t="str">
        <f t="shared" si="4"/>
        <v xml:space="preserve"> 13</v>
      </c>
      <c r="C108">
        <f t="shared" si="5"/>
        <v>3</v>
      </c>
      <c r="D108" t="str">
        <f t="shared" si="6"/>
        <v xml:space="preserve">2016-12-14 </v>
      </c>
      <c r="E108" t="str">
        <f>TEXT(Demand_Data___Hourly_OverviewSearch_1_csv[[#This Row],[Day]],"dddd")</f>
        <v>Tuesday</v>
      </c>
      <c r="F108">
        <v>2</v>
      </c>
      <c r="G108">
        <v>36</v>
      </c>
      <c r="H108">
        <v>95</v>
      </c>
      <c r="I108">
        <f>VLOOKUP(Demand_Data___Hourly_OverviewSearch_1_csv[[#This Row],[Date]],Supply_Data___Hourly_DriverActivity_1_csv__3[#All],2,FALSE)</f>
        <v>71</v>
      </c>
      <c r="J108">
        <f>VLOOKUP(Demand_Data___Hourly_OverviewSearch_1_csv[[#This Row],[Date]],Supply_Data___Hourly_DriverActivity_1_csv__3[#All],3,FALSE)</f>
        <v>19</v>
      </c>
      <c r="K108">
        <f>VLOOKUP(Demand_Data___Hourly_OverviewSearch_1_csv[[#This Row],[Date]],Supply_Data___Hourly_DriverActivity_1_csv__3[#All],4,FALSE)</f>
        <v>6</v>
      </c>
      <c r="L108">
        <f>VLOOKUP(Demand_Data___Hourly_OverviewSearch_1_csv[[#This Row],[Date]],Supply_Data___Hourly_DriverActivity_1_csv__3[#All],5,FALSE)</f>
        <v>13</v>
      </c>
      <c r="M108">
        <f>VLOOKUP(Demand_Data___Hourly_OverviewSearch_1_csv[[#This Row],[Date]],Supply_Data___Hourly_DriverActivity_1_csv__3[#All],6,FALSE)</f>
        <v>0.3</v>
      </c>
      <c r="N108">
        <f>VLOOKUP(Demand_Data___Hourly_OverviewSearch_1_csv[[#This Row],[Date]],Supply_Data___Hourly_DriverActivity_1_csv__3[#All],7,FALSE)</f>
        <v>0.37</v>
      </c>
      <c r="O108">
        <f>VLOOKUP(Demand_Data___Hourly_OverviewSearch_1_csv[[#This Row],[Date]],Supply_Data___Hourly_DriverActivity_1_csv__3[#All],8,FALSE)</f>
        <v>7</v>
      </c>
      <c r="P108">
        <f>(Demand_Data___Hourly_OverviewSearch_1_csv[[#This Row],[People saw 0 cars (unique)]]+Demand_Data___Hourly_OverviewSearch_1_csv[[#This Row],[People saw +1 cars (unique)]])</f>
        <v>38</v>
      </c>
      <c r="Q108" s="143">
        <f t="shared" si="7"/>
        <v>13</v>
      </c>
    </row>
    <row r="109" spans="1:17" x14ac:dyDescent="0.3">
      <c r="A109" t="s">
        <v>115</v>
      </c>
      <c r="B109" t="str">
        <f t="shared" si="4"/>
        <v xml:space="preserve"> 12</v>
      </c>
      <c r="C109">
        <f t="shared" si="5"/>
        <v>3</v>
      </c>
      <c r="D109" t="str">
        <f t="shared" si="6"/>
        <v xml:space="preserve">2016-12-14 </v>
      </c>
      <c r="E109" t="str">
        <f>TEXT(Demand_Data___Hourly_OverviewSearch_1_csv[[#This Row],[Day]],"dddd")</f>
        <v>Tuesday</v>
      </c>
      <c r="F109">
        <v>9</v>
      </c>
      <c r="G109">
        <v>28</v>
      </c>
      <c r="H109">
        <v>76</v>
      </c>
      <c r="I109">
        <f>VLOOKUP(Demand_Data___Hourly_OverviewSearch_1_csv[[#This Row],[Date]],Supply_Data___Hourly_DriverActivity_1_csv__3[#All],2,FALSE)</f>
        <v>69</v>
      </c>
      <c r="J109">
        <f>VLOOKUP(Demand_Data___Hourly_OverviewSearch_1_csv[[#This Row],[Date]],Supply_Data___Hourly_DriverActivity_1_csv__3[#All],3,FALSE)</f>
        <v>19</v>
      </c>
      <c r="K109">
        <f>VLOOKUP(Demand_Data___Hourly_OverviewSearch_1_csv[[#This Row],[Date]],Supply_Data___Hourly_DriverActivity_1_csv__3[#All],4,FALSE)</f>
        <v>5</v>
      </c>
      <c r="L109">
        <f>VLOOKUP(Demand_Data___Hourly_OverviewSearch_1_csv[[#This Row],[Date]],Supply_Data___Hourly_DriverActivity_1_csv__3[#All],5,FALSE)</f>
        <v>15</v>
      </c>
      <c r="M109">
        <f>VLOOKUP(Demand_Data___Hourly_OverviewSearch_1_csv[[#This Row],[Date]],Supply_Data___Hourly_DriverActivity_1_csv__3[#All],6,FALSE)</f>
        <v>0.3</v>
      </c>
      <c r="N109">
        <f>VLOOKUP(Demand_Data___Hourly_OverviewSearch_1_csv[[#This Row],[Date]],Supply_Data___Hourly_DriverActivity_1_csv__3[#All],7,FALSE)</f>
        <v>0.68</v>
      </c>
      <c r="O109">
        <f>VLOOKUP(Demand_Data___Hourly_OverviewSearch_1_csv[[#This Row],[Date]],Supply_Data___Hourly_DriverActivity_1_csv__3[#All],8,FALSE)</f>
        <v>13</v>
      </c>
      <c r="P109">
        <f>(Demand_Data___Hourly_OverviewSearch_1_csv[[#This Row],[People saw 0 cars (unique)]]+Demand_Data___Hourly_OverviewSearch_1_csv[[#This Row],[People saw +1 cars (unique)]])</f>
        <v>37</v>
      </c>
      <c r="Q109" s="143">
        <f t="shared" si="7"/>
        <v>14</v>
      </c>
    </row>
    <row r="110" spans="1:17" x14ac:dyDescent="0.3">
      <c r="A110" t="s">
        <v>116</v>
      </c>
      <c r="B110" t="str">
        <f t="shared" si="4"/>
        <v xml:space="preserve"> 11</v>
      </c>
      <c r="C110">
        <f t="shared" si="5"/>
        <v>3</v>
      </c>
      <c r="D110" t="str">
        <f t="shared" si="6"/>
        <v xml:space="preserve">2016-12-14 </v>
      </c>
      <c r="E110" t="str">
        <f>TEXT(Demand_Data___Hourly_OverviewSearch_1_csv[[#This Row],[Day]],"dddd")</f>
        <v>Tuesday</v>
      </c>
      <c r="F110">
        <v>2</v>
      </c>
      <c r="G110">
        <v>27</v>
      </c>
      <c r="H110">
        <v>93</v>
      </c>
      <c r="I110">
        <f>VLOOKUP(Demand_Data___Hourly_OverviewSearch_1_csv[[#This Row],[Date]],Supply_Data___Hourly_DriverActivity_1_csv__3[#All],2,FALSE)</f>
        <v>71</v>
      </c>
      <c r="J110">
        <f>VLOOKUP(Demand_Data___Hourly_OverviewSearch_1_csv[[#This Row],[Date]],Supply_Data___Hourly_DriverActivity_1_csv__3[#All],3,FALSE)</f>
        <v>28</v>
      </c>
      <c r="K110">
        <f>VLOOKUP(Demand_Data___Hourly_OverviewSearch_1_csv[[#This Row],[Date]],Supply_Data___Hourly_DriverActivity_1_csv__3[#All],4,FALSE)</f>
        <v>5</v>
      </c>
      <c r="L110">
        <f>VLOOKUP(Demand_Data___Hourly_OverviewSearch_1_csv[[#This Row],[Date]],Supply_Data___Hourly_DriverActivity_1_csv__3[#All],5,FALSE)</f>
        <v>23</v>
      </c>
      <c r="M110">
        <f>VLOOKUP(Demand_Data___Hourly_OverviewSearch_1_csv[[#This Row],[Date]],Supply_Data___Hourly_DriverActivity_1_csv__3[#All],6,FALSE)</f>
        <v>0.4</v>
      </c>
      <c r="N110">
        <f>VLOOKUP(Demand_Data___Hourly_OverviewSearch_1_csv[[#This Row],[Date]],Supply_Data___Hourly_DriverActivity_1_csv__3[#All],7,FALSE)</f>
        <v>0.39</v>
      </c>
      <c r="O110">
        <f>VLOOKUP(Demand_Data___Hourly_OverviewSearch_1_csv[[#This Row],[Date]],Supply_Data___Hourly_DriverActivity_1_csv__3[#All],8,FALSE)</f>
        <v>11</v>
      </c>
      <c r="P110">
        <f>(Demand_Data___Hourly_OverviewSearch_1_csv[[#This Row],[People saw 0 cars (unique)]]+Demand_Data___Hourly_OverviewSearch_1_csv[[#This Row],[People saw +1 cars (unique)]])</f>
        <v>29</v>
      </c>
      <c r="Q110" s="143">
        <f t="shared" si="7"/>
        <v>23</v>
      </c>
    </row>
    <row r="111" spans="1:17" x14ac:dyDescent="0.3">
      <c r="A111" t="s">
        <v>117</v>
      </c>
      <c r="B111" t="str">
        <f t="shared" si="4"/>
        <v xml:space="preserve"> 10</v>
      </c>
      <c r="C111">
        <f t="shared" si="5"/>
        <v>3</v>
      </c>
      <c r="D111" t="str">
        <f t="shared" si="6"/>
        <v xml:space="preserve">2016-12-14 </v>
      </c>
      <c r="E111" t="str">
        <f>TEXT(Demand_Data___Hourly_OverviewSearch_1_csv[[#This Row],[Day]],"dddd")</f>
        <v>Tuesday</v>
      </c>
      <c r="F111">
        <v>19</v>
      </c>
      <c r="G111">
        <v>52</v>
      </c>
      <c r="H111">
        <v>73</v>
      </c>
      <c r="I111">
        <f>VLOOKUP(Demand_Data___Hourly_OverviewSearch_1_csv[[#This Row],[Date]],Supply_Data___Hourly_DriverActivity_1_csv__3[#All],2,FALSE)</f>
        <v>80</v>
      </c>
      <c r="J111">
        <f>VLOOKUP(Demand_Data___Hourly_OverviewSearch_1_csv[[#This Row],[Date]],Supply_Data___Hourly_DriverActivity_1_csv__3[#All],3,FALSE)</f>
        <v>33</v>
      </c>
      <c r="K111">
        <f>VLOOKUP(Demand_Data___Hourly_OverviewSearch_1_csv[[#This Row],[Date]],Supply_Data___Hourly_DriverActivity_1_csv__3[#All],4,FALSE)</f>
        <v>12</v>
      </c>
      <c r="L111">
        <f>VLOOKUP(Demand_Data___Hourly_OverviewSearch_1_csv[[#This Row],[Date]],Supply_Data___Hourly_DriverActivity_1_csv__3[#All],5,FALSE)</f>
        <v>21</v>
      </c>
      <c r="M111">
        <f>VLOOKUP(Demand_Data___Hourly_OverviewSearch_1_csv[[#This Row],[Date]],Supply_Data___Hourly_DriverActivity_1_csv__3[#All],6,FALSE)</f>
        <v>0.4</v>
      </c>
      <c r="N111">
        <f>VLOOKUP(Demand_Data___Hourly_OverviewSearch_1_csv[[#This Row],[Date]],Supply_Data___Hourly_DriverActivity_1_csv__3[#All],7,FALSE)</f>
        <v>0.48</v>
      </c>
      <c r="O111">
        <f>VLOOKUP(Demand_Data___Hourly_OverviewSearch_1_csv[[#This Row],[Date]],Supply_Data___Hourly_DriverActivity_1_csv__3[#All],8,FALSE)</f>
        <v>16</v>
      </c>
      <c r="P111">
        <f>(Demand_Data___Hourly_OverviewSearch_1_csv[[#This Row],[People saw 0 cars (unique)]]+Demand_Data___Hourly_OverviewSearch_1_csv[[#This Row],[People saw +1 cars (unique)]])</f>
        <v>71</v>
      </c>
      <c r="Q111" s="143">
        <f t="shared" si="7"/>
        <v>21</v>
      </c>
    </row>
    <row r="112" spans="1:17" x14ac:dyDescent="0.3">
      <c r="A112" t="s">
        <v>118</v>
      </c>
      <c r="B112" t="str">
        <f t="shared" si="4"/>
        <v xml:space="preserve"> 09</v>
      </c>
      <c r="C112">
        <f t="shared" si="5"/>
        <v>3</v>
      </c>
      <c r="D112" t="str">
        <f t="shared" si="6"/>
        <v xml:space="preserve">2016-12-14 </v>
      </c>
      <c r="E112" t="str">
        <f>TEXT(Demand_Data___Hourly_OverviewSearch_1_csv[[#This Row],[Day]],"dddd")</f>
        <v>Tuesday</v>
      </c>
      <c r="F112">
        <v>61</v>
      </c>
      <c r="G112">
        <v>64</v>
      </c>
      <c r="H112">
        <v>51</v>
      </c>
      <c r="I112">
        <f>VLOOKUP(Demand_Data___Hourly_OverviewSearch_1_csv[[#This Row],[Date]],Supply_Data___Hourly_DriverActivity_1_csv__3[#All],2,FALSE)</f>
        <v>57</v>
      </c>
      <c r="J112">
        <f>VLOOKUP(Demand_Data___Hourly_OverviewSearch_1_csv[[#This Row],[Date]],Supply_Data___Hourly_DriverActivity_1_csv__3[#All],3,FALSE)</f>
        <v>22</v>
      </c>
      <c r="K112">
        <f>VLOOKUP(Demand_Data___Hourly_OverviewSearch_1_csv[[#This Row],[Date]],Supply_Data___Hourly_DriverActivity_1_csv__3[#All],4,FALSE)</f>
        <v>17</v>
      </c>
      <c r="L112">
        <f>VLOOKUP(Demand_Data___Hourly_OverviewSearch_1_csv[[#This Row],[Date]],Supply_Data___Hourly_DriverActivity_1_csv__3[#All],5,FALSE)</f>
        <v>6</v>
      </c>
      <c r="M112">
        <f>VLOOKUP(Demand_Data___Hourly_OverviewSearch_1_csv[[#This Row],[Date]],Supply_Data___Hourly_DriverActivity_1_csv__3[#All],6,FALSE)</f>
        <v>0.4</v>
      </c>
      <c r="N112">
        <f>VLOOKUP(Demand_Data___Hourly_OverviewSearch_1_csv[[#This Row],[Date]],Supply_Data___Hourly_DriverActivity_1_csv__3[#All],7,FALSE)</f>
        <v>1.5</v>
      </c>
      <c r="O112">
        <f>VLOOKUP(Demand_Data___Hourly_OverviewSearch_1_csv[[#This Row],[Date]],Supply_Data___Hourly_DriverActivity_1_csv__3[#All],8,FALSE)</f>
        <v>33</v>
      </c>
      <c r="P112">
        <f>(Demand_Data___Hourly_OverviewSearch_1_csv[[#This Row],[People saw 0 cars (unique)]]+Demand_Data___Hourly_OverviewSearch_1_csv[[#This Row],[People saw +1 cars (unique)]])</f>
        <v>125</v>
      </c>
      <c r="Q112" s="143">
        <f t="shared" si="7"/>
        <v>5</v>
      </c>
    </row>
    <row r="113" spans="1:17" x14ac:dyDescent="0.3">
      <c r="A113" t="s">
        <v>119</v>
      </c>
      <c r="B113" t="str">
        <f t="shared" si="4"/>
        <v xml:space="preserve"> 08</v>
      </c>
      <c r="C113">
        <f t="shared" si="5"/>
        <v>3</v>
      </c>
      <c r="D113" t="str">
        <f t="shared" si="6"/>
        <v xml:space="preserve">2016-12-14 </v>
      </c>
      <c r="E113" t="str">
        <f>TEXT(Demand_Data___Hourly_OverviewSearch_1_csv[[#This Row],[Day]],"dddd")</f>
        <v>Tuesday</v>
      </c>
      <c r="F113">
        <v>51</v>
      </c>
      <c r="G113">
        <v>44</v>
      </c>
      <c r="H113">
        <v>46</v>
      </c>
      <c r="I113">
        <f>VLOOKUP(Demand_Data___Hourly_OverviewSearch_1_csv[[#This Row],[Date]],Supply_Data___Hourly_DriverActivity_1_csv__3[#All],2,FALSE)</f>
        <v>49</v>
      </c>
      <c r="J113">
        <f>VLOOKUP(Demand_Data___Hourly_OverviewSearch_1_csv[[#This Row],[Date]],Supply_Data___Hourly_DriverActivity_1_csv__3[#All],3,FALSE)</f>
        <v>18</v>
      </c>
      <c r="K113">
        <f>VLOOKUP(Demand_Data___Hourly_OverviewSearch_1_csv[[#This Row],[Date]],Supply_Data___Hourly_DriverActivity_1_csv__3[#All],4,FALSE)</f>
        <v>10</v>
      </c>
      <c r="L113">
        <f>VLOOKUP(Demand_Data___Hourly_OverviewSearch_1_csv[[#This Row],[Date]],Supply_Data___Hourly_DriverActivity_1_csv__3[#All],5,FALSE)</f>
        <v>8</v>
      </c>
      <c r="M113">
        <f>VLOOKUP(Demand_Data___Hourly_OverviewSearch_1_csv[[#This Row],[Date]],Supply_Data___Hourly_DriverActivity_1_csv__3[#All],6,FALSE)</f>
        <v>0.4</v>
      </c>
      <c r="N113">
        <f>VLOOKUP(Demand_Data___Hourly_OverviewSearch_1_csv[[#This Row],[Date]],Supply_Data___Hourly_DriverActivity_1_csv__3[#All],7,FALSE)</f>
        <v>1</v>
      </c>
      <c r="O113">
        <f>VLOOKUP(Demand_Data___Hourly_OverviewSearch_1_csv[[#This Row],[Date]],Supply_Data___Hourly_DriverActivity_1_csv__3[#All],8,FALSE)</f>
        <v>18</v>
      </c>
      <c r="P113">
        <f>(Demand_Data___Hourly_OverviewSearch_1_csv[[#This Row],[People saw 0 cars (unique)]]+Demand_Data___Hourly_OverviewSearch_1_csv[[#This Row],[People saw +1 cars (unique)]])</f>
        <v>95</v>
      </c>
      <c r="Q113" s="143">
        <f t="shared" si="7"/>
        <v>8</v>
      </c>
    </row>
    <row r="114" spans="1:17" x14ac:dyDescent="0.3">
      <c r="A114" t="s">
        <v>120</v>
      </c>
      <c r="B114" t="str">
        <f t="shared" si="4"/>
        <v xml:space="preserve"> 07</v>
      </c>
      <c r="C114">
        <f t="shared" si="5"/>
        <v>3</v>
      </c>
      <c r="D114" t="str">
        <f t="shared" si="6"/>
        <v xml:space="preserve">2016-12-14 </v>
      </c>
      <c r="E114" t="str">
        <f>TEXT(Demand_Data___Hourly_OverviewSearch_1_csv[[#This Row],[Day]],"dddd")</f>
        <v>Tuesday</v>
      </c>
      <c r="F114">
        <v>17</v>
      </c>
      <c r="G114">
        <v>22</v>
      </c>
      <c r="H114">
        <v>56</v>
      </c>
      <c r="I114">
        <f>VLOOKUP(Demand_Data___Hourly_OverviewSearch_1_csv[[#This Row],[Date]],Supply_Data___Hourly_DriverActivity_1_csv__3[#All],2,FALSE)</f>
        <v>42</v>
      </c>
      <c r="J114">
        <f>VLOOKUP(Demand_Data___Hourly_OverviewSearch_1_csv[[#This Row],[Date]],Supply_Data___Hourly_DriverActivity_1_csv__3[#All],3,FALSE)</f>
        <v>14</v>
      </c>
      <c r="K114">
        <f>VLOOKUP(Demand_Data___Hourly_OverviewSearch_1_csv[[#This Row],[Date]],Supply_Data___Hourly_DriverActivity_1_csv__3[#All],4,FALSE)</f>
        <v>3</v>
      </c>
      <c r="L114">
        <f>VLOOKUP(Demand_Data___Hourly_OverviewSearch_1_csv[[#This Row],[Date]],Supply_Data___Hourly_DriverActivity_1_csv__3[#All],5,FALSE)</f>
        <v>11</v>
      </c>
      <c r="M114">
        <f>VLOOKUP(Demand_Data___Hourly_OverviewSearch_1_csv[[#This Row],[Date]],Supply_Data___Hourly_DriverActivity_1_csv__3[#All],6,FALSE)</f>
        <v>0.3</v>
      </c>
      <c r="N114">
        <f>VLOOKUP(Demand_Data___Hourly_OverviewSearch_1_csv[[#This Row],[Date]],Supply_Data___Hourly_DriverActivity_1_csv__3[#All],7,FALSE)</f>
        <v>0.56999999999999995</v>
      </c>
      <c r="O114">
        <f>VLOOKUP(Demand_Data___Hourly_OverviewSearch_1_csv[[#This Row],[Date]],Supply_Data___Hourly_DriverActivity_1_csv__3[#All],8,FALSE)</f>
        <v>8</v>
      </c>
      <c r="P114">
        <f>(Demand_Data___Hourly_OverviewSearch_1_csv[[#This Row],[People saw 0 cars (unique)]]+Demand_Data___Hourly_OverviewSearch_1_csv[[#This Row],[People saw +1 cars (unique)]])</f>
        <v>39</v>
      </c>
      <c r="Q114" s="143">
        <f t="shared" si="7"/>
        <v>11</v>
      </c>
    </row>
    <row r="115" spans="1:17" x14ac:dyDescent="0.3">
      <c r="A115" t="s">
        <v>121</v>
      </c>
      <c r="B115" t="str">
        <f t="shared" si="4"/>
        <v xml:space="preserve"> 06</v>
      </c>
      <c r="C115">
        <f t="shared" si="5"/>
        <v>3</v>
      </c>
      <c r="D115" t="str">
        <f t="shared" si="6"/>
        <v xml:space="preserve">2016-12-14 </v>
      </c>
      <c r="E115" t="str">
        <f>TEXT(Demand_Data___Hourly_OverviewSearch_1_csv[[#This Row],[Day]],"dddd")</f>
        <v>Tuesday</v>
      </c>
      <c r="F115">
        <v>1</v>
      </c>
      <c r="G115">
        <v>3</v>
      </c>
      <c r="H115">
        <v>75</v>
      </c>
      <c r="I115">
        <f>VLOOKUP(Demand_Data___Hourly_OverviewSearch_1_csv[[#This Row],[Date]],Supply_Data___Hourly_DriverActivity_1_csv__3[#All],2,FALSE)</f>
        <v>24</v>
      </c>
      <c r="J115">
        <f>VLOOKUP(Demand_Data___Hourly_OverviewSearch_1_csv[[#This Row],[Date]],Supply_Data___Hourly_DriverActivity_1_csv__3[#All],3,FALSE)</f>
        <v>6</v>
      </c>
      <c r="K115">
        <f>VLOOKUP(Demand_Data___Hourly_OverviewSearch_1_csv[[#This Row],[Date]],Supply_Data___Hourly_DriverActivity_1_csv__3[#All],4,FALSE)</f>
        <v>0</v>
      </c>
      <c r="L115">
        <f>VLOOKUP(Demand_Data___Hourly_OverviewSearch_1_csv[[#This Row],[Date]],Supply_Data___Hourly_DriverActivity_1_csv__3[#All],5,FALSE)</f>
        <v>6</v>
      </c>
      <c r="M115">
        <f>VLOOKUP(Demand_Data___Hourly_OverviewSearch_1_csv[[#This Row],[Date]],Supply_Data___Hourly_DriverActivity_1_csv__3[#All],6,FALSE)</f>
        <v>0.3</v>
      </c>
      <c r="N115">
        <f>VLOOKUP(Demand_Data___Hourly_OverviewSearch_1_csv[[#This Row],[Date]],Supply_Data___Hourly_DriverActivity_1_csv__3[#All],7,FALSE)</f>
        <v>0.33</v>
      </c>
      <c r="O115">
        <f>VLOOKUP(Demand_Data___Hourly_OverviewSearch_1_csv[[#This Row],[Date]],Supply_Data___Hourly_DriverActivity_1_csv__3[#All],8,FALSE)</f>
        <v>2</v>
      </c>
      <c r="P115">
        <f>(Demand_Data___Hourly_OverviewSearch_1_csv[[#This Row],[People saw 0 cars (unique)]]+Demand_Data___Hourly_OverviewSearch_1_csv[[#This Row],[People saw +1 cars (unique)]])</f>
        <v>4</v>
      </c>
      <c r="Q115" s="143">
        <f t="shared" si="7"/>
        <v>6</v>
      </c>
    </row>
    <row r="116" spans="1:17" x14ac:dyDescent="0.3">
      <c r="A116" t="s">
        <v>122</v>
      </c>
      <c r="B116" t="str">
        <f t="shared" si="4"/>
        <v xml:space="preserve"> 05</v>
      </c>
      <c r="C116">
        <f t="shared" si="5"/>
        <v>3</v>
      </c>
      <c r="D116" t="str">
        <f t="shared" si="6"/>
        <v xml:space="preserve">2016-12-14 </v>
      </c>
      <c r="E116" t="str">
        <f>TEXT(Demand_Data___Hourly_OverviewSearch_1_csv[[#This Row],[Day]],"dddd")</f>
        <v>Tuesday</v>
      </c>
      <c r="F116">
        <v>2</v>
      </c>
      <c r="G116">
        <v>3</v>
      </c>
      <c r="H116">
        <v>60</v>
      </c>
      <c r="I116">
        <f>VLOOKUP(Demand_Data___Hourly_OverviewSearch_1_csv[[#This Row],[Date]],Supply_Data___Hourly_DriverActivity_1_csv__3[#All],2,FALSE)</f>
        <v>17</v>
      </c>
      <c r="J116">
        <f>VLOOKUP(Demand_Data___Hourly_OverviewSearch_1_csv[[#This Row],[Date]],Supply_Data___Hourly_DriverActivity_1_csv__3[#All],3,FALSE)</f>
        <v>6</v>
      </c>
      <c r="K116">
        <f>VLOOKUP(Demand_Data___Hourly_OverviewSearch_1_csv[[#This Row],[Date]],Supply_Data___Hourly_DriverActivity_1_csv__3[#All],4,FALSE)</f>
        <v>0</v>
      </c>
      <c r="L116">
        <f>VLOOKUP(Demand_Data___Hourly_OverviewSearch_1_csv[[#This Row],[Date]],Supply_Data___Hourly_DriverActivity_1_csv__3[#All],5,FALSE)</f>
        <v>6</v>
      </c>
      <c r="M116">
        <f>VLOOKUP(Demand_Data___Hourly_OverviewSearch_1_csv[[#This Row],[Date]],Supply_Data___Hourly_DriverActivity_1_csv__3[#All],6,FALSE)</f>
        <v>0.4</v>
      </c>
      <c r="N116">
        <f>VLOOKUP(Demand_Data___Hourly_OverviewSearch_1_csv[[#This Row],[Date]],Supply_Data___Hourly_DriverActivity_1_csv__3[#All],7,FALSE)</f>
        <v>0</v>
      </c>
      <c r="O116">
        <f>VLOOKUP(Demand_Data___Hourly_OverviewSearch_1_csv[[#This Row],[Date]],Supply_Data___Hourly_DriverActivity_1_csv__3[#All],8,FALSE)</f>
        <v>0</v>
      </c>
      <c r="P116">
        <f>(Demand_Data___Hourly_OverviewSearch_1_csv[[#This Row],[People saw 0 cars (unique)]]+Demand_Data___Hourly_OverviewSearch_1_csv[[#This Row],[People saw +1 cars (unique)]])</f>
        <v>5</v>
      </c>
      <c r="Q116" s="143">
        <f t="shared" si="7"/>
        <v>6</v>
      </c>
    </row>
    <row r="117" spans="1:17" x14ac:dyDescent="0.3">
      <c r="A117" t="s">
        <v>123</v>
      </c>
      <c r="B117" t="str">
        <f t="shared" si="4"/>
        <v xml:space="preserve"> 04</v>
      </c>
      <c r="C117">
        <f t="shared" si="5"/>
        <v>3</v>
      </c>
      <c r="D117" t="str">
        <f t="shared" si="6"/>
        <v xml:space="preserve">2016-12-14 </v>
      </c>
      <c r="E117" t="str">
        <f>TEXT(Demand_Data___Hourly_OverviewSearch_1_csv[[#This Row],[Day]],"dddd")</f>
        <v>Tuesday</v>
      </c>
      <c r="F117">
        <v>3</v>
      </c>
      <c r="G117">
        <v>3</v>
      </c>
      <c r="H117">
        <v>50</v>
      </c>
      <c r="I117">
        <f>VLOOKUP(Demand_Data___Hourly_OverviewSearch_1_csv[[#This Row],[Date]],Supply_Data___Hourly_DriverActivity_1_csv__3[#All],2,FALSE)</f>
        <v>14</v>
      </c>
      <c r="J117">
        <f>VLOOKUP(Demand_Data___Hourly_OverviewSearch_1_csv[[#This Row],[Date]],Supply_Data___Hourly_DriverActivity_1_csv__3[#All],3,FALSE)</f>
        <v>5</v>
      </c>
      <c r="K117">
        <f>VLOOKUP(Demand_Data___Hourly_OverviewSearch_1_csv[[#This Row],[Date]],Supply_Data___Hourly_DriverActivity_1_csv__3[#All],4,FALSE)</f>
        <v>1</v>
      </c>
      <c r="L117">
        <f>VLOOKUP(Demand_Data___Hourly_OverviewSearch_1_csv[[#This Row],[Date]],Supply_Data___Hourly_DriverActivity_1_csv__3[#All],5,FALSE)</f>
        <v>4</v>
      </c>
      <c r="M117">
        <f>VLOOKUP(Demand_Data___Hourly_OverviewSearch_1_csv[[#This Row],[Date]],Supply_Data___Hourly_DriverActivity_1_csv__3[#All],6,FALSE)</f>
        <v>0.4</v>
      </c>
      <c r="N117">
        <f>VLOOKUP(Demand_Data___Hourly_OverviewSearch_1_csv[[#This Row],[Date]],Supply_Data___Hourly_DriverActivity_1_csv__3[#All],7,FALSE)</f>
        <v>0</v>
      </c>
      <c r="O117">
        <f>VLOOKUP(Demand_Data___Hourly_OverviewSearch_1_csv[[#This Row],[Date]],Supply_Data___Hourly_DriverActivity_1_csv__3[#All],8,FALSE)</f>
        <v>0</v>
      </c>
      <c r="P117">
        <f>(Demand_Data___Hourly_OverviewSearch_1_csv[[#This Row],[People saw 0 cars (unique)]]+Demand_Data___Hourly_OverviewSearch_1_csv[[#This Row],[People saw +1 cars (unique)]])</f>
        <v>6</v>
      </c>
      <c r="Q117" s="143">
        <f t="shared" si="7"/>
        <v>4</v>
      </c>
    </row>
    <row r="118" spans="1:17" x14ac:dyDescent="0.3">
      <c r="A118" t="s">
        <v>124</v>
      </c>
      <c r="B118" t="str">
        <f t="shared" si="4"/>
        <v xml:space="preserve"> 03</v>
      </c>
      <c r="C118">
        <f t="shared" si="5"/>
        <v>3</v>
      </c>
      <c r="D118" t="str">
        <f t="shared" si="6"/>
        <v xml:space="preserve">2016-12-14 </v>
      </c>
      <c r="E118" t="str">
        <f>TEXT(Demand_Data___Hourly_OverviewSearch_1_csv[[#This Row],[Day]],"dddd")</f>
        <v>Tuesday</v>
      </c>
      <c r="F118">
        <v>12</v>
      </c>
      <c r="G118">
        <v>3</v>
      </c>
      <c r="H118">
        <v>20</v>
      </c>
      <c r="I118">
        <f>VLOOKUP(Demand_Data___Hourly_OverviewSearch_1_csv[[#This Row],[Date]],Supply_Data___Hourly_DriverActivity_1_csv__3[#All],2,FALSE)</f>
        <v>12</v>
      </c>
      <c r="J118">
        <f>VLOOKUP(Demand_Data___Hourly_OverviewSearch_1_csv[[#This Row],[Date]],Supply_Data___Hourly_DriverActivity_1_csv__3[#All],3,FALSE)</f>
        <v>2</v>
      </c>
      <c r="K118">
        <f>VLOOKUP(Demand_Data___Hourly_OverviewSearch_1_csv[[#This Row],[Date]],Supply_Data___Hourly_DriverActivity_1_csv__3[#All],4,FALSE)</f>
        <v>0</v>
      </c>
      <c r="L118">
        <f>VLOOKUP(Demand_Data___Hourly_OverviewSearch_1_csv[[#This Row],[Date]],Supply_Data___Hourly_DriverActivity_1_csv__3[#All],5,FALSE)</f>
        <v>2</v>
      </c>
      <c r="M118">
        <f>VLOOKUP(Demand_Data___Hourly_OverviewSearch_1_csv[[#This Row],[Date]],Supply_Data___Hourly_DriverActivity_1_csv__3[#All],6,FALSE)</f>
        <v>0.2</v>
      </c>
      <c r="N118">
        <f>VLOOKUP(Demand_Data___Hourly_OverviewSearch_1_csv[[#This Row],[Date]],Supply_Data___Hourly_DriverActivity_1_csv__3[#All],7,FALSE)</f>
        <v>0.5</v>
      </c>
      <c r="O118">
        <f>VLOOKUP(Demand_Data___Hourly_OverviewSearch_1_csv[[#This Row],[Date]],Supply_Data___Hourly_DriverActivity_1_csv__3[#All],8,FALSE)</f>
        <v>1</v>
      </c>
      <c r="P118">
        <f>(Demand_Data___Hourly_OverviewSearch_1_csv[[#This Row],[People saw 0 cars (unique)]]+Demand_Data___Hourly_OverviewSearch_1_csv[[#This Row],[People saw +1 cars (unique)]])</f>
        <v>15</v>
      </c>
      <c r="Q118" s="143">
        <f t="shared" si="7"/>
        <v>2</v>
      </c>
    </row>
    <row r="119" spans="1:17" x14ac:dyDescent="0.3">
      <c r="A119" t="s">
        <v>125</v>
      </c>
      <c r="B119" t="str">
        <f t="shared" si="4"/>
        <v xml:space="preserve"> 02</v>
      </c>
      <c r="C119">
        <f t="shared" si="5"/>
        <v>3</v>
      </c>
      <c r="D119" t="str">
        <f t="shared" si="6"/>
        <v xml:space="preserve">2016-12-14 </v>
      </c>
      <c r="E119" t="str">
        <f>TEXT(Demand_Data___Hourly_OverviewSearch_1_csv[[#This Row],[Day]],"dddd")</f>
        <v>Tuesday</v>
      </c>
      <c r="F119">
        <v>10</v>
      </c>
      <c r="G119">
        <v>11</v>
      </c>
      <c r="H119">
        <v>52</v>
      </c>
      <c r="I119">
        <f>VLOOKUP(Demand_Data___Hourly_OverviewSearch_1_csv[[#This Row],[Date]],Supply_Data___Hourly_DriverActivity_1_csv__3[#All],2,FALSE)</f>
        <v>24</v>
      </c>
      <c r="J119">
        <f>VLOOKUP(Demand_Data___Hourly_OverviewSearch_1_csv[[#This Row],[Date]],Supply_Data___Hourly_DriverActivity_1_csv__3[#All],3,FALSE)</f>
        <v>4</v>
      </c>
      <c r="K119">
        <f>VLOOKUP(Demand_Data___Hourly_OverviewSearch_1_csv[[#This Row],[Date]],Supply_Data___Hourly_DriverActivity_1_csv__3[#All],4,FALSE)</f>
        <v>2</v>
      </c>
      <c r="L119">
        <f>VLOOKUP(Demand_Data___Hourly_OverviewSearch_1_csv[[#This Row],[Date]],Supply_Data___Hourly_DriverActivity_1_csv__3[#All],5,FALSE)</f>
        <v>2</v>
      </c>
      <c r="M119">
        <f>VLOOKUP(Demand_Data___Hourly_OverviewSearch_1_csv[[#This Row],[Date]],Supply_Data___Hourly_DriverActivity_1_csv__3[#All],6,FALSE)</f>
        <v>0.2</v>
      </c>
      <c r="N119">
        <f>VLOOKUP(Demand_Data___Hourly_OverviewSearch_1_csv[[#This Row],[Date]],Supply_Data___Hourly_DriverActivity_1_csv__3[#All],7,FALSE)</f>
        <v>1</v>
      </c>
      <c r="O119">
        <f>VLOOKUP(Demand_Data___Hourly_OverviewSearch_1_csv[[#This Row],[Date]],Supply_Data___Hourly_DriverActivity_1_csv__3[#All],8,FALSE)</f>
        <v>4</v>
      </c>
      <c r="P119">
        <f>(Demand_Data___Hourly_OverviewSearch_1_csv[[#This Row],[People saw 0 cars (unique)]]+Demand_Data___Hourly_OverviewSearch_1_csv[[#This Row],[People saw +1 cars (unique)]])</f>
        <v>21</v>
      </c>
      <c r="Q119" s="143">
        <f t="shared" si="7"/>
        <v>2</v>
      </c>
    </row>
    <row r="120" spans="1:17" x14ac:dyDescent="0.3">
      <c r="A120" t="s">
        <v>126</v>
      </c>
      <c r="B120" t="str">
        <f t="shared" si="4"/>
        <v xml:space="preserve"> 01</v>
      </c>
      <c r="C120">
        <f t="shared" si="5"/>
        <v>3</v>
      </c>
      <c r="D120" t="str">
        <f t="shared" si="6"/>
        <v xml:space="preserve">2016-12-14 </v>
      </c>
      <c r="E120" t="str">
        <f>TEXT(Demand_Data___Hourly_OverviewSearch_1_csv[[#This Row],[Day]],"dddd")</f>
        <v>Tuesday</v>
      </c>
      <c r="F120">
        <v>13</v>
      </c>
      <c r="G120">
        <v>16</v>
      </c>
      <c r="H120">
        <v>55</v>
      </c>
      <c r="I120">
        <f>VLOOKUP(Demand_Data___Hourly_OverviewSearch_1_csv[[#This Row],[Date]],Supply_Data___Hourly_DriverActivity_1_csv__3[#All],2,FALSE)</f>
        <v>35</v>
      </c>
      <c r="J120">
        <f>VLOOKUP(Demand_Data___Hourly_OverviewSearch_1_csv[[#This Row],[Date]],Supply_Data___Hourly_DriverActivity_1_csv__3[#All],3,FALSE)</f>
        <v>11</v>
      </c>
      <c r="K120">
        <f>VLOOKUP(Demand_Data___Hourly_OverviewSearch_1_csv[[#This Row],[Date]],Supply_Data___Hourly_DriverActivity_1_csv__3[#All],4,FALSE)</f>
        <v>3</v>
      </c>
      <c r="L120">
        <f>VLOOKUP(Demand_Data___Hourly_OverviewSearch_1_csv[[#This Row],[Date]],Supply_Data___Hourly_DriverActivity_1_csv__3[#All],5,FALSE)</f>
        <v>9</v>
      </c>
      <c r="M120">
        <f>VLOOKUP(Demand_Data___Hourly_OverviewSearch_1_csv[[#This Row],[Date]],Supply_Data___Hourly_DriverActivity_1_csv__3[#All],6,FALSE)</f>
        <v>0.3</v>
      </c>
      <c r="N120">
        <f>VLOOKUP(Demand_Data___Hourly_OverviewSearch_1_csv[[#This Row],[Date]],Supply_Data___Hourly_DriverActivity_1_csv__3[#All],7,FALSE)</f>
        <v>0.73</v>
      </c>
      <c r="O120">
        <f>VLOOKUP(Demand_Data___Hourly_OverviewSearch_1_csv[[#This Row],[Date]],Supply_Data___Hourly_DriverActivity_1_csv__3[#All],8,FALSE)</f>
        <v>8</v>
      </c>
      <c r="P120">
        <f>(Demand_Data___Hourly_OverviewSearch_1_csv[[#This Row],[People saw 0 cars (unique)]]+Demand_Data___Hourly_OverviewSearch_1_csv[[#This Row],[People saw +1 cars (unique)]])</f>
        <v>29</v>
      </c>
      <c r="Q120" s="143">
        <f t="shared" si="7"/>
        <v>8</v>
      </c>
    </row>
    <row r="121" spans="1:17" x14ac:dyDescent="0.3">
      <c r="A121" t="s">
        <v>127</v>
      </c>
      <c r="B121" t="str">
        <f t="shared" si="4"/>
        <v xml:space="preserve"> 00</v>
      </c>
      <c r="C121">
        <f t="shared" si="5"/>
        <v>3</v>
      </c>
      <c r="D121" t="str">
        <f t="shared" si="6"/>
        <v xml:space="preserve">2016-12-14 </v>
      </c>
      <c r="E121" t="str">
        <f>TEXT(Demand_Data___Hourly_OverviewSearch_1_csv[[#This Row],[Day]],"dddd")</f>
        <v>Tuesday</v>
      </c>
      <c r="F121">
        <v>7</v>
      </c>
      <c r="G121">
        <v>28</v>
      </c>
      <c r="H121">
        <v>80</v>
      </c>
      <c r="I121">
        <f>VLOOKUP(Demand_Data___Hourly_OverviewSearch_1_csv[[#This Row],[Date]],Supply_Data___Hourly_DriverActivity_1_csv__3[#All],2,FALSE)</f>
        <v>45</v>
      </c>
      <c r="J121">
        <f>VLOOKUP(Demand_Data___Hourly_OverviewSearch_1_csv[[#This Row],[Date]],Supply_Data___Hourly_DriverActivity_1_csv__3[#All],3,FALSE)</f>
        <v>18</v>
      </c>
      <c r="K121">
        <f>VLOOKUP(Demand_Data___Hourly_OverviewSearch_1_csv[[#This Row],[Date]],Supply_Data___Hourly_DriverActivity_1_csv__3[#All],4,FALSE)</f>
        <v>6</v>
      </c>
      <c r="L121">
        <f>VLOOKUP(Demand_Data___Hourly_OverviewSearch_1_csv[[#This Row],[Date]],Supply_Data___Hourly_DriverActivity_1_csv__3[#All],5,FALSE)</f>
        <v>12</v>
      </c>
      <c r="M121">
        <f>VLOOKUP(Demand_Data___Hourly_OverviewSearch_1_csv[[#This Row],[Date]],Supply_Data___Hourly_DriverActivity_1_csv__3[#All],6,FALSE)</f>
        <v>0.4</v>
      </c>
      <c r="N121">
        <f>VLOOKUP(Demand_Data___Hourly_OverviewSearch_1_csv[[#This Row],[Date]],Supply_Data___Hourly_DriverActivity_1_csv__3[#All],7,FALSE)</f>
        <v>0.56000000000000005</v>
      </c>
      <c r="O121">
        <f>VLOOKUP(Demand_Data___Hourly_OverviewSearch_1_csv[[#This Row],[Date]],Supply_Data___Hourly_DriverActivity_1_csv__3[#All],8,FALSE)</f>
        <v>10</v>
      </c>
      <c r="P121">
        <f>(Demand_Data___Hourly_OverviewSearch_1_csv[[#This Row],[People saw 0 cars (unique)]]+Demand_Data___Hourly_OverviewSearch_1_csv[[#This Row],[People saw +1 cars (unique)]])</f>
        <v>35</v>
      </c>
      <c r="Q121" s="143">
        <f t="shared" si="7"/>
        <v>12</v>
      </c>
    </row>
    <row r="122" spans="1:17" x14ac:dyDescent="0.3">
      <c r="A122" t="s">
        <v>128</v>
      </c>
      <c r="B122" t="str">
        <f t="shared" si="4"/>
        <v xml:space="preserve"> 23</v>
      </c>
      <c r="C122">
        <f t="shared" si="5"/>
        <v>2</v>
      </c>
      <c r="D122" t="str">
        <f t="shared" si="6"/>
        <v xml:space="preserve">2016-12-13 </v>
      </c>
      <c r="E122" t="str">
        <f>TEXT(Demand_Data___Hourly_OverviewSearch_1_csv[[#This Row],[Day]],"dddd")</f>
        <v>Monday</v>
      </c>
      <c r="F122">
        <v>11</v>
      </c>
      <c r="G122">
        <v>52</v>
      </c>
      <c r="H122">
        <v>83</v>
      </c>
      <c r="I122">
        <f>VLOOKUP(Demand_Data___Hourly_OverviewSearch_1_csv[[#This Row],[Date]],Supply_Data___Hourly_DriverActivity_1_csv__3[#All],2,FALSE)</f>
        <v>60</v>
      </c>
      <c r="J122">
        <f>VLOOKUP(Demand_Data___Hourly_OverviewSearch_1_csv[[#This Row],[Date]],Supply_Data___Hourly_DriverActivity_1_csv__3[#All],3,FALSE)</f>
        <v>20</v>
      </c>
      <c r="K122">
        <f>VLOOKUP(Demand_Data___Hourly_OverviewSearch_1_csv[[#This Row],[Date]],Supply_Data___Hourly_DriverActivity_1_csv__3[#All],4,FALSE)</f>
        <v>6</v>
      </c>
      <c r="L122">
        <f>VLOOKUP(Demand_Data___Hourly_OverviewSearch_1_csv[[#This Row],[Date]],Supply_Data___Hourly_DriverActivity_1_csv__3[#All],5,FALSE)</f>
        <v>14</v>
      </c>
      <c r="M122">
        <f>VLOOKUP(Demand_Data___Hourly_OverviewSearch_1_csv[[#This Row],[Date]],Supply_Data___Hourly_DriverActivity_1_csv__3[#All],6,FALSE)</f>
        <v>0.3</v>
      </c>
      <c r="N122">
        <f>VLOOKUP(Demand_Data___Hourly_OverviewSearch_1_csv[[#This Row],[Date]],Supply_Data___Hourly_DriverActivity_1_csv__3[#All],7,FALSE)</f>
        <v>0.95</v>
      </c>
      <c r="O122">
        <f>VLOOKUP(Demand_Data___Hourly_OverviewSearch_1_csv[[#This Row],[Date]],Supply_Data___Hourly_DriverActivity_1_csv__3[#All],8,FALSE)</f>
        <v>19</v>
      </c>
      <c r="P122">
        <f>(Demand_Data___Hourly_OverviewSearch_1_csv[[#This Row],[People saw 0 cars (unique)]]+Demand_Data___Hourly_OverviewSearch_1_csv[[#This Row],[People saw +1 cars (unique)]])</f>
        <v>63</v>
      </c>
      <c r="Q122" s="143">
        <f t="shared" si="7"/>
        <v>14</v>
      </c>
    </row>
    <row r="123" spans="1:17" x14ac:dyDescent="0.3">
      <c r="A123" t="s">
        <v>129</v>
      </c>
      <c r="B123" t="str">
        <f t="shared" si="4"/>
        <v xml:space="preserve"> 22</v>
      </c>
      <c r="C123">
        <f t="shared" si="5"/>
        <v>2</v>
      </c>
      <c r="D123" t="str">
        <f t="shared" si="6"/>
        <v xml:space="preserve">2016-12-13 </v>
      </c>
      <c r="E123" t="str">
        <f>TEXT(Demand_Data___Hourly_OverviewSearch_1_csv[[#This Row],[Day]],"dddd")</f>
        <v>Monday</v>
      </c>
      <c r="F123">
        <v>13</v>
      </c>
      <c r="G123">
        <v>63</v>
      </c>
      <c r="H123">
        <v>83</v>
      </c>
      <c r="I123">
        <f>VLOOKUP(Demand_Data___Hourly_OverviewSearch_1_csv[[#This Row],[Date]],Supply_Data___Hourly_DriverActivity_1_csv__3[#All],2,FALSE)</f>
        <v>83</v>
      </c>
      <c r="J123">
        <f>VLOOKUP(Demand_Data___Hourly_OverviewSearch_1_csv[[#This Row],[Date]],Supply_Data___Hourly_DriverActivity_1_csv__3[#All],3,FALSE)</f>
        <v>32</v>
      </c>
      <c r="K123">
        <f>VLOOKUP(Demand_Data___Hourly_OverviewSearch_1_csv[[#This Row],[Date]],Supply_Data___Hourly_DriverActivity_1_csv__3[#All],4,FALSE)</f>
        <v>12</v>
      </c>
      <c r="L123">
        <f>VLOOKUP(Demand_Data___Hourly_OverviewSearch_1_csv[[#This Row],[Date]],Supply_Data___Hourly_DriverActivity_1_csv__3[#All],5,FALSE)</f>
        <v>20</v>
      </c>
      <c r="M123">
        <f>VLOOKUP(Demand_Data___Hourly_OverviewSearch_1_csv[[#This Row],[Date]],Supply_Data___Hourly_DriverActivity_1_csv__3[#All],6,FALSE)</f>
        <v>0.4</v>
      </c>
      <c r="N123">
        <f>VLOOKUP(Demand_Data___Hourly_OverviewSearch_1_csv[[#This Row],[Date]],Supply_Data___Hourly_DriverActivity_1_csv__3[#All],7,FALSE)</f>
        <v>0.75</v>
      </c>
      <c r="O123">
        <f>VLOOKUP(Demand_Data___Hourly_OverviewSearch_1_csv[[#This Row],[Date]],Supply_Data___Hourly_DriverActivity_1_csv__3[#All],8,FALSE)</f>
        <v>24</v>
      </c>
      <c r="P123">
        <f>(Demand_Data___Hourly_OverviewSearch_1_csv[[#This Row],[People saw 0 cars (unique)]]+Demand_Data___Hourly_OverviewSearch_1_csv[[#This Row],[People saw +1 cars (unique)]])</f>
        <v>76</v>
      </c>
      <c r="Q123" s="143">
        <f t="shared" si="7"/>
        <v>20</v>
      </c>
    </row>
    <row r="124" spans="1:17" x14ac:dyDescent="0.3">
      <c r="A124" t="s">
        <v>130</v>
      </c>
      <c r="B124" t="str">
        <f t="shared" si="4"/>
        <v xml:space="preserve"> 21</v>
      </c>
      <c r="C124">
        <f t="shared" si="5"/>
        <v>2</v>
      </c>
      <c r="D124" t="str">
        <f t="shared" si="6"/>
        <v xml:space="preserve">2016-12-13 </v>
      </c>
      <c r="E124" t="str">
        <f>TEXT(Demand_Data___Hourly_OverviewSearch_1_csv[[#This Row],[Day]],"dddd")</f>
        <v>Monday</v>
      </c>
      <c r="F124">
        <v>9</v>
      </c>
      <c r="G124">
        <v>83</v>
      </c>
      <c r="H124">
        <v>90</v>
      </c>
      <c r="I124">
        <f>VLOOKUP(Demand_Data___Hourly_OverviewSearch_1_csv[[#This Row],[Date]],Supply_Data___Hourly_DriverActivity_1_csv__3[#All],2,FALSE)</f>
        <v>99</v>
      </c>
      <c r="J124">
        <f>VLOOKUP(Demand_Data___Hourly_OverviewSearch_1_csv[[#This Row],[Date]],Supply_Data___Hourly_DriverActivity_1_csv__3[#All],3,FALSE)</f>
        <v>33</v>
      </c>
      <c r="K124">
        <f>VLOOKUP(Demand_Data___Hourly_OverviewSearch_1_csv[[#This Row],[Date]],Supply_Data___Hourly_DriverActivity_1_csv__3[#All],4,FALSE)</f>
        <v>14</v>
      </c>
      <c r="L124">
        <f>VLOOKUP(Demand_Data___Hourly_OverviewSearch_1_csv[[#This Row],[Date]],Supply_Data___Hourly_DriverActivity_1_csv__3[#All],5,FALSE)</f>
        <v>18</v>
      </c>
      <c r="M124">
        <f>VLOOKUP(Demand_Data___Hourly_OverviewSearch_1_csv[[#This Row],[Date]],Supply_Data___Hourly_DriverActivity_1_csv__3[#All],6,FALSE)</f>
        <v>0.3</v>
      </c>
      <c r="N124">
        <f>VLOOKUP(Demand_Data___Hourly_OverviewSearch_1_csv[[#This Row],[Date]],Supply_Data___Hourly_DriverActivity_1_csv__3[#All],7,FALSE)</f>
        <v>1.3</v>
      </c>
      <c r="O124">
        <f>VLOOKUP(Demand_Data___Hourly_OverviewSearch_1_csv[[#This Row],[Date]],Supply_Data___Hourly_DriverActivity_1_csv__3[#All],8,FALSE)</f>
        <v>43</v>
      </c>
      <c r="P124">
        <f>(Demand_Data___Hourly_OverviewSearch_1_csv[[#This Row],[People saw 0 cars (unique)]]+Demand_Data___Hourly_OverviewSearch_1_csv[[#This Row],[People saw +1 cars (unique)]])</f>
        <v>92</v>
      </c>
      <c r="Q124" s="143">
        <f t="shared" si="7"/>
        <v>19</v>
      </c>
    </row>
    <row r="125" spans="1:17" x14ac:dyDescent="0.3">
      <c r="A125" t="s">
        <v>131</v>
      </c>
      <c r="B125" t="str">
        <f t="shared" si="4"/>
        <v xml:space="preserve"> 20</v>
      </c>
      <c r="C125">
        <f t="shared" si="5"/>
        <v>2</v>
      </c>
      <c r="D125" t="str">
        <f t="shared" si="6"/>
        <v xml:space="preserve">2016-12-13 </v>
      </c>
      <c r="E125" t="str">
        <f>TEXT(Demand_Data___Hourly_OverviewSearch_1_csv[[#This Row],[Day]],"dddd")</f>
        <v>Monday</v>
      </c>
      <c r="F125">
        <v>3</v>
      </c>
      <c r="G125">
        <v>62</v>
      </c>
      <c r="H125">
        <v>95</v>
      </c>
      <c r="I125">
        <f>VLOOKUP(Demand_Data___Hourly_OverviewSearch_1_csv[[#This Row],[Date]],Supply_Data___Hourly_DriverActivity_1_csv__3[#All],2,FALSE)</f>
        <v>106</v>
      </c>
      <c r="J125">
        <f>VLOOKUP(Demand_Data___Hourly_OverviewSearch_1_csv[[#This Row],[Date]],Supply_Data___Hourly_DriverActivity_1_csv__3[#All],3,FALSE)</f>
        <v>40</v>
      </c>
      <c r="K125">
        <f>VLOOKUP(Demand_Data___Hourly_OverviewSearch_1_csv[[#This Row],[Date]],Supply_Data___Hourly_DriverActivity_1_csv__3[#All],4,FALSE)</f>
        <v>14</v>
      </c>
      <c r="L125">
        <f>VLOOKUP(Demand_Data___Hourly_OverviewSearch_1_csv[[#This Row],[Date]],Supply_Data___Hourly_DriverActivity_1_csv__3[#All],5,FALSE)</f>
        <v>26</v>
      </c>
      <c r="M125">
        <f>VLOOKUP(Demand_Data___Hourly_OverviewSearch_1_csv[[#This Row],[Date]],Supply_Data___Hourly_DriverActivity_1_csv__3[#All],6,FALSE)</f>
        <v>0.4</v>
      </c>
      <c r="N125">
        <f>VLOOKUP(Demand_Data___Hourly_OverviewSearch_1_csv[[#This Row],[Date]],Supply_Data___Hourly_DriverActivity_1_csv__3[#All],7,FALSE)</f>
        <v>0.7</v>
      </c>
      <c r="O125">
        <f>VLOOKUP(Demand_Data___Hourly_OverviewSearch_1_csv[[#This Row],[Date]],Supply_Data___Hourly_DriverActivity_1_csv__3[#All],8,FALSE)</f>
        <v>28</v>
      </c>
      <c r="P125">
        <f>(Demand_Data___Hourly_OverviewSearch_1_csv[[#This Row],[People saw 0 cars (unique)]]+Demand_Data___Hourly_OverviewSearch_1_csv[[#This Row],[People saw +1 cars (unique)]])</f>
        <v>65</v>
      </c>
      <c r="Q125" s="143">
        <f t="shared" si="7"/>
        <v>26</v>
      </c>
    </row>
    <row r="126" spans="1:17" x14ac:dyDescent="0.3">
      <c r="A126" t="s">
        <v>132</v>
      </c>
      <c r="B126" t="str">
        <f t="shared" si="4"/>
        <v xml:space="preserve"> 19</v>
      </c>
      <c r="C126">
        <f t="shared" si="5"/>
        <v>2</v>
      </c>
      <c r="D126" t="str">
        <f t="shared" si="6"/>
        <v xml:space="preserve">2016-12-13 </v>
      </c>
      <c r="E126" t="str">
        <f>TEXT(Demand_Data___Hourly_OverviewSearch_1_csv[[#This Row],[Day]],"dddd")</f>
        <v>Monday</v>
      </c>
      <c r="F126">
        <v>30</v>
      </c>
      <c r="G126">
        <v>83</v>
      </c>
      <c r="H126">
        <v>73</v>
      </c>
      <c r="I126">
        <f>VLOOKUP(Demand_Data___Hourly_OverviewSearch_1_csv[[#This Row],[Date]],Supply_Data___Hourly_DriverActivity_1_csv__3[#All],2,FALSE)</f>
        <v>98</v>
      </c>
      <c r="J126">
        <f>VLOOKUP(Demand_Data___Hourly_OverviewSearch_1_csv[[#This Row],[Date]],Supply_Data___Hourly_DriverActivity_1_csv__3[#All],3,FALSE)</f>
        <v>36</v>
      </c>
      <c r="K126">
        <f>VLOOKUP(Demand_Data___Hourly_OverviewSearch_1_csv[[#This Row],[Date]],Supply_Data___Hourly_DriverActivity_1_csv__3[#All],4,FALSE)</f>
        <v>21</v>
      </c>
      <c r="L126">
        <f>VLOOKUP(Demand_Data___Hourly_OverviewSearch_1_csv[[#This Row],[Date]],Supply_Data___Hourly_DriverActivity_1_csv__3[#All],5,FALSE)</f>
        <v>16</v>
      </c>
      <c r="M126">
        <f>VLOOKUP(Demand_Data___Hourly_OverviewSearch_1_csv[[#This Row],[Date]],Supply_Data___Hourly_DriverActivity_1_csv__3[#All],6,FALSE)</f>
        <v>0.4</v>
      </c>
      <c r="N126">
        <f>VLOOKUP(Demand_Data___Hourly_OverviewSearch_1_csv[[#This Row],[Date]],Supply_Data___Hourly_DriverActivity_1_csv__3[#All],7,FALSE)</f>
        <v>1.17</v>
      </c>
      <c r="O126">
        <f>VLOOKUP(Demand_Data___Hourly_OverviewSearch_1_csv[[#This Row],[Date]],Supply_Data___Hourly_DriverActivity_1_csv__3[#All],8,FALSE)</f>
        <v>42</v>
      </c>
      <c r="P126">
        <f>(Demand_Data___Hourly_OverviewSearch_1_csv[[#This Row],[People saw 0 cars (unique)]]+Demand_Data___Hourly_OverviewSearch_1_csv[[#This Row],[People saw +1 cars (unique)]])</f>
        <v>113</v>
      </c>
      <c r="Q126" s="143">
        <f t="shared" si="7"/>
        <v>15</v>
      </c>
    </row>
    <row r="127" spans="1:17" x14ac:dyDescent="0.3">
      <c r="A127" t="s">
        <v>133</v>
      </c>
      <c r="B127" t="str">
        <f t="shared" si="4"/>
        <v xml:space="preserve"> 18</v>
      </c>
      <c r="C127">
        <f t="shared" si="5"/>
        <v>2</v>
      </c>
      <c r="D127" t="str">
        <f t="shared" si="6"/>
        <v xml:space="preserve">2016-12-13 </v>
      </c>
      <c r="E127" t="str">
        <f>TEXT(Demand_Data___Hourly_OverviewSearch_1_csv[[#This Row],[Day]],"dddd")</f>
        <v>Monday</v>
      </c>
      <c r="F127">
        <v>58</v>
      </c>
      <c r="G127">
        <v>76</v>
      </c>
      <c r="H127">
        <v>57</v>
      </c>
      <c r="I127">
        <f>VLOOKUP(Demand_Data___Hourly_OverviewSearch_1_csv[[#This Row],[Date]],Supply_Data___Hourly_DriverActivity_1_csv__3[#All],2,FALSE)</f>
        <v>75</v>
      </c>
      <c r="J127">
        <f>VLOOKUP(Demand_Data___Hourly_OverviewSearch_1_csv[[#This Row],[Date]],Supply_Data___Hourly_DriverActivity_1_csv__3[#All],3,FALSE)</f>
        <v>25</v>
      </c>
      <c r="K127">
        <f>VLOOKUP(Demand_Data___Hourly_OverviewSearch_1_csv[[#This Row],[Date]],Supply_Data___Hourly_DriverActivity_1_csv__3[#All],4,FALSE)</f>
        <v>18</v>
      </c>
      <c r="L127">
        <f>VLOOKUP(Demand_Data___Hourly_OverviewSearch_1_csv[[#This Row],[Date]],Supply_Data___Hourly_DriverActivity_1_csv__3[#All],5,FALSE)</f>
        <v>7</v>
      </c>
      <c r="M127">
        <f>VLOOKUP(Demand_Data___Hourly_OverviewSearch_1_csv[[#This Row],[Date]],Supply_Data___Hourly_DriverActivity_1_csv__3[#All],6,FALSE)</f>
        <v>0.3</v>
      </c>
      <c r="N127">
        <f>VLOOKUP(Demand_Data___Hourly_OverviewSearch_1_csv[[#This Row],[Date]],Supply_Data___Hourly_DriverActivity_1_csv__3[#All],7,FALSE)</f>
        <v>1.2</v>
      </c>
      <c r="O127">
        <f>VLOOKUP(Demand_Data___Hourly_OverviewSearch_1_csv[[#This Row],[Date]],Supply_Data___Hourly_DriverActivity_1_csv__3[#All],8,FALSE)</f>
        <v>30</v>
      </c>
      <c r="P127">
        <f>(Demand_Data___Hourly_OverviewSearch_1_csv[[#This Row],[People saw 0 cars (unique)]]+Demand_Data___Hourly_OverviewSearch_1_csv[[#This Row],[People saw +1 cars (unique)]])</f>
        <v>134</v>
      </c>
      <c r="Q127" s="143">
        <f t="shared" si="7"/>
        <v>7</v>
      </c>
    </row>
    <row r="128" spans="1:17" x14ac:dyDescent="0.3">
      <c r="A128" t="s">
        <v>134</v>
      </c>
      <c r="B128" t="str">
        <f t="shared" si="4"/>
        <v xml:space="preserve"> 17</v>
      </c>
      <c r="C128">
        <f t="shared" si="5"/>
        <v>2</v>
      </c>
      <c r="D128" t="str">
        <f t="shared" si="6"/>
        <v xml:space="preserve">2016-12-13 </v>
      </c>
      <c r="E128" t="str">
        <f>TEXT(Demand_Data___Hourly_OverviewSearch_1_csv[[#This Row],[Day]],"dddd")</f>
        <v>Monday</v>
      </c>
      <c r="F128">
        <v>30</v>
      </c>
      <c r="G128">
        <v>52</v>
      </c>
      <c r="H128">
        <v>63</v>
      </c>
      <c r="I128">
        <f>VLOOKUP(Demand_Data___Hourly_OverviewSearch_1_csv[[#This Row],[Date]],Supply_Data___Hourly_DriverActivity_1_csv__3[#All],2,FALSE)</f>
        <v>72</v>
      </c>
      <c r="J128">
        <f>VLOOKUP(Demand_Data___Hourly_OverviewSearch_1_csv[[#This Row],[Date]],Supply_Data___Hourly_DriverActivity_1_csv__3[#All],3,FALSE)</f>
        <v>22</v>
      </c>
      <c r="K128">
        <f>VLOOKUP(Demand_Data___Hourly_OverviewSearch_1_csv[[#This Row],[Date]],Supply_Data___Hourly_DriverActivity_1_csv__3[#All],4,FALSE)</f>
        <v>11</v>
      </c>
      <c r="L128">
        <f>VLOOKUP(Demand_Data___Hourly_OverviewSearch_1_csv[[#This Row],[Date]],Supply_Data___Hourly_DriverActivity_1_csv__3[#All],5,FALSE)</f>
        <v>11</v>
      </c>
      <c r="M128">
        <f>VLOOKUP(Demand_Data___Hourly_OverviewSearch_1_csv[[#This Row],[Date]],Supply_Data___Hourly_DriverActivity_1_csv__3[#All],6,FALSE)</f>
        <v>0.3</v>
      </c>
      <c r="N128">
        <f>VLOOKUP(Demand_Data___Hourly_OverviewSearch_1_csv[[#This Row],[Date]],Supply_Data___Hourly_DriverActivity_1_csv__3[#All],7,FALSE)</f>
        <v>1.18</v>
      </c>
      <c r="O128">
        <f>VLOOKUP(Demand_Data___Hourly_OverviewSearch_1_csv[[#This Row],[Date]],Supply_Data___Hourly_DriverActivity_1_csv__3[#All],8,FALSE)</f>
        <v>26</v>
      </c>
      <c r="P128">
        <f>(Demand_Data___Hourly_OverviewSearch_1_csv[[#This Row],[People saw 0 cars (unique)]]+Demand_Data___Hourly_OverviewSearch_1_csv[[#This Row],[People saw +1 cars (unique)]])</f>
        <v>82</v>
      </c>
      <c r="Q128" s="143">
        <f t="shared" si="7"/>
        <v>11</v>
      </c>
    </row>
    <row r="129" spans="1:17" x14ac:dyDescent="0.3">
      <c r="A129" t="s">
        <v>135</v>
      </c>
      <c r="B129" t="str">
        <f t="shared" si="4"/>
        <v xml:space="preserve"> 16</v>
      </c>
      <c r="C129">
        <f t="shared" si="5"/>
        <v>2</v>
      </c>
      <c r="D129" t="str">
        <f t="shared" si="6"/>
        <v xml:space="preserve">2016-12-13 </v>
      </c>
      <c r="E129" t="str">
        <f>TEXT(Demand_Data___Hourly_OverviewSearch_1_csv[[#This Row],[Day]],"dddd")</f>
        <v>Monday</v>
      </c>
      <c r="F129">
        <v>15</v>
      </c>
      <c r="G129">
        <v>29</v>
      </c>
      <c r="H129">
        <v>66</v>
      </c>
      <c r="I129">
        <f>VLOOKUP(Demand_Data___Hourly_OverviewSearch_1_csv[[#This Row],[Date]],Supply_Data___Hourly_DriverActivity_1_csv__3[#All],2,FALSE)</f>
        <v>56</v>
      </c>
      <c r="J129">
        <f>VLOOKUP(Demand_Data___Hourly_OverviewSearch_1_csv[[#This Row],[Date]],Supply_Data___Hourly_DriverActivity_1_csv__3[#All],3,FALSE)</f>
        <v>15</v>
      </c>
      <c r="K129">
        <f>VLOOKUP(Demand_Data___Hourly_OverviewSearch_1_csv[[#This Row],[Date]],Supply_Data___Hourly_DriverActivity_1_csv__3[#All],4,FALSE)</f>
        <v>4</v>
      </c>
      <c r="L129">
        <f>VLOOKUP(Demand_Data___Hourly_OverviewSearch_1_csv[[#This Row],[Date]],Supply_Data___Hourly_DriverActivity_1_csv__3[#All],5,FALSE)</f>
        <v>12</v>
      </c>
      <c r="M129">
        <f>VLOOKUP(Demand_Data___Hourly_OverviewSearch_1_csv[[#This Row],[Date]],Supply_Data___Hourly_DriverActivity_1_csv__3[#All],6,FALSE)</f>
        <v>0.3</v>
      </c>
      <c r="N129">
        <f>VLOOKUP(Demand_Data___Hourly_OverviewSearch_1_csv[[#This Row],[Date]],Supply_Data___Hourly_DriverActivity_1_csv__3[#All],7,FALSE)</f>
        <v>0.53</v>
      </c>
      <c r="O129">
        <f>VLOOKUP(Demand_Data___Hourly_OverviewSearch_1_csv[[#This Row],[Date]],Supply_Data___Hourly_DriverActivity_1_csv__3[#All],8,FALSE)</f>
        <v>8</v>
      </c>
      <c r="P129">
        <f>(Demand_Data___Hourly_OverviewSearch_1_csv[[#This Row],[People saw 0 cars (unique)]]+Demand_Data___Hourly_OverviewSearch_1_csv[[#This Row],[People saw +1 cars (unique)]])</f>
        <v>44</v>
      </c>
      <c r="Q129" s="143">
        <f t="shared" si="7"/>
        <v>11</v>
      </c>
    </row>
    <row r="130" spans="1:17" x14ac:dyDescent="0.3">
      <c r="A130" t="s">
        <v>136</v>
      </c>
      <c r="B130" t="str">
        <f t="shared" ref="B130:B193" si="8">RIGHT(A130,3)</f>
        <v xml:space="preserve"> 15</v>
      </c>
      <c r="C130">
        <f t="shared" ref="C130:C193" si="9">WEEKDAY(DATEVALUE(LEFT(A130,FIND(" ",A130))),2)</f>
        <v>2</v>
      </c>
      <c r="D130" t="str">
        <f t="shared" ref="D130:D193" si="10">LEFT(A130,11)</f>
        <v xml:space="preserve">2016-12-13 </v>
      </c>
      <c r="E130" t="str">
        <f>TEXT(Demand_Data___Hourly_OverviewSearch_1_csv[[#This Row],[Day]],"dddd")</f>
        <v>Monday</v>
      </c>
      <c r="F130">
        <v>10</v>
      </c>
      <c r="G130">
        <v>20</v>
      </c>
      <c r="H130">
        <v>67</v>
      </c>
      <c r="I130">
        <f>VLOOKUP(Demand_Data___Hourly_OverviewSearch_1_csv[[#This Row],[Date]],Supply_Data___Hourly_DriverActivity_1_csv__3[#All],2,FALSE)</f>
        <v>53</v>
      </c>
      <c r="J130">
        <f>VLOOKUP(Demand_Data___Hourly_OverviewSearch_1_csv[[#This Row],[Date]],Supply_Data___Hourly_DriverActivity_1_csv__3[#All],3,FALSE)</f>
        <v>17</v>
      </c>
      <c r="K130">
        <f>VLOOKUP(Demand_Data___Hourly_OverviewSearch_1_csv[[#This Row],[Date]],Supply_Data___Hourly_DriverActivity_1_csv__3[#All],4,FALSE)</f>
        <v>5</v>
      </c>
      <c r="L130">
        <f>VLOOKUP(Demand_Data___Hourly_OverviewSearch_1_csv[[#This Row],[Date]],Supply_Data___Hourly_DriverActivity_1_csv__3[#All],5,FALSE)</f>
        <v>12</v>
      </c>
      <c r="M130">
        <f>VLOOKUP(Demand_Data___Hourly_OverviewSearch_1_csv[[#This Row],[Date]],Supply_Data___Hourly_DriverActivity_1_csv__3[#All],6,FALSE)</f>
        <v>0.3</v>
      </c>
      <c r="N130">
        <f>VLOOKUP(Demand_Data___Hourly_OverviewSearch_1_csv[[#This Row],[Date]],Supply_Data___Hourly_DriverActivity_1_csv__3[#All],7,FALSE)</f>
        <v>0.47</v>
      </c>
      <c r="O130">
        <f>VLOOKUP(Demand_Data___Hourly_OverviewSearch_1_csv[[#This Row],[Date]],Supply_Data___Hourly_DriverActivity_1_csv__3[#All],8,FALSE)</f>
        <v>8</v>
      </c>
      <c r="P130">
        <f>(Demand_Data___Hourly_OverviewSearch_1_csv[[#This Row],[People saw 0 cars (unique)]]+Demand_Data___Hourly_OverviewSearch_1_csv[[#This Row],[People saw +1 cars (unique)]])</f>
        <v>30</v>
      </c>
      <c r="Q130" s="143">
        <f t="shared" ref="Q130:Q193" si="11">(J130-K130)</f>
        <v>12</v>
      </c>
    </row>
    <row r="131" spans="1:17" x14ac:dyDescent="0.3">
      <c r="A131" t="s">
        <v>137</v>
      </c>
      <c r="B131" t="str">
        <f t="shared" si="8"/>
        <v xml:space="preserve"> 14</v>
      </c>
      <c r="C131">
        <f t="shared" si="9"/>
        <v>2</v>
      </c>
      <c r="D131" t="str">
        <f t="shared" si="10"/>
        <v xml:space="preserve">2016-12-13 </v>
      </c>
      <c r="E131" t="str">
        <f>TEXT(Demand_Data___Hourly_OverviewSearch_1_csv[[#This Row],[Day]],"dddd")</f>
        <v>Monday</v>
      </c>
      <c r="F131">
        <v>9</v>
      </c>
      <c r="G131">
        <v>26</v>
      </c>
      <c r="H131">
        <v>74</v>
      </c>
      <c r="I131">
        <f>VLOOKUP(Demand_Data___Hourly_OverviewSearch_1_csv[[#This Row],[Date]],Supply_Data___Hourly_DriverActivity_1_csv__3[#All],2,FALSE)</f>
        <v>55</v>
      </c>
      <c r="J131">
        <f>VLOOKUP(Demand_Data___Hourly_OverviewSearch_1_csv[[#This Row],[Date]],Supply_Data___Hourly_DriverActivity_1_csv__3[#All],3,FALSE)</f>
        <v>14</v>
      </c>
      <c r="K131">
        <f>VLOOKUP(Demand_Data___Hourly_OverviewSearch_1_csv[[#This Row],[Date]],Supply_Data___Hourly_DriverActivity_1_csv__3[#All],4,FALSE)</f>
        <v>4</v>
      </c>
      <c r="L131">
        <f>VLOOKUP(Demand_Data___Hourly_OverviewSearch_1_csv[[#This Row],[Date]],Supply_Data___Hourly_DriverActivity_1_csv__3[#All],5,FALSE)</f>
        <v>11</v>
      </c>
      <c r="M131">
        <f>VLOOKUP(Demand_Data___Hourly_OverviewSearch_1_csv[[#This Row],[Date]],Supply_Data___Hourly_DriverActivity_1_csv__3[#All],6,FALSE)</f>
        <v>0.3</v>
      </c>
      <c r="N131">
        <f>VLOOKUP(Demand_Data___Hourly_OverviewSearch_1_csv[[#This Row],[Date]],Supply_Data___Hourly_DriverActivity_1_csv__3[#All],7,FALSE)</f>
        <v>0.56999999999999995</v>
      </c>
      <c r="O131">
        <f>VLOOKUP(Demand_Data___Hourly_OverviewSearch_1_csv[[#This Row],[Date]],Supply_Data___Hourly_DriverActivity_1_csv__3[#All],8,FALSE)</f>
        <v>8</v>
      </c>
      <c r="P131">
        <f>(Demand_Data___Hourly_OverviewSearch_1_csv[[#This Row],[People saw 0 cars (unique)]]+Demand_Data___Hourly_OverviewSearch_1_csv[[#This Row],[People saw +1 cars (unique)]])</f>
        <v>35</v>
      </c>
      <c r="Q131" s="143">
        <f t="shared" si="11"/>
        <v>10</v>
      </c>
    </row>
    <row r="132" spans="1:17" x14ac:dyDescent="0.3">
      <c r="A132" t="s">
        <v>138</v>
      </c>
      <c r="B132" t="str">
        <f t="shared" si="8"/>
        <v xml:space="preserve"> 13</v>
      </c>
      <c r="C132">
        <f t="shared" si="9"/>
        <v>2</v>
      </c>
      <c r="D132" t="str">
        <f t="shared" si="10"/>
        <v xml:space="preserve">2016-12-13 </v>
      </c>
      <c r="E132" t="str">
        <f>TEXT(Demand_Data___Hourly_OverviewSearch_1_csv[[#This Row],[Day]],"dddd")</f>
        <v>Monday</v>
      </c>
      <c r="F132">
        <v>11</v>
      </c>
      <c r="G132">
        <v>25</v>
      </c>
      <c r="H132">
        <v>69</v>
      </c>
      <c r="I132">
        <f>VLOOKUP(Demand_Data___Hourly_OverviewSearch_1_csv[[#This Row],[Date]],Supply_Data___Hourly_DriverActivity_1_csv__3[#All],2,FALSE)</f>
        <v>56</v>
      </c>
      <c r="J132">
        <f>VLOOKUP(Demand_Data___Hourly_OverviewSearch_1_csv[[#This Row],[Date]],Supply_Data___Hourly_DriverActivity_1_csv__3[#All],3,FALSE)</f>
        <v>15</v>
      </c>
      <c r="K132">
        <f>VLOOKUP(Demand_Data___Hourly_OverviewSearch_1_csv[[#This Row],[Date]],Supply_Data___Hourly_DriverActivity_1_csv__3[#All],4,FALSE)</f>
        <v>3</v>
      </c>
      <c r="L132">
        <f>VLOOKUP(Demand_Data___Hourly_OverviewSearch_1_csv[[#This Row],[Date]],Supply_Data___Hourly_DriverActivity_1_csv__3[#All],5,FALSE)</f>
        <v>12</v>
      </c>
      <c r="M132">
        <f>VLOOKUP(Demand_Data___Hourly_OverviewSearch_1_csv[[#This Row],[Date]],Supply_Data___Hourly_DriverActivity_1_csv__3[#All],6,FALSE)</f>
        <v>0.3</v>
      </c>
      <c r="N132">
        <f>VLOOKUP(Demand_Data___Hourly_OverviewSearch_1_csv[[#This Row],[Date]],Supply_Data___Hourly_DriverActivity_1_csv__3[#All],7,FALSE)</f>
        <v>0.6</v>
      </c>
      <c r="O132">
        <f>VLOOKUP(Demand_Data___Hourly_OverviewSearch_1_csv[[#This Row],[Date]],Supply_Data___Hourly_DriverActivity_1_csv__3[#All],8,FALSE)</f>
        <v>9</v>
      </c>
      <c r="P132">
        <f>(Demand_Data___Hourly_OverviewSearch_1_csv[[#This Row],[People saw 0 cars (unique)]]+Demand_Data___Hourly_OverviewSearch_1_csv[[#This Row],[People saw +1 cars (unique)]])</f>
        <v>36</v>
      </c>
      <c r="Q132" s="143">
        <f t="shared" si="11"/>
        <v>12</v>
      </c>
    </row>
    <row r="133" spans="1:17" x14ac:dyDescent="0.3">
      <c r="A133" t="s">
        <v>139</v>
      </c>
      <c r="B133" t="str">
        <f t="shared" si="8"/>
        <v xml:space="preserve"> 12</v>
      </c>
      <c r="C133">
        <f t="shared" si="9"/>
        <v>2</v>
      </c>
      <c r="D133" t="str">
        <f t="shared" si="10"/>
        <v xml:space="preserve">2016-12-13 </v>
      </c>
      <c r="E133" t="str">
        <f>TEXT(Demand_Data___Hourly_OverviewSearch_1_csv[[#This Row],[Day]],"dddd")</f>
        <v>Monday</v>
      </c>
      <c r="F133">
        <v>15</v>
      </c>
      <c r="G133">
        <v>31</v>
      </c>
      <c r="H133">
        <v>67</v>
      </c>
      <c r="I133">
        <f>VLOOKUP(Demand_Data___Hourly_OverviewSearch_1_csv[[#This Row],[Date]],Supply_Data___Hourly_DriverActivity_1_csv__3[#All],2,FALSE)</f>
        <v>58</v>
      </c>
      <c r="J133">
        <f>VLOOKUP(Demand_Data___Hourly_OverviewSearch_1_csv[[#This Row],[Date]],Supply_Data___Hourly_DriverActivity_1_csv__3[#All],3,FALSE)</f>
        <v>17</v>
      </c>
      <c r="K133">
        <f>VLOOKUP(Demand_Data___Hourly_OverviewSearch_1_csv[[#This Row],[Date]],Supply_Data___Hourly_DriverActivity_1_csv__3[#All],4,FALSE)</f>
        <v>4</v>
      </c>
      <c r="L133">
        <f>VLOOKUP(Demand_Data___Hourly_OverviewSearch_1_csv[[#This Row],[Date]],Supply_Data___Hourly_DriverActivity_1_csv__3[#All],5,FALSE)</f>
        <v>13</v>
      </c>
      <c r="M133">
        <f>VLOOKUP(Demand_Data___Hourly_OverviewSearch_1_csv[[#This Row],[Date]],Supply_Data___Hourly_DriverActivity_1_csv__3[#All],6,FALSE)</f>
        <v>0.3</v>
      </c>
      <c r="N133">
        <f>VLOOKUP(Demand_Data___Hourly_OverviewSearch_1_csv[[#This Row],[Date]],Supply_Data___Hourly_DriverActivity_1_csv__3[#All],7,FALSE)</f>
        <v>0.47</v>
      </c>
      <c r="O133">
        <f>VLOOKUP(Demand_Data___Hourly_OverviewSearch_1_csv[[#This Row],[Date]],Supply_Data___Hourly_DriverActivity_1_csv__3[#All],8,FALSE)</f>
        <v>8</v>
      </c>
      <c r="P133">
        <f>(Demand_Data___Hourly_OverviewSearch_1_csv[[#This Row],[People saw 0 cars (unique)]]+Demand_Data___Hourly_OverviewSearch_1_csv[[#This Row],[People saw +1 cars (unique)]])</f>
        <v>46</v>
      </c>
      <c r="Q133" s="143">
        <f t="shared" si="11"/>
        <v>13</v>
      </c>
    </row>
    <row r="134" spans="1:17" x14ac:dyDescent="0.3">
      <c r="A134" t="s">
        <v>140</v>
      </c>
      <c r="B134" t="str">
        <f t="shared" si="8"/>
        <v xml:space="preserve"> 11</v>
      </c>
      <c r="C134">
        <f t="shared" si="9"/>
        <v>2</v>
      </c>
      <c r="D134" t="str">
        <f t="shared" si="10"/>
        <v xml:space="preserve">2016-12-13 </v>
      </c>
      <c r="E134" t="str">
        <f>TEXT(Demand_Data___Hourly_OverviewSearch_1_csv[[#This Row],[Day]],"dddd")</f>
        <v>Monday</v>
      </c>
      <c r="F134">
        <v>9</v>
      </c>
      <c r="G134">
        <v>33</v>
      </c>
      <c r="H134">
        <v>79</v>
      </c>
      <c r="I134">
        <f>VLOOKUP(Demand_Data___Hourly_OverviewSearch_1_csv[[#This Row],[Date]],Supply_Data___Hourly_DriverActivity_1_csv__3[#All],2,FALSE)</f>
        <v>64</v>
      </c>
      <c r="J134">
        <f>VLOOKUP(Demand_Data___Hourly_OverviewSearch_1_csv[[#This Row],[Date]],Supply_Data___Hourly_DriverActivity_1_csv__3[#All],3,FALSE)</f>
        <v>25</v>
      </c>
      <c r="K134">
        <f>VLOOKUP(Demand_Data___Hourly_OverviewSearch_1_csv[[#This Row],[Date]],Supply_Data___Hourly_DriverActivity_1_csv__3[#All],4,FALSE)</f>
        <v>8</v>
      </c>
      <c r="L134">
        <f>VLOOKUP(Demand_Data___Hourly_OverviewSearch_1_csv[[#This Row],[Date]],Supply_Data___Hourly_DriverActivity_1_csv__3[#All],5,FALSE)</f>
        <v>17</v>
      </c>
      <c r="M134">
        <f>VLOOKUP(Demand_Data___Hourly_OverviewSearch_1_csv[[#This Row],[Date]],Supply_Data___Hourly_DriverActivity_1_csv__3[#All],6,FALSE)</f>
        <v>0.4</v>
      </c>
      <c r="N134">
        <f>VLOOKUP(Demand_Data___Hourly_OverviewSearch_1_csv[[#This Row],[Date]],Supply_Data___Hourly_DriverActivity_1_csv__3[#All],7,FALSE)</f>
        <v>0.6</v>
      </c>
      <c r="O134">
        <f>VLOOKUP(Demand_Data___Hourly_OverviewSearch_1_csv[[#This Row],[Date]],Supply_Data___Hourly_DriverActivity_1_csv__3[#All],8,FALSE)</f>
        <v>15</v>
      </c>
      <c r="P134">
        <f>(Demand_Data___Hourly_OverviewSearch_1_csv[[#This Row],[People saw 0 cars (unique)]]+Demand_Data___Hourly_OverviewSearch_1_csv[[#This Row],[People saw +1 cars (unique)]])</f>
        <v>42</v>
      </c>
      <c r="Q134" s="143">
        <f t="shared" si="11"/>
        <v>17</v>
      </c>
    </row>
    <row r="135" spans="1:17" x14ac:dyDescent="0.3">
      <c r="A135" t="s">
        <v>141</v>
      </c>
      <c r="B135" t="str">
        <f t="shared" si="8"/>
        <v xml:space="preserve"> 10</v>
      </c>
      <c r="C135">
        <f t="shared" si="9"/>
        <v>2</v>
      </c>
      <c r="D135" t="str">
        <f t="shared" si="10"/>
        <v xml:space="preserve">2016-12-13 </v>
      </c>
      <c r="E135" t="str">
        <f>TEXT(Demand_Data___Hourly_OverviewSearch_1_csv[[#This Row],[Day]],"dddd")</f>
        <v>Monday</v>
      </c>
      <c r="F135">
        <v>14</v>
      </c>
      <c r="G135">
        <v>33</v>
      </c>
      <c r="H135">
        <v>70</v>
      </c>
      <c r="I135">
        <f>VLOOKUP(Demand_Data___Hourly_OverviewSearch_1_csv[[#This Row],[Date]],Supply_Data___Hourly_DriverActivity_1_csv__3[#All],2,FALSE)</f>
        <v>80</v>
      </c>
      <c r="J135">
        <f>VLOOKUP(Demand_Data___Hourly_OverviewSearch_1_csv[[#This Row],[Date]],Supply_Data___Hourly_DriverActivity_1_csv__3[#All],3,FALSE)</f>
        <v>26</v>
      </c>
      <c r="K135">
        <f>VLOOKUP(Demand_Data___Hourly_OverviewSearch_1_csv[[#This Row],[Date]],Supply_Data___Hourly_DriverActivity_1_csv__3[#All],4,FALSE)</f>
        <v>8</v>
      </c>
      <c r="L135">
        <f>VLOOKUP(Demand_Data___Hourly_OverviewSearch_1_csv[[#This Row],[Date]],Supply_Data___Hourly_DriverActivity_1_csv__3[#All],5,FALSE)</f>
        <v>18</v>
      </c>
      <c r="M135">
        <f>VLOOKUP(Demand_Data___Hourly_OverviewSearch_1_csv[[#This Row],[Date]],Supply_Data___Hourly_DriverActivity_1_csv__3[#All],6,FALSE)</f>
        <v>0.3</v>
      </c>
      <c r="N135">
        <f>VLOOKUP(Demand_Data___Hourly_OverviewSearch_1_csv[[#This Row],[Date]],Supply_Data___Hourly_DriverActivity_1_csv__3[#All],7,FALSE)</f>
        <v>0.5</v>
      </c>
      <c r="O135">
        <f>VLOOKUP(Demand_Data___Hourly_OverviewSearch_1_csv[[#This Row],[Date]],Supply_Data___Hourly_DriverActivity_1_csv__3[#All],8,FALSE)</f>
        <v>13</v>
      </c>
      <c r="P135">
        <f>(Demand_Data___Hourly_OverviewSearch_1_csv[[#This Row],[People saw 0 cars (unique)]]+Demand_Data___Hourly_OverviewSearch_1_csv[[#This Row],[People saw +1 cars (unique)]])</f>
        <v>47</v>
      </c>
      <c r="Q135" s="143">
        <f t="shared" si="11"/>
        <v>18</v>
      </c>
    </row>
    <row r="136" spans="1:17" x14ac:dyDescent="0.3">
      <c r="A136" t="s">
        <v>142</v>
      </c>
      <c r="B136" t="str">
        <f t="shared" si="8"/>
        <v xml:space="preserve"> 09</v>
      </c>
      <c r="C136">
        <f t="shared" si="9"/>
        <v>2</v>
      </c>
      <c r="D136" t="str">
        <f t="shared" si="10"/>
        <v xml:space="preserve">2016-12-13 </v>
      </c>
      <c r="E136" t="str">
        <f>TEXT(Demand_Data___Hourly_OverviewSearch_1_csv[[#This Row],[Day]],"dddd")</f>
        <v>Monday</v>
      </c>
      <c r="F136">
        <v>61</v>
      </c>
      <c r="G136">
        <v>50</v>
      </c>
      <c r="H136">
        <v>45</v>
      </c>
      <c r="I136">
        <f>VLOOKUP(Demand_Data___Hourly_OverviewSearch_1_csv[[#This Row],[Date]],Supply_Data___Hourly_DriverActivity_1_csv__3[#All],2,FALSE)</f>
        <v>54</v>
      </c>
      <c r="J136">
        <f>VLOOKUP(Demand_Data___Hourly_OverviewSearch_1_csv[[#This Row],[Date]],Supply_Data___Hourly_DriverActivity_1_csv__3[#All],3,FALSE)</f>
        <v>19</v>
      </c>
      <c r="K136">
        <f>VLOOKUP(Demand_Data___Hourly_OverviewSearch_1_csv[[#This Row],[Date]],Supply_Data___Hourly_DriverActivity_1_csv__3[#All],4,FALSE)</f>
        <v>13</v>
      </c>
      <c r="L136">
        <f>VLOOKUP(Demand_Data___Hourly_OverviewSearch_1_csv[[#This Row],[Date]],Supply_Data___Hourly_DriverActivity_1_csv__3[#All],5,FALSE)</f>
        <v>6</v>
      </c>
      <c r="M136">
        <f>VLOOKUP(Demand_Data___Hourly_OverviewSearch_1_csv[[#This Row],[Date]],Supply_Data___Hourly_DriverActivity_1_csv__3[#All],6,FALSE)</f>
        <v>0.4</v>
      </c>
      <c r="N136">
        <f>VLOOKUP(Demand_Data___Hourly_OverviewSearch_1_csv[[#This Row],[Date]],Supply_Data___Hourly_DriverActivity_1_csv__3[#All],7,FALSE)</f>
        <v>1.37</v>
      </c>
      <c r="O136">
        <f>VLOOKUP(Demand_Data___Hourly_OverviewSearch_1_csv[[#This Row],[Date]],Supply_Data___Hourly_DriverActivity_1_csv__3[#All],8,FALSE)</f>
        <v>26</v>
      </c>
      <c r="P136">
        <f>(Demand_Data___Hourly_OverviewSearch_1_csv[[#This Row],[People saw 0 cars (unique)]]+Demand_Data___Hourly_OverviewSearch_1_csv[[#This Row],[People saw +1 cars (unique)]])</f>
        <v>111</v>
      </c>
      <c r="Q136" s="143">
        <f t="shared" si="11"/>
        <v>6</v>
      </c>
    </row>
    <row r="137" spans="1:17" x14ac:dyDescent="0.3">
      <c r="A137" t="s">
        <v>143</v>
      </c>
      <c r="B137" t="str">
        <f t="shared" si="8"/>
        <v xml:space="preserve"> 08</v>
      </c>
      <c r="C137">
        <f t="shared" si="9"/>
        <v>2</v>
      </c>
      <c r="D137" t="str">
        <f t="shared" si="10"/>
        <v xml:space="preserve">2016-12-13 </v>
      </c>
      <c r="E137" t="str">
        <f>TEXT(Demand_Data___Hourly_OverviewSearch_1_csv[[#This Row],[Day]],"dddd")</f>
        <v>Monday</v>
      </c>
      <c r="F137">
        <v>80</v>
      </c>
      <c r="G137">
        <v>32</v>
      </c>
      <c r="H137">
        <v>29</v>
      </c>
      <c r="I137">
        <f>VLOOKUP(Demand_Data___Hourly_OverviewSearch_1_csv[[#This Row],[Date]],Supply_Data___Hourly_DriverActivity_1_csv__3[#All],2,FALSE)</f>
        <v>40</v>
      </c>
      <c r="J137">
        <f>VLOOKUP(Demand_Data___Hourly_OverviewSearch_1_csv[[#This Row],[Date]],Supply_Data___Hourly_DriverActivity_1_csv__3[#All],3,FALSE)</f>
        <v>13</v>
      </c>
      <c r="K137">
        <f>VLOOKUP(Demand_Data___Hourly_OverviewSearch_1_csv[[#This Row],[Date]],Supply_Data___Hourly_DriverActivity_1_csv__3[#All],4,FALSE)</f>
        <v>11</v>
      </c>
      <c r="L137">
        <f>VLOOKUP(Demand_Data___Hourly_OverviewSearch_1_csv[[#This Row],[Date]],Supply_Data___Hourly_DriverActivity_1_csv__3[#All],5,FALSE)</f>
        <v>2</v>
      </c>
      <c r="M137">
        <f>VLOOKUP(Demand_Data___Hourly_OverviewSearch_1_csv[[#This Row],[Date]],Supply_Data___Hourly_DriverActivity_1_csv__3[#All],6,FALSE)</f>
        <v>0.3</v>
      </c>
      <c r="N137">
        <f>VLOOKUP(Demand_Data___Hourly_OverviewSearch_1_csv[[#This Row],[Date]],Supply_Data___Hourly_DriverActivity_1_csv__3[#All],7,FALSE)</f>
        <v>1.31</v>
      </c>
      <c r="O137">
        <f>VLOOKUP(Demand_Data___Hourly_OverviewSearch_1_csv[[#This Row],[Date]],Supply_Data___Hourly_DriverActivity_1_csv__3[#All],8,FALSE)</f>
        <v>17</v>
      </c>
      <c r="P137">
        <f>(Demand_Data___Hourly_OverviewSearch_1_csv[[#This Row],[People saw 0 cars (unique)]]+Demand_Data___Hourly_OverviewSearch_1_csv[[#This Row],[People saw +1 cars (unique)]])</f>
        <v>112</v>
      </c>
      <c r="Q137" s="143">
        <f t="shared" si="11"/>
        <v>2</v>
      </c>
    </row>
    <row r="138" spans="1:17" x14ac:dyDescent="0.3">
      <c r="A138" t="s">
        <v>144</v>
      </c>
      <c r="B138" t="str">
        <f t="shared" si="8"/>
        <v xml:space="preserve"> 07</v>
      </c>
      <c r="C138">
        <f t="shared" si="9"/>
        <v>2</v>
      </c>
      <c r="D138" t="str">
        <f t="shared" si="10"/>
        <v xml:space="preserve">2016-12-13 </v>
      </c>
      <c r="E138" t="str">
        <f>TEXT(Demand_Data___Hourly_OverviewSearch_1_csv[[#This Row],[Day]],"dddd")</f>
        <v>Monday</v>
      </c>
      <c r="F138">
        <v>24</v>
      </c>
      <c r="G138">
        <v>14</v>
      </c>
      <c r="H138">
        <v>37</v>
      </c>
      <c r="I138">
        <f>VLOOKUP(Demand_Data___Hourly_OverviewSearch_1_csv[[#This Row],[Date]],Supply_Data___Hourly_DriverActivity_1_csv__3[#All],2,FALSE)</f>
        <v>39</v>
      </c>
      <c r="J138">
        <f>VLOOKUP(Demand_Data___Hourly_OverviewSearch_1_csv[[#This Row],[Date]],Supply_Data___Hourly_DriverActivity_1_csv__3[#All],3,FALSE)</f>
        <v>8</v>
      </c>
      <c r="K138">
        <f>VLOOKUP(Demand_Data___Hourly_OverviewSearch_1_csv[[#This Row],[Date]],Supply_Data___Hourly_DriverActivity_1_csv__3[#All],4,FALSE)</f>
        <v>4</v>
      </c>
      <c r="L138">
        <f>VLOOKUP(Demand_Data___Hourly_OverviewSearch_1_csv[[#This Row],[Date]],Supply_Data___Hourly_DriverActivity_1_csv__3[#All],5,FALSE)</f>
        <v>4</v>
      </c>
      <c r="M138">
        <f>VLOOKUP(Demand_Data___Hourly_OverviewSearch_1_csv[[#This Row],[Date]],Supply_Data___Hourly_DriverActivity_1_csv__3[#All],6,FALSE)</f>
        <v>0.2</v>
      </c>
      <c r="N138">
        <f>VLOOKUP(Demand_Data___Hourly_OverviewSearch_1_csv[[#This Row],[Date]],Supply_Data___Hourly_DriverActivity_1_csv__3[#All],7,FALSE)</f>
        <v>1.1299999999999999</v>
      </c>
      <c r="O138">
        <f>VLOOKUP(Demand_Data___Hourly_OverviewSearch_1_csv[[#This Row],[Date]],Supply_Data___Hourly_DriverActivity_1_csv__3[#All],8,FALSE)</f>
        <v>9</v>
      </c>
      <c r="P138">
        <f>(Demand_Data___Hourly_OverviewSearch_1_csv[[#This Row],[People saw 0 cars (unique)]]+Demand_Data___Hourly_OverviewSearch_1_csv[[#This Row],[People saw +1 cars (unique)]])</f>
        <v>38</v>
      </c>
      <c r="Q138" s="143">
        <f t="shared" si="11"/>
        <v>4</v>
      </c>
    </row>
    <row r="139" spans="1:17" x14ac:dyDescent="0.3">
      <c r="A139" t="s">
        <v>145</v>
      </c>
      <c r="B139" t="str">
        <f t="shared" si="8"/>
        <v xml:space="preserve"> 06</v>
      </c>
      <c r="C139">
        <f t="shared" si="9"/>
        <v>2</v>
      </c>
      <c r="D139" t="str">
        <f t="shared" si="10"/>
        <v xml:space="preserve">2016-12-13 </v>
      </c>
      <c r="E139" t="str">
        <f>TEXT(Demand_Data___Hourly_OverviewSearch_1_csv[[#This Row],[Day]],"dddd")</f>
        <v>Monday</v>
      </c>
      <c r="F139">
        <v>8</v>
      </c>
      <c r="G139">
        <v>7</v>
      </c>
      <c r="H139">
        <v>47</v>
      </c>
      <c r="I139">
        <f>VLOOKUP(Demand_Data___Hourly_OverviewSearch_1_csv[[#This Row],[Date]],Supply_Data___Hourly_DriverActivity_1_csv__3[#All],2,FALSE)</f>
        <v>26</v>
      </c>
      <c r="J139">
        <f>VLOOKUP(Demand_Data___Hourly_OverviewSearch_1_csv[[#This Row],[Date]],Supply_Data___Hourly_DriverActivity_1_csv__3[#All],3,FALSE)</f>
        <v>6</v>
      </c>
      <c r="K139">
        <f>VLOOKUP(Demand_Data___Hourly_OverviewSearch_1_csv[[#This Row],[Date]],Supply_Data___Hourly_DriverActivity_1_csv__3[#All],4,FALSE)</f>
        <v>1</v>
      </c>
      <c r="L139">
        <f>VLOOKUP(Demand_Data___Hourly_OverviewSearch_1_csv[[#This Row],[Date]],Supply_Data___Hourly_DriverActivity_1_csv__3[#All],5,FALSE)</f>
        <v>5</v>
      </c>
      <c r="M139">
        <f>VLOOKUP(Demand_Data___Hourly_OverviewSearch_1_csv[[#This Row],[Date]],Supply_Data___Hourly_DriverActivity_1_csv__3[#All],6,FALSE)</f>
        <v>0.2</v>
      </c>
      <c r="N139">
        <f>VLOOKUP(Demand_Data___Hourly_OverviewSearch_1_csv[[#This Row],[Date]],Supply_Data___Hourly_DriverActivity_1_csv__3[#All],7,FALSE)</f>
        <v>0.5</v>
      </c>
      <c r="O139">
        <f>VLOOKUP(Demand_Data___Hourly_OverviewSearch_1_csv[[#This Row],[Date]],Supply_Data___Hourly_DriverActivity_1_csv__3[#All],8,FALSE)</f>
        <v>3</v>
      </c>
      <c r="P139">
        <f>(Demand_Data___Hourly_OverviewSearch_1_csv[[#This Row],[People saw 0 cars (unique)]]+Demand_Data___Hourly_OverviewSearch_1_csv[[#This Row],[People saw +1 cars (unique)]])</f>
        <v>15</v>
      </c>
      <c r="Q139" s="143">
        <f t="shared" si="11"/>
        <v>5</v>
      </c>
    </row>
    <row r="140" spans="1:17" x14ac:dyDescent="0.3">
      <c r="A140" t="s">
        <v>146</v>
      </c>
      <c r="B140" t="str">
        <f t="shared" si="8"/>
        <v xml:space="preserve"> 05</v>
      </c>
      <c r="C140">
        <f t="shared" si="9"/>
        <v>2</v>
      </c>
      <c r="D140" t="str">
        <f t="shared" si="10"/>
        <v xml:space="preserve">2016-12-13 </v>
      </c>
      <c r="E140" t="str">
        <f>TEXT(Demand_Data___Hourly_OverviewSearch_1_csv[[#This Row],[Day]],"dddd")</f>
        <v>Monday</v>
      </c>
      <c r="F140">
        <v>1</v>
      </c>
      <c r="G140">
        <v>3</v>
      </c>
      <c r="H140">
        <v>75</v>
      </c>
      <c r="I140">
        <f>VLOOKUP(Demand_Data___Hourly_OverviewSearch_1_csv[[#This Row],[Date]],Supply_Data___Hourly_DriverActivity_1_csv__3[#All],2,FALSE)</f>
        <v>13</v>
      </c>
      <c r="J140">
        <f>VLOOKUP(Demand_Data___Hourly_OverviewSearch_1_csv[[#This Row],[Date]],Supply_Data___Hourly_DriverActivity_1_csv__3[#All],3,FALSE)</f>
        <v>4</v>
      </c>
      <c r="K140">
        <f>VLOOKUP(Demand_Data___Hourly_OverviewSearch_1_csv[[#This Row],[Date]],Supply_Data___Hourly_DriverActivity_1_csv__3[#All],4,FALSE)</f>
        <v>0</v>
      </c>
      <c r="L140">
        <f>VLOOKUP(Demand_Data___Hourly_OverviewSearch_1_csv[[#This Row],[Date]],Supply_Data___Hourly_DriverActivity_1_csv__3[#All],5,FALSE)</f>
        <v>4</v>
      </c>
      <c r="M140">
        <f>VLOOKUP(Demand_Data___Hourly_OverviewSearch_1_csv[[#This Row],[Date]],Supply_Data___Hourly_DriverActivity_1_csv__3[#All],6,FALSE)</f>
        <v>0.3</v>
      </c>
      <c r="N140">
        <f>VLOOKUP(Demand_Data___Hourly_OverviewSearch_1_csv[[#This Row],[Date]],Supply_Data___Hourly_DriverActivity_1_csv__3[#All],7,FALSE)</f>
        <v>0</v>
      </c>
      <c r="O140">
        <f>VLOOKUP(Demand_Data___Hourly_OverviewSearch_1_csv[[#This Row],[Date]],Supply_Data___Hourly_DriverActivity_1_csv__3[#All],8,FALSE)</f>
        <v>0</v>
      </c>
      <c r="P140">
        <f>(Demand_Data___Hourly_OverviewSearch_1_csv[[#This Row],[People saw 0 cars (unique)]]+Demand_Data___Hourly_OverviewSearch_1_csv[[#This Row],[People saw +1 cars (unique)]])</f>
        <v>4</v>
      </c>
      <c r="Q140" s="143">
        <f t="shared" si="11"/>
        <v>4</v>
      </c>
    </row>
    <row r="141" spans="1:17" x14ac:dyDescent="0.3">
      <c r="A141" t="s">
        <v>147</v>
      </c>
      <c r="B141" t="str">
        <f t="shared" si="8"/>
        <v xml:space="preserve"> 04</v>
      </c>
      <c r="C141">
        <f t="shared" si="9"/>
        <v>2</v>
      </c>
      <c r="D141" t="str">
        <f t="shared" si="10"/>
        <v xml:space="preserve">2016-12-13 </v>
      </c>
      <c r="E141" t="str">
        <f>TEXT(Demand_Data___Hourly_OverviewSearch_1_csv[[#This Row],[Day]],"dddd")</f>
        <v>Monday</v>
      </c>
      <c r="F141">
        <v>0</v>
      </c>
      <c r="G141">
        <v>1</v>
      </c>
      <c r="H141">
        <v>100</v>
      </c>
      <c r="I141">
        <f>VLOOKUP(Demand_Data___Hourly_OverviewSearch_1_csv[[#This Row],[Date]],Supply_Data___Hourly_DriverActivity_1_csv__3[#All],2,FALSE)</f>
        <v>16</v>
      </c>
      <c r="J141">
        <f>VLOOKUP(Demand_Data___Hourly_OverviewSearch_1_csv[[#This Row],[Date]],Supply_Data___Hourly_DriverActivity_1_csv__3[#All],3,FALSE)</f>
        <v>5</v>
      </c>
      <c r="K141">
        <f>VLOOKUP(Demand_Data___Hourly_OverviewSearch_1_csv[[#This Row],[Date]],Supply_Data___Hourly_DriverActivity_1_csv__3[#All],4,FALSE)</f>
        <v>0</v>
      </c>
      <c r="L141">
        <f>VLOOKUP(Demand_Data___Hourly_OverviewSearch_1_csv[[#This Row],[Date]],Supply_Data___Hourly_DriverActivity_1_csv__3[#All],5,FALSE)</f>
        <v>5</v>
      </c>
      <c r="M141">
        <f>VLOOKUP(Demand_Data___Hourly_OverviewSearch_1_csv[[#This Row],[Date]],Supply_Data___Hourly_DriverActivity_1_csv__3[#All],6,FALSE)</f>
        <v>0.3</v>
      </c>
      <c r="N141">
        <f>VLOOKUP(Demand_Data___Hourly_OverviewSearch_1_csv[[#This Row],[Date]],Supply_Data___Hourly_DriverActivity_1_csv__3[#All],7,FALSE)</f>
        <v>0</v>
      </c>
      <c r="O141">
        <f>VLOOKUP(Demand_Data___Hourly_OverviewSearch_1_csv[[#This Row],[Date]],Supply_Data___Hourly_DriverActivity_1_csv__3[#All],8,FALSE)</f>
        <v>0</v>
      </c>
      <c r="P141">
        <f>(Demand_Data___Hourly_OverviewSearch_1_csv[[#This Row],[People saw 0 cars (unique)]]+Demand_Data___Hourly_OverviewSearch_1_csv[[#This Row],[People saw +1 cars (unique)]])</f>
        <v>1</v>
      </c>
      <c r="Q141" s="143">
        <f t="shared" si="11"/>
        <v>5</v>
      </c>
    </row>
    <row r="142" spans="1:17" x14ac:dyDescent="0.3">
      <c r="A142" t="s">
        <v>148</v>
      </c>
      <c r="B142" t="str">
        <f t="shared" si="8"/>
        <v xml:space="preserve"> 03</v>
      </c>
      <c r="C142">
        <f t="shared" si="9"/>
        <v>2</v>
      </c>
      <c r="D142" t="str">
        <f t="shared" si="10"/>
        <v xml:space="preserve">2016-12-13 </v>
      </c>
      <c r="E142" t="str">
        <f>TEXT(Demand_Data___Hourly_OverviewSearch_1_csv[[#This Row],[Day]],"dddd")</f>
        <v>Monday</v>
      </c>
      <c r="F142">
        <v>1</v>
      </c>
      <c r="G142">
        <v>2</v>
      </c>
      <c r="H142">
        <v>67</v>
      </c>
      <c r="I142">
        <f>VLOOKUP(Demand_Data___Hourly_OverviewSearch_1_csv[[#This Row],[Date]],Supply_Data___Hourly_DriverActivity_1_csv__3[#All],2,FALSE)</f>
        <v>14</v>
      </c>
      <c r="J142">
        <f>VLOOKUP(Demand_Data___Hourly_OverviewSearch_1_csv[[#This Row],[Date]],Supply_Data___Hourly_DriverActivity_1_csv__3[#All],3,FALSE)</f>
        <v>5</v>
      </c>
      <c r="K142">
        <f>VLOOKUP(Demand_Data___Hourly_OverviewSearch_1_csv[[#This Row],[Date]],Supply_Data___Hourly_DriverActivity_1_csv__3[#All],4,FALSE)</f>
        <v>0</v>
      </c>
      <c r="L142">
        <f>VLOOKUP(Demand_Data___Hourly_OverviewSearch_1_csv[[#This Row],[Date]],Supply_Data___Hourly_DriverActivity_1_csv__3[#All],5,FALSE)</f>
        <v>4</v>
      </c>
      <c r="M142">
        <f>VLOOKUP(Demand_Data___Hourly_OverviewSearch_1_csv[[#This Row],[Date]],Supply_Data___Hourly_DriverActivity_1_csv__3[#All],6,FALSE)</f>
        <v>0.4</v>
      </c>
      <c r="N142">
        <f>VLOOKUP(Demand_Data___Hourly_OverviewSearch_1_csv[[#This Row],[Date]],Supply_Data___Hourly_DriverActivity_1_csv__3[#All],7,FALSE)</f>
        <v>0</v>
      </c>
      <c r="O142">
        <f>VLOOKUP(Demand_Data___Hourly_OverviewSearch_1_csv[[#This Row],[Date]],Supply_Data___Hourly_DriverActivity_1_csv__3[#All],8,FALSE)</f>
        <v>0</v>
      </c>
      <c r="P142">
        <f>(Demand_Data___Hourly_OverviewSearch_1_csv[[#This Row],[People saw 0 cars (unique)]]+Demand_Data___Hourly_OverviewSearch_1_csv[[#This Row],[People saw +1 cars (unique)]])</f>
        <v>3</v>
      </c>
      <c r="Q142" s="143">
        <f t="shared" si="11"/>
        <v>5</v>
      </c>
    </row>
    <row r="143" spans="1:17" x14ac:dyDescent="0.3">
      <c r="A143" t="s">
        <v>149</v>
      </c>
      <c r="B143" t="str">
        <f t="shared" si="8"/>
        <v xml:space="preserve"> 02</v>
      </c>
      <c r="C143">
        <f t="shared" si="9"/>
        <v>2</v>
      </c>
      <c r="D143" t="str">
        <f t="shared" si="10"/>
        <v xml:space="preserve">2016-12-13 </v>
      </c>
      <c r="E143" t="str">
        <f>TEXT(Demand_Data___Hourly_OverviewSearch_1_csv[[#This Row],[Day]],"dddd")</f>
        <v>Monday</v>
      </c>
      <c r="F143">
        <v>1</v>
      </c>
      <c r="G143">
        <v>7</v>
      </c>
      <c r="H143">
        <v>88</v>
      </c>
      <c r="I143">
        <f>VLOOKUP(Demand_Data___Hourly_OverviewSearch_1_csv[[#This Row],[Date]],Supply_Data___Hourly_DriverActivity_1_csv__3[#All],2,FALSE)</f>
        <v>18</v>
      </c>
      <c r="J143">
        <f>VLOOKUP(Demand_Data___Hourly_OverviewSearch_1_csv[[#This Row],[Date]],Supply_Data___Hourly_DriverActivity_1_csv__3[#All],3,FALSE)</f>
        <v>7</v>
      </c>
      <c r="K143">
        <f>VLOOKUP(Demand_Data___Hourly_OverviewSearch_1_csv[[#This Row],[Date]],Supply_Data___Hourly_DriverActivity_1_csv__3[#All],4,FALSE)</f>
        <v>1</v>
      </c>
      <c r="L143">
        <f>VLOOKUP(Demand_Data___Hourly_OverviewSearch_1_csv[[#This Row],[Date]],Supply_Data___Hourly_DriverActivity_1_csv__3[#All],5,FALSE)</f>
        <v>7</v>
      </c>
      <c r="M143">
        <f>VLOOKUP(Demand_Data___Hourly_OverviewSearch_1_csv[[#This Row],[Date]],Supply_Data___Hourly_DriverActivity_1_csv__3[#All],6,FALSE)</f>
        <v>0.4</v>
      </c>
      <c r="N143">
        <f>VLOOKUP(Demand_Data___Hourly_OverviewSearch_1_csv[[#This Row],[Date]],Supply_Data___Hourly_DriverActivity_1_csv__3[#All],7,FALSE)</f>
        <v>0.56999999999999995</v>
      </c>
      <c r="O143">
        <f>VLOOKUP(Demand_Data___Hourly_OverviewSearch_1_csv[[#This Row],[Date]],Supply_Data___Hourly_DriverActivity_1_csv__3[#All],8,FALSE)</f>
        <v>4</v>
      </c>
      <c r="P143">
        <f>(Demand_Data___Hourly_OverviewSearch_1_csv[[#This Row],[People saw 0 cars (unique)]]+Demand_Data___Hourly_OverviewSearch_1_csv[[#This Row],[People saw +1 cars (unique)]])</f>
        <v>8</v>
      </c>
      <c r="Q143" s="143">
        <f t="shared" si="11"/>
        <v>6</v>
      </c>
    </row>
    <row r="144" spans="1:17" x14ac:dyDescent="0.3">
      <c r="A144" t="s">
        <v>150</v>
      </c>
      <c r="B144" t="str">
        <f t="shared" si="8"/>
        <v xml:space="preserve"> 01</v>
      </c>
      <c r="C144">
        <f t="shared" si="9"/>
        <v>2</v>
      </c>
      <c r="D144" t="str">
        <f t="shared" si="10"/>
        <v xml:space="preserve">2016-12-13 </v>
      </c>
      <c r="E144" t="str">
        <f>TEXT(Demand_Data___Hourly_OverviewSearch_1_csv[[#This Row],[Day]],"dddd")</f>
        <v>Monday</v>
      </c>
      <c r="F144">
        <v>7</v>
      </c>
      <c r="G144">
        <v>10</v>
      </c>
      <c r="H144">
        <v>59</v>
      </c>
      <c r="I144">
        <f>VLOOKUP(Demand_Data___Hourly_OverviewSearch_1_csv[[#This Row],[Date]],Supply_Data___Hourly_DriverActivity_1_csv__3[#All],2,FALSE)</f>
        <v>29</v>
      </c>
      <c r="J144">
        <f>VLOOKUP(Demand_Data___Hourly_OverviewSearch_1_csv[[#This Row],[Date]],Supply_Data___Hourly_DriverActivity_1_csv__3[#All],3,FALSE)</f>
        <v>10</v>
      </c>
      <c r="K144">
        <f>VLOOKUP(Demand_Data___Hourly_OverviewSearch_1_csv[[#This Row],[Date]],Supply_Data___Hourly_DriverActivity_1_csv__3[#All],4,FALSE)</f>
        <v>1</v>
      </c>
      <c r="L144">
        <f>VLOOKUP(Demand_Data___Hourly_OverviewSearch_1_csv[[#This Row],[Date]],Supply_Data___Hourly_DriverActivity_1_csv__3[#All],5,FALSE)</f>
        <v>9</v>
      </c>
      <c r="M144">
        <f>VLOOKUP(Demand_Data___Hourly_OverviewSearch_1_csv[[#This Row],[Date]],Supply_Data___Hourly_DriverActivity_1_csv__3[#All],6,FALSE)</f>
        <v>0.3</v>
      </c>
      <c r="N144">
        <f>VLOOKUP(Demand_Data___Hourly_OverviewSearch_1_csv[[#This Row],[Date]],Supply_Data___Hourly_DriverActivity_1_csv__3[#All],7,FALSE)</f>
        <v>0.1</v>
      </c>
      <c r="O144">
        <f>VLOOKUP(Demand_Data___Hourly_OverviewSearch_1_csv[[#This Row],[Date]],Supply_Data___Hourly_DriverActivity_1_csv__3[#All],8,FALSE)</f>
        <v>1</v>
      </c>
      <c r="P144">
        <f>(Demand_Data___Hourly_OverviewSearch_1_csv[[#This Row],[People saw 0 cars (unique)]]+Demand_Data___Hourly_OverviewSearch_1_csv[[#This Row],[People saw +1 cars (unique)]])</f>
        <v>17</v>
      </c>
      <c r="Q144" s="143">
        <f t="shared" si="11"/>
        <v>9</v>
      </c>
    </row>
    <row r="145" spans="1:17" x14ac:dyDescent="0.3">
      <c r="A145" t="s">
        <v>151</v>
      </c>
      <c r="B145" t="str">
        <f t="shared" si="8"/>
        <v xml:space="preserve"> 00</v>
      </c>
      <c r="C145">
        <f t="shared" si="9"/>
        <v>2</v>
      </c>
      <c r="D145" t="str">
        <f t="shared" si="10"/>
        <v xml:space="preserve">2016-12-13 </v>
      </c>
      <c r="E145" t="str">
        <f>TEXT(Demand_Data___Hourly_OverviewSearch_1_csv[[#This Row],[Day]],"dddd")</f>
        <v>Monday</v>
      </c>
      <c r="F145">
        <v>17</v>
      </c>
      <c r="G145">
        <v>25</v>
      </c>
      <c r="H145">
        <v>60</v>
      </c>
      <c r="I145">
        <f>VLOOKUP(Demand_Data___Hourly_OverviewSearch_1_csv[[#This Row],[Date]],Supply_Data___Hourly_DriverActivity_1_csv__3[#All],2,FALSE)</f>
        <v>35</v>
      </c>
      <c r="J145">
        <f>VLOOKUP(Demand_Data___Hourly_OverviewSearch_1_csv[[#This Row],[Date]],Supply_Data___Hourly_DriverActivity_1_csv__3[#All],3,FALSE)</f>
        <v>16</v>
      </c>
      <c r="K145">
        <f>VLOOKUP(Demand_Data___Hourly_OverviewSearch_1_csv[[#This Row],[Date]],Supply_Data___Hourly_DriverActivity_1_csv__3[#All],4,FALSE)</f>
        <v>5</v>
      </c>
      <c r="L145">
        <f>VLOOKUP(Demand_Data___Hourly_OverviewSearch_1_csv[[#This Row],[Date]],Supply_Data___Hourly_DriverActivity_1_csv__3[#All],5,FALSE)</f>
        <v>11</v>
      </c>
      <c r="M145">
        <f>VLOOKUP(Demand_Data___Hourly_OverviewSearch_1_csv[[#This Row],[Date]],Supply_Data___Hourly_DriverActivity_1_csv__3[#All],6,FALSE)</f>
        <v>0.5</v>
      </c>
      <c r="N145">
        <f>VLOOKUP(Demand_Data___Hourly_OverviewSearch_1_csv[[#This Row],[Date]],Supply_Data___Hourly_DriverActivity_1_csv__3[#All],7,FALSE)</f>
        <v>0.75</v>
      </c>
      <c r="O145">
        <f>VLOOKUP(Demand_Data___Hourly_OverviewSearch_1_csv[[#This Row],[Date]],Supply_Data___Hourly_DriverActivity_1_csv__3[#All],8,FALSE)</f>
        <v>12</v>
      </c>
      <c r="P145">
        <f>(Demand_Data___Hourly_OverviewSearch_1_csv[[#This Row],[People saw 0 cars (unique)]]+Demand_Data___Hourly_OverviewSearch_1_csv[[#This Row],[People saw +1 cars (unique)]])</f>
        <v>42</v>
      </c>
      <c r="Q145" s="143">
        <f t="shared" si="11"/>
        <v>11</v>
      </c>
    </row>
    <row r="146" spans="1:17" x14ac:dyDescent="0.3">
      <c r="A146" t="s">
        <v>152</v>
      </c>
      <c r="B146" t="str">
        <f t="shared" si="8"/>
        <v xml:space="preserve"> 23</v>
      </c>
      <c r="C146">
        <f t="shared" si="9"/>
        <v>1</v>
      </c>
      <c r="D146" t="str">
        <f t="shared" si="10"/>
        <v xml:space="preserve">2016-12-12 </v>
      </c>
      <c r="E146" t="str">
        <f>TEXT(Demand_Data___Hourly_OverviewSearch_1_csv[[#This Row],[Day]],"dddd")</f>
        <v>Sunday</v>
      </c>
      <c r="F146">
        <v>6</v>
      </c>
      <c r="G146">
        <v>29</v>
      </c>
      <c r="H146">
        <v>83</v>
      </c>
      <c r="I146">
        <f>VLOOKUP(Demand_Data___Hourly_OverviewSearch_1_csv[[#This Row],[Date]],Supply_Data___Hourly_DriverActivity_1_csv__3[#All],2,FALSE)</f>
        <v>50</v>
      </c>
      <c r="J146">
        <f>VLOOKUP(Demand_Data___Hourly_OverviewSearch_1_csv[[#This Row],[Date]],Supply_Data___Hourly_DriverActivity_1_csv__3[#All],3,FALSE)</f>
        <v>16</v>
      </c>
      <c r="K146">
        <f>VLOOKUP(Demand_Data___Hourly_OverviewSearch_1_csv[[#This Row],[Date]],Supply_Data___Hourly_DriverActivity_1_csv__3[#All],4,FALSE)</f>
        <v>3</v>
      </c>
      <c r="L146">
        <f>VLOOKUP(Demand_Data___Hourly_OverviewSearch_1_csv[[#This Row],[Date]],Supply_Data___Hourly_DriverActivity_1_csv__3[#All],5,FALSE)</f>
        <v>13</v>
      </c>
      <c r="M146">
        <f>VLOOKUP(Demand_Data___Hourly_OverviewSearch_1_csv[[#This Row],[Date]],Supply_Data___Hourly_DriverActivity_1_csv__3[#All],6,FALSE)</f>
        <v>0.3</v>
      </c>
      <c r="N146">
        <f>VLOOKUP(Demand_Data___Hourly_OverviewSearch_1_csv[[#This Row],[Date]],Supply_Data___Hourly_DriverActivity_1_csv__3[#All],7,FALSE)</f>
        <v>0.81</v>
      </c>
      <c r="O146">
        <f>VLOOKUP(Demand_Data___Hourly_OverviewSearch_1_csv[[#This Row],[Date]],Supply_Data___Hourly_DriverActivity_1_csv__3[#All],8,FALSE)</f>
        <v>13</v>
      </c>
      <c r="P146">
        <f>(Demand_Data___Hourly_OverviewSearch_1_csv[[#This Row],[People saw 0 cars (unique)]]+Demand_Data___Hourly_OverviewSearch_1_csv[[#This Row],[People saw +1 cars (unique)]])</f>
        <v>35</v>
      </c>
      <c r="Q146" s="143">
        <f t="shared" si="11"/>
        <v>13</v>
      </c>
    </row>
    <row r="147" spans="1:17" x14ac:dyDescent="0.3">
      <c r="A147" t="s">
        <v>153</v>
      </c>
      <c r="B147" t="str">
        <f t="shared" si="8"/>
        <v xml:space="preserve"> 22</v>
      </c>
      <c r="C147">
        <f t="shared" si="9"/>
        <v>1</v>
      </c>
      <c r="D147" t="str">
        <f t="shared" si="10"/>
        <v xml:space="preserve">2016-12-12 </v>
      </c>
      <c r="E147" t="str">
        <f>TEXT(Demand_Data___Hourly_OverviewSearch_1_csv[[#This Row],[Day]],"dddd")</f>
        <v>Sunday</v>
      </c>
      <c r="F147">
        <v>12</v>
      </c>
      <c r="G147">
        <v>41</v>
      </c>
      <c r="H147">
        <v>77</v>
      </c>
      <c r="I147">
        <f>VLOOKUP(Demand_Data___Hourly_OverviewSearch_1_csv[[#This Row],[Date]],Supply_Data___Hourly_DriverActivity_1_csv__3[#All],2,FALSE)</f>
        <v>59</v>
      </c>
      <c r="J147">
        <f>VLOOKUP(Demand_Data___Hourly_OverviewSearch_1_csv[[#This Row],[Date]],Supply_Data___Hourly_DriverActivity_1_csv__3[#All],3,FALSE)</f>
        <v>24</v>
      </c>
      <c r="K147">
        <f>VLOOKUP(Demand_Data___Hourly_OverviewSearch_1_csv[[#This Row],[Date]],Supply_Data___Hourly_DriverActivity_1_csv__3[#All],4,FALSE)</f>
        <v>9</v>
      </c>
      <c r="L147">
        <f>VLOOKUP(Demand_Data___Hourly_OverviewSearch_1_csv[[#This Row],[Date]],Supply_Data___Hourly_DriverActivity_1_csv__3[#All],5,FALSE)</f>
        <v>16</v>
      </c>
      <c r="M147">
        <f>VLOOKUP(Demand_Data___Hourly_OverviewSearch_1_csv[[#This Row],[Date]],Supply_Data___Hourly_DriverActivity_1_csv__3[#All],6,FALSE)</f>
        <v>0.4</v>
      </c>
      <c r="N147">
        <f>VLOOKUP(Demand_Data___Hourly_OverviewSearch_1_csv[[#This Row],[Date]],Supply_Data___Hourly_DriverActivity_1_csv__3[#All],7,FALSE)</f>
        <v>0.79</v>
      </c>
      <c r="O147">
        <f>VLOOKUP(Demand_Data___Hourly_OverviewSearch_1_csv[[#This Row],[Date]],Supply_Data___Hourly_DriverActivity_1_csv__3[#All],8,FALSE)</f>
        <v>19</v>
      </c>
      <c r="P147">
        <f>(Demand_Data___Hourly_OverviewSearch_1_csv[[#This Row],[People saw 0 cars (unique)]]+Demand_Data___Hourly_OverviewSearch_1_csv[[#This Row],[People saw +1 cars (unique)]])</f>
        <v>53</v>
      </c>
      <c r="Q147" s="143">
        <f t="shared" si="11"/>
        <v>15</v>
      </c>
    </row>
    <row r="148" spans="1:17" x14ac:dyDescent="0.3">
      <c r="A148" t="s">
        <v>154</v>
      </c>
      <c r="B148" t="str">
        <f t="shared" si="8"/>
        <v xml:space="preserve"> 21</v>
      </c>
      <c r="C148">
        <f t="shared" si="9"/>
        <v>1</v>
      </c>
      <c r="D148" t="str">
        <f t="shared" si="10"/>
        <v xml:space="preserve">2016-12-12 </v>
      </c>
      <c r="E148" t="str">
        <f>TEXT(Demand_Data___Hourly_OverviewSearch_1_csv[[#This Row],[Day]],"dddd")</f>
        <v>Sunday</v>
      </c>
      <c r="F148">
        <v>17</v>
      </c>
      <c r="G148">
        <v>33</v>
      </c>
      <c r="H148">
        <v>66</v>
      </c>
      <c r="I148">
        <f>VLOOKUP(Demand_Data___Hourly_OverviewSearch_1_csv[[#This Row],[Date]],Supply_Data___Hourly_DriverActivity_1_csv__3[#All],2,FALSE)</f>
        <v>73</v>
      </c>
      <c r="J148">
        <f>VLOOKUP(Demand_Data___Hourly_OverviewSearch_1_csv[[#This Row],[Date]],Supply_Data___Hourly_DriverActivity_1_csv__3[#All],3,FALSE)</f>
        <v>24</v>
      </c>
      <c r="K148">
        <f>VLOOKUP(Demand_Data___Hourly_OverviewSearch_1_csv[[#This Row],[Date]],Supply_Data___Hourly_DriverActivity_1_csv__3[#All],4,FALSE)</f>
        <v>5</v>
      </c>
      <c r="L148">
        <f>VLOOKUP(Demand_Data___Hourly_OverviewSearch_1_csv[[#This Row],[Date]],Supply_Data___Hourly_DriverActivity_1_csv__3[#All],5,FALSE)</f>
        <v>19</v>
      </c>
      <c r="M148">
        <f>VLOOKUP(Demand_Data___Hourly_OverviewSearch_1_csv[[#This Row],[Date]],Supply_Data___Hourly_DriverActivity_1_csv__3[#All],6,FALSE)</f>
        <v>0.3</v>
      </c>
      <c r="N148">
        <f>VLOOKUP(Demand_Data___Hourly_OverviewSearch_1_csv[[#This Row],[Date]],Supply_Data___Hourly_DriverActivity_1_csv__3[#All],7,FALSE)</f>
        <v>0.67</v>
      </c>
      <c r="O148">
        <f>VLOOKUP(Demand_Data___Hourly_OverviewSearch_1_csv[[#This Row],[Date]],Supply_Data___Hourly_DriverActivity_1_csv__3[#All],8,FALSE)</f>
        <v>16</v>
      </c>
      <c r="P148">
        <f>(Demand_Data___Hourly_OverviewSearch_1_csv[[#This Row],[People saw 0 cars (unique)]]+Demand_Data___Hourly_OverviewSearch_1_csv[[#This Row],[People saw +1 cars (unique)]])</f>
        <v>50</v>
      </c>
      <c r="Q148" s="143">
        <f t="shared" si="11"/>
        <v>19</v>
      </c>
    </row>
    <row r="149" spans="1:17" x14ac:dyDescent="0.3">
      <c r="A149" t="s">
        <v>155</v>
      </c>
      <c r="B149" t="str">
        <f t="shared" si="8"/>
        <v xml:space="preserve"> 20</v>
      </c>
      <c r="C149">
        <f t="shared" si="9"/>
        <v>1</v>
      </c>
      <c r="D149" t="str">
        <f t="shared" si="10"/>
        <v xml:space="preserve">2016-12-12 </v>
      </c>
      <c r="E149" t="str">
        <f>TEXT(Demand_Data___Hourly_OverviewSearch_1_csv[[#This Row],[Day]],"dddd")</f>
        <v>Sunday</v>
      </c>
      <c r="F149">
        <v>1</v>
      </c>
      <c r="G149">
        <v>45</v>
      </c>
      <c r="H149">
        <v>98</v>
      </c>
      <c r="I149">
        <f>VLOOKUP(Demand_Data___Hourly_OverviewSearch_1_csv[[#This Row],[Date]],Supply_Data___Hourly_DriverActivity_1_csv__3[#All],2,FALSE)</f>
        <v>76</v>
      </c>
      <c r="J149">
        <f>VLOOKUP(Demand_Data___Hourly_OverviewSearch_1_csv[[#This Row],[Date]],Supply_Data___Hourly_DriverActivity_1_csv__3[#All],3,FALSE)</f>
        <v>33</v>
      </c>
      <c r="K149">
        <f>VLOOKUP(Demand_Data___Hourly_OverviewSearch_1_csv[[#This Row],[Date]],Supply_Data___Hourly_DriverActivity_1_csv__3[#All],4,FALSE)</f>
        <v>6</v>
      </c>
      <c r="L149">
        <f>VLOOKUP(Demand_Data___Hourly_OverviewSearch_1_csv[[#This Row],[Date]],Supply_Data___Hourly_DriverActivity_1_csv__3[#All],5,FALSE)</f>
        <v>27</v>
      </c>
      <c r="M149">
        <f>VLOOKUP(Demand_Data___Hourly_OverviewSearch_1_csv[[#This Row],[Date]],Supply_Data___Hourly_DriverActivity_1_csv__3[#All],6,FALSE)</f>
        <v>0.4</v>
      </c>
      <c r="N149">
        <f>VLOOKUP(Demand_Data___Hourly_OverviewSearch_1_csv[[#This Row],[Date]],Supply_Data___Hourly_DriverActivity_1_csv__3[#All],7,FALSE)</f>
        <v>0.39</v>
      </c>
      <c r="O149">
        <f>VLOOKUP(Demand_Data___Hourly_OverviewSearch_1_csv[[#This Row],[Date]],Supply_Data___Hourly_DriverActivity_1_csv__3[#All],8,FALSE)</f>
        <v>13</v>
      </c>
      <c r="P149">
        <f>(Demand_Data___Hourly_OverviewSearch_1_csv[[#This Row],[People saw 0 cars (unique)]]+Demand_Data___Hourly_OverviewSearch_1_csv[[#This Row],[People saw +1 cars (unique)]])</f>
        <v>46</v>
      </c>
      <c r="Q149" s="143">
        <f t="shared" si="11"/>
        <v>27</v>
      </c>
    </row>
    <row r="150" spans="1:17" x14ac:dyDescent="0.3">
      <c r="A150" t="s">
        <v>156</v>
      </c>
      <c r="B150" t="str">
        <f t="shared" si="8"/>
        <v xml:space="preserve"> 19</v>
      </c>
      <c r="C150">
        <f t="shared" si="9"/>
        <v>1</v>
      </c>
      <c r="D150" t="str">
        <f t="shared" si="10"/>
        <v xml:space="preserve">2016-12-12 </v>
      </c>
      <c r="E150" t="str">
        <f>TEXT(Demand_Data___Hourly_OverviewSearch_1_csv[[#This Row],[Day]],"dddd")</f>
        <v>Sunday</v>
      </c>
      <c r="F150">
        <v>12</v>
      </c>
      <c r="G150">
        <v>52</v>
      </c>
      <c r="H150">
        <v>81</v>
      </c>
      <c r="I150">
        <f>VLOOKUP(Demand_Data___Hourly_OverviewSearch_1_csv[[#This Row],[Date]],Supply_Data___Hourly_DriverActivity_1_csv__3[#All],2,FALSE)</f>
        <v>90</v>
      </c>
      <c r="J150">
        <f>VLOOKUP(Demand_Data___Hourly_OverviewSearch_1_csv[[#This Row],[Date]],Supply_Data___Hourly_DriverActivity_1_csv__3[#All],3,FALSE)</f>
        <v>32</v>
      </c>
      <c r="K150">
        <f>VLOOKUP(Demand_Data___Hourly_OverviewSearch_1_csv[[#This Row],[Date]],Supply_Data___Hourly_DriverActivity_1_csv__3[#All],4,FALSE)</f>
        <v>13</v>
      </c>
      <c r="L150">
        <f>VLOOKUP(Demand_Data___Hourly_OverviewSearch_1_csv[[#This Row],[Date]],Supply_Data___Hourly_DriverActivity_1_csv__3[#All],5,FALSE)</f>
        <v>19</v>
      </c>
      <c r="M150">
        <f>VLOOKUP(Demand_Data___Hourly_OverviewSearch_1_csv[[#This Row],[Date]],Supply_Data___Hourly_DriverActivity_1_csv__3[#All],6,FALSE)</f>
        <v>0.4</v>
      </c>
      <c r="N150">
        <f>VLOOKUP(Demand_Data___Hourly_OverviewSearch_1_csv[[#This Row],[Date]],Supply_Data___Hourly_DriverActivity_1_csv__3[#All],7,FALSE)</f>
        <v>0.81</v>
      </c>
      <c r="O150">
        <f>VLOOKUP(Demand_Data___Hourly_OverviewSearch_1_csv[[#This Row],[Date]],Supply_Data___Hourly_DriverActivity_1_csv__3[#All],8,FALSE)</f>
        <v>26</v>
      </c>
      <c r="P150">
        <f>(Demand_Data___Hourly_OverviewSearch_1_csv[[#This Row],[People saw 0 cars (unique)]]+Demand_Data___Hourly_OverviewSearch_1_csv[[#This Row],[People saw +1 cars (unique)]])</f>
        <v>64</v>
      </c>
      <c r="Q150" s="143">
        <f t="shared" si="11"/>
        <v>19</v>
      </c>
    </row>
    <row r="151" spans="1:17" x14ac:dyDescent="0.3">
      <c r="A151" t="s">
        <v>157</v>
      </c>
      <c r="B151" t="str">
        <f t="shared" si="8"/>
        <v xml:space="preserve"> 18</v>
      </c>
      <c r="C151">
        <f t="shared" si="9"/>
        <v>1</v>
      </c>
      <c r="D151" t="str">
        <f t="shared" si="10"/>
        <v xml:space="preserve">2016-12-12 </v>
      </c>
      <c r="E151" t="str">
        <f>TEXT(Demand_Data___Hourly_OverviewSearch_1_csv[[#This Row],[Day]],"dddd")</f>
        <v>Sunday</v>
      </c>
      <c r="F151">
        <v>9</v>
      </c>
      <c r="G151">
        <v>52</v>
      </c>
      <c r="H151">
        <v>85</v>
      </c>
      <c r="I151">
        <f>VLOOKUP(Demand_Data___Hourly_OverviewSearch_1_csv[[#This Row],[Date]],Supply_Data___Hourly_DriverActivity_1_csv__3[#All],2,FALSE)</f>
        <v>78</v>
      </c>
      <c r="J151">
        <f>VLOOKUP(Demand_Data___Hourly_OverviewSearch_1_csv[[#This Row],[Date]],Supply_Data___Hourly_DriverActivity_1_csv__3[#All],3,FALSE)</f>
        <v>30</v>
      </c>
      <c r="K151">
        <f>VLOOKUP(Demand_Data___Hourly_OverviewSearch_1_csv[[#This Row],[Date]],Supply_Data___Hourly_DriverActivity_1_csv__3[#All],4,FALSE)</f>
        <v>15</v>
      </c>
      <c r="L151">
        <f>VLOOKUP(Demand_Data___Hourly_OverviewSearch_1_csv[[#This Row],[Date]],Supply_Data___Hourly_DriverActivity_1_csv__3[#All],5,FALSE)</f>
        <v>15</v>
      </c>
      <c r="M151">
        <f>VLOOKUP(Demand_Data___Hourly_OverviewSearch_1_csv[[#This Row],[Date]],Supply_Data___Hourly_DriverActivity_1_csv__3[#All],6,FALSE)</f>
        <v>0.4</v>
      </c>
      <c r="N151">
        <f>VLOOKUP(Demand_Data___Hourly_OverviewSearch_1_csv[[#This Row],[Date]],Supply_Data___Hourly_DriverActivity_1_csv__3[#All],7,FALSE)</f>
        <v>0.63</v>
      </c>
      <c r="O151">
        <f>VLOOKUP(Demand_Data___Hourly_OverviewSearch_1_csv[[#This Row],[Date]],Supply_Data___Hourly_DriverActivity_1_csv__3[#All],8,FALSE)</f>
        <v>19</v>
      </c>
      <c r="P151">
        <f>(Demand_Data___Hourly_OverviewSearch_1_csv[[#This Row],[People saw 0 cars (unique)]]+Demand_Data___Hourly_OverviewSearch_1_csv[[#This Row],[People saw +1 cars (unique)]])</f>
        <v>61</v>
      </c>
      <c r="Q151" s="143">
        <f t="shared" si="11"/>
        <v>15</v>
      </c>
    </row>
    <row r="152" spans="1:17" x14ac:dyDescent="0.3">
      <c r="A152" t="s">
        <v>158</v>
      </c>
      <c r="B152" t="str">
        <f t="shared" si="8"/>
        <v xml:space="preserve"> 17</v>
      </c>
      <c r="C152">
        <f t="shared" si="9"/>
        <v>1</v>
      </c>
      <c r="D152" t="str">
        <f t="shared" si="10"/>
        <v xml:space="preserve">2016-12-12 </v>
      </c>
      <c r="E152" t="str">
        <f>TEXT(Demand_Data___Hourly_OverviewSearch_1_csv[[#This Row],[Day]],"dddd")</f>
        <v>Sunday</v>
      </c>
      <c r="F152">
        <v>9</v>
      </c>
      <c r="G152">
        <v>46</v>
      </c>
      <c r="H152">
        <v>84</v>
      </c>
      <c r="I152">
        <f>VLOOKUP(Demand_Data___Hourly_OverviewSearch_1_csv[[#This Row],[Date]],Supply_Data___Hourly_DriverActivity_1_csv__3[#All],2,FALSE)</f>
        <v>83</v>
      </c>
      <c r="J152">
        <f>VLOOKUP(Demand_Data___Hourly_OverviewSearch_1_csv[[#This Row],[Date]],Supply_Data___Hourly_DriverActivity_1_csv__3[#All],3,FALSE)</f>
        <v>34</v>
      </c>
      <c r="K152">
        <f>VLOOKUP(Demand_Data___Hourly_OverviewSearch_1_csv[[#This Row],[Date]],Supply_Data___Hourly_DriverActivity_1_csv__3[#All],4,FALSE)</f>
        <v>7</v>
      </c>
      <c r="L152">
        <f>VLOOKUP(Demand_Data___Hourly_OverviewSearch_1_csv[[#This Row],[Date]],Supply_Data___Hourly_DriverActivity_1_csv__3[#All],5,FALSE)</f>
        <v>27</v>
      </c>
      <c r="M152">
        <f>VLOOKUP(Demand_Data___Hourly_OverviewSearch_1_csv[[#This Row],[Date]],Supply_Data___Hourly_DriverActivity_1_csv__3[#All],6,FALSE)</f>
        <v>0.4</v>
      </c>
      <c r="N152">
        <f>VLOOKUP(Demand_Data___Hourly_OverviewSearch_1_csv[[#This Row],[Date]],Supply_Data___Hourly_DriverActivity_1_csv__3[#All],7,FALSE)</f>
        <v>0.59</v>
      </c>
      <c r="O152">
        <f>VLOOKUP(Demand_Data___Hourly_OverviewSearch_1_csv[[#This Row],[Date]],Supply_Data___Hourly_DriverActivity_1_csv__3[#All],8,FALSE)</f>
        <v>20</v>
      </c>
      <c r="P152">
        <f>(Demand_Data___Hourly_OverviewSearch_1_csv[[#This Row],[People saw 0 cars (unique)]]+Demand_Data___Hourly_OverviewSearch_1_csv[[#This Row],[People saw +1 cars (unique)]])</f>
        <v>55</v>
      </c>
      <c r="Q152" s="143">
        <f t="shared" si="11"/>
        <v>27</v>
      </c>
    </row>
    <row r="153" spans="1:17" x14ac:dyDescent="0.3">
      <c r="A153" t="s">
        <v>159</v>
      </c>
      <c r="B153" t="str">
        <f t="shared" si="8"/>
        <v xml:space="preserve"> 16</v>
      </c>
      <c r="C153">
        <f t="shared" si="9"/>
        <v>1</v>
      </c>
      <c r="D153" t="str">
        <f t="shared" si="10"/>
        <v xml:space="preserve">2016-12-12 </v>
      </c>
      <c r="E153" t="str">
        <f>TEXT(Demand_Data___Hourly_OverviewSearch_1_csv[[#This Row],[Day]],"dddd")</f>
        <v>Sunday</v>
      </c>
      <c r="F153">
        <v>8</v>
      </c>
      <c r="G153">
        <v>30</v>
      </c>
      <c r="H153">
        <v>79</v>
      </c>
      <c r="I153">
        <f>VLOOKUP(Demand_Data___Hourly_OverviewSearch_1_csv[[#This Row],[Date]],Supply_Data___Hourly_DriverActivity_1_csv__3[#All],2,FALSE)</f>
        <v>80</v>
      </c>
      <c r="J153">
        <f>VLOOKUP(Demand_Data___Hourly_OverviewSearch_1_csv[[#This Row],[Date]],Supply_Data___Hourly_DriverActivity_1_csv__3[#All],3,FALSE)</f>
        <v>22</v>
      </c>
      <c r="K153">
        <f>VLOOKUP(Demand_Data___Hourly_OverviewSearch_1_csv[[#This Row],[Date]],Supply_Data___Hourly_DriverActivity_1_csv__3[#All],4,FALSE)</f>
        <v>6</v>
      </c>
      <c r="L153">
        <f>VLOOKUP(Demand_Data___Hourly_OverviewSearch_1_csv[[#This Row],[Date]],Supply_Data___Hourly_DriverActivity_1_csv__3[#All],5,FALSE)</f>
        <v>17</v>
      </c>
      <c r="M153">
        <f>VLOOKUP(Demand_Data___Hourly_OverviewSearch_1_csv[[#This Row],[Date]],Supply_Data___Hourly_DriverActivity_1_csv__3[#All],6,FALSE)</f>
        <v>0.3</v>
      </c>
      <c r="N153">
        <f>VLOOKUP(Demand_Data___Hourly_OverviewSearch_1_csv[[#This Row],[Date]],Supply_Data___Hourly_DriverActivity_1_csv__3[#All],7,FALSE)</f>
        <v>0.64</v>
      </c>
      <c r="O153">
        <f>VLOOKUP(Demand_Data___Hourly_OverviewSearch_1_csv[[#This Row],[Date]],Supply_Data___Hourly_DriverActivity_1_csv__3[#All],8,FALSE)</f>
        <v>14</v>
      </c>
      <c r="P153">
        <f>(Demand_Data___Hourly_OverviewSearch_1_csv[[#This Row],[People saw 0 cars (unique)]]+Demand_Data___Hourly_OverviewSearch_1_csv[[#This Row],[People saw +1 cars (unique)]])</f>
        <v>38</v>
      </c>
      <c r="Q153" s="143">
        <f t="shared" si="11"/>
        <v>16</v>
      </c>
    </row>
    <row r="154" spans="1:17" x14ac:dyDescent="0.3">
      <c r="A154" t="s">
        <v>160</v>
      </c>
      <c r="B154" t="str">
        <f t="shared" si="8"/>
        <v xml:space="preserve"> 15</v>
      </c>
      <c r="C154">
        <f t="shared" si="9"/>
        <v>1</v>
      </c>
      <c r="D154" t="str">
        <f t="shared" si="10"/>
        <v xml:space="preserve">2016-12-12 </v>
      </c>
      <c r="E154" t="str">
        <f>TEXT(Demand_Data___Hourly_OverviewSearch_1_csv[[#This Row],[Day]],"dddd")</f>
        <v>Sunday</v>
      </c>
      <c r="F154">
        <v>5</v>
      </c>
      <c r="G154">
        <v>17</v>
      </c>
      <c r="H154">
        <v>77</v>
      </c>
      <c r="I154">
        <f>VLOOKUP(Demand_Data___Hourly_OverviewSearch_1_csv[[#This Row],[Date]],Supply_Data___Hourly_DriverActivity_1_csv__3[#All],2,FALSE)</f>
        <v>67</v>
      </c>
      <c r="J154">
        <f>VLOOKUP(Demand_Data___Hourly_OverviewSearch_1_csv[[#This Row],[Date]],Supply_Data___Hourly_DriverActivity_1_csv__3[#All],3,FALSE)</f>
        <v>21</v>
      </c>
      <c r="K154">
        <f>VLOOKUP(Demand_Data___Hourly_OverviewSearch_1_csv[[#This Row],[Date]],Supply_Data___Hourly_DriverActivity_1_csv__3[#All],4,FALSE)</f>
        <v>2</v>
      </c>
      <c r="L154">
        <f>VLOOKUP(Demand_Data___Hourly_OverviewSearch_1_csv[[#This Row],[Date]],Supply_Data___Hourly_DriverActivity_1_csv__3[#All],5,FALSE)</f>
        <v>19</v>
      </c>
      <c r="M154">
        <f>VLOOKUP(Demand_Data___Hourly_OverviewSearch_1_csv[[#This Row],[Date]],Supply_Data___Hourly_DriverActivity_1_csv__3[#All],6,FALSE)</f>
        <v>0.3</v>
      </c>
      <c r="N154">
        <f>VLOOKUP(Demand_Data___Hourly_OverviewSearch_1_csv[[#This Row],[Date]],Supply_Data___Hourly_DriverActivity_1_csv__3[#All],7,FALSE)</f>
        <v>0.28999999999999998</v>
      </c>
      <c r="O154">
        <f>VLOOKUP(Demand_Data___Hourly_OverviewSearch_1_csv[[#This Row],[Date]],Supply_Data___Hourly_DriverActivity_1_csv__3[#All],8,FALSE)</f>
        <v>6</v>
      </c>
      <c r="P154">
        <f>(Demand_Data___Hourly_OverviewSearch_1_csv[[#This Row],[People saw 0 cars (unique)]]+Demand_Data___Hourly_OverviewSearch_1_csv[[#This Row],[People saw +1 cars (unique)]])</f>
        <v>22</v>
      </c>
      <c r="Q154" s="143">
        <f t="shared" si="11"/>
        <v>19</v>
      </c>
    </row>
    <row r="155" spans="1:17" x14ac:dyDescent="0.3">
      <c r="A155" t="s">
        <v>161</v>
      </c>
      <c r="B155" t="str">
        <f t="shared" si="8"/>
        <v xml:space="preserve"> 14</v>
      </c>
      <c r="C155">
        <f t="shared" si="9"/>
        <v>1</v>
      </c>
      <c r="D155" t="str">
        <f t="shared" si="10"/>
        <v xml:space="preserve">2016-12-12 </v>
      </c>
      <c r="E155" t="str">
        <f>TEXT(Demand_Data___Hourly_OverviewSearch_1_csv[[#This Row],[Day]],"dddd")</f>
        <v>Sunday</v>
      </c>
      <c r="F155">
        <v>4</v>
      </c>
      <c r="G155">
        <v>24</v>
      </c>
      <c r="H155">
        <v>86</v>
      </c>
      <c r="I155">
        <f>VLOOKUP(Demand_Data___Hourly_OverviewSearch_1_csv[[#This Row],[Date]],Supply_Data___Hourly_DriverActivity_1_csv__3[#All],2,FALSE)</f>
        <v>62</v>
      </c>
      <c r="J155">
        <f>VLOOKUP(Demand_Data___Hourly_OverviewSearch_1_csv[[#This Row],[Date]],Supply_Data___Hourly_DriverActivity_1_csv__3[#All],3,FALSE)</f>
        <v>21</v>
      </c>
      <c r="K155">
        <f>VLOOKUP(Demand_Data___Hourly_OverviewSearch_1_csv[[#This Row],[Date]],Supply_Data___Hourly_DriverActivity_1_csv__3[#All],4,FALSE)</f>
        <v>4</v>
      </c>
      <c r="L155">
        <f>VLOOKUP(Demand_Data___Hourly_OverviewSearch_1_csv[[#This Row],[Date]],Supply_Data___Hourly_DriverActivity_1_csv__3[#All],5,FALSE)</f>
        <v>17</v>
      </c>
      <c r="M155">
        <f>VLOOKUP(Demand_Data___Hourly_OverviewSearch_1_csv[[#This Row],[Date]],Supply_Data___Hourly_DriverActivity_1_csv__3[#All],6,FALSE)</f>
        <v>0.3</v>
      </c>
      <c r="N155">
        <f>VLOOKUP(Demand_Data___Hourly_OverviewSearch_1_csv[[#This Row],[Date]],Supply_Data___Hourly_DriverActivity_1_csv__3[#All],7,FALSE)</f>
        <v>0.43</v>
      </c>
      <c r="O155">
        <f>VLOOKUP(Demand_Data___Hourly_OverviewSearch_1_csv[[#This Row],[Date]],Supply_Data___Hourly_DriverActivity_1_csv__3[#All],8,FALSE)</f>
        <v>9</v>
      </c>
      <c r="P155">
        <f>(Demand_Data___Hourly_OverviewSearch_1_csv[[#This Row],[People saw 0 cars (unique)]]+Demand_Data___Hourly_OverviewSearch_1_csv[[#This Row],[People saw +1 cars (unique)]])</f>
        <v>28</v>
      </c>
      <c r="Q155" s="143">
        <f t="shared" si="11"/>
        <v>17</v>
      </c>
    </row>
    <row r="156" spans="1:17" x14ac:dyDescent="0.3">
      <c r="A156" t="s">
        <v>162</v>
      </c>
      <c r="B156" t="str">
        <f t="shared" si="8"/>
        <v xml:space="preserve"> 13</v>
      </c>
      <c r="C156">
        <f t="shared" si="9"/>
        <v>1</v>
      </c>
      <c r="D156" t="str">
        <f t="shared" si="10"/>
        <v xml:space="preserve">2016-12-12 </v>
      </c>
      <c r="E156" t="str">
        <f>TEXT(Demand_Data___Hourly_OverviewSearch_1_csv[[#This Row],[Day]],"dddd")</f>
        <v>Sunday</v>
      </c>
      <c r="F156">
        <v>8</v>
      </c>
      <c r="G156">
        <v>26</v>
      </c>
      <c r="H156">
        <v>76</v>
      </c>
      <c r="I156">
        <f>VLOOKUP(Demand_Data___Hourly_OverviewSearch_1_csv[[#This Row],[Date]],Supply_Data___Hourly_DriverActivity_1_csv__3[#All],2,FALSE)</f>
        <v>63</v>
      </c>
      <c r="J156">
        <f>VLOOKUP(Demand_Data___Hourly_OverviewSearch_1_csv[[#This Row],[Date]],Supply_Data___Hourly_DriverActivity_1_csv__3[#All],3,FALSE)</f>
        <v>18</v>
      </c>
      <c r="K156">
        <f>VLOOKUP(Demand_Data___Hourly_OverviewSearch_1_csv[[#This Row],[Date]],Supply_Data___Hourly_DriverActivity_1_csv__3[#All],4,FALSE)</f>
        <v>4</v>
      </c>
      <c r="L156">
        <f>VLOOKUP(Demand_Data___Hourly_OverviewSearch_1_csv[[#This Row],[Date]],Supply_Data___Hourly_DriverActivity_1_csv__3[#All],5,FALSE)</f>
        <v>14</v>
      </c>
      <c r="M156">
        <f>VLOOKUP(Demand_Data___Hourly_OverviewSearch_1_csv[[#This Row],[Date]],Supply_Data___Hourly_DriverActivity_1_csv__3[#All],6,FALSE)</f>
        <v>0.3</v>
      </c>
      <c r="N156">
        <f>VLOOKUP(Demand_Data___Hourly_OverviewSearch_1_csv[[#This Row],[Date]],Supply_Data___Hourly_DriverActivity_1_csv__3[#All],7,FALSE)</f>
        <v>0.44</v>
      </c>
      <c r="O156">
        <f>VLOOKUP(Demand_Data___Hourly_OverviewSearch_1_csv[[#This Row],[Date]],Supply_Data___Hourly_DriverActivity_1_csv__3[#All],8,FALSE)</f>
        <v>8</v>
      </c>
      <c r="P156">
        <f>(Demand_Data___Hourly_OverviewSearch_1_csv[[#This Row],[People saw 0 cars (unique)]]+Demand_Data___Hourly_OverviewSearch_1_csv[[#This Row],[People saw +1 cars (unique)]])</f>
        <v>34</v>
      </c>
      <c r="Q156" s="143">
        <f t="shared" si="11"/>
        <v>14</v>
      </c>
    </row>
    <row r="157" spans="1:17" x14ac:dyDescent="0.3">
      <c r="A157" t="s">
        <v>163</v>
      </c>
      <c r="B157" t="str">
        <f t="shared" si="8"/>
        <v xml:space="preserve"> 12</v>
      </c>
      <c r="C157">
        <f t="shared" si="9"/>
        <v>1</v>
      </c>
      <c r="D157" t="str">
        <f t="shared" si="10"/>
        <v xml:space="preserve">2016-12-12 </v>
      </c>
      <c r="E157" t="str">
        <f>TEXT(Demand_Data___Hourly_OverviewSearch_1_csv[[#This Row],[Day]],"dddd")</f>
        <v>Sunday</v>
      </c>
      <c r="F157">
        <v>4</v>
      </c>
      <c r="G157">
        <v>27</v>
      </c>
      <c r="H157">
        <v>87</v>
      </c>
      <c r="I157">
        <f>VLOOKUP(Demand_Data___Hourly_OverviewSearch_1_csv[[#This Row],[Date]],Supply_Data___Hourly_DriverActivity_1_csv__3[#All],2,FALSE)</f>
        <v>62</v>
      </c>
      <c r="J157">
        <f>VLOOKUP(Demand_Data___Hourly_OverviewSearch_1_csv[[#This Row],[Date]],Supply_Data___Hourly_DriverActivity_1_csv__3[#All],3,FALSE)</f>
        <v>19</v>
      </c>
      <c r="K157">
        <f>VLOOKUP(Demand_Data___Hourly_OverviewSearch_1_csv[[#This Row],[Date]],Supply_Data___Hourly_DriverActivity_1_csv__3[#All],4,FALSE)</f>
        <v>5</v>
      </c>
      <c r="L157">
        <f>VLOOKUP(Demand_Data___Hourly_OverviewSearch_1_csv[[#This Row],[Date]],Supply_Data___Hourly_DriverActivity_1_csv__3[#All],5,FALSE)</f>
        <v>14</v>
      </c>
      <c r="M157">
        <f>VLOOKUP(Demand_Data___Hourly_OverviewSearch_1_csv[[#This Row],[Date]],Supply_Data___Hourly_DriverActivity_1_csv__3[#All],6,FALSE)</f>
        <v>0.3</v>
      </c>
      <c r="N157">
        <f>VLOOKUP(Demand_Data___Hourly_OverviewSearch_1_csv[[#This Row],[Date]],Supply_Data___Hourly_DriverActivity_1_csv__3[#All],7,FALSE)</f>
        <v>0.47</v>
      </c>
      <c r="O157">
        <f>VLOOKUP(Demand_Data___Hourly_OverviewSearch_1_csv[[#This Row],[Date]],Supply_Data___Hourly_DriverActivity_1_csv__3[#All],8,FALSE)</f>
        <v>9</v>
      </c>
      <c r="P157">
        <f>(Demand_Data___Hourly_OverviewSearch_1_csv[[#This Row],[People saw 0 cars (unique)]]+Demand_Data___Hourly_OverviewSearch_1_csv[[#This Row],[People saw +1 cars (unique)]])</f>
        <v>31</v>
      </c>
      <c r="Q157" s="143">
        <f t="shared" si="11"/>
        <v>14</v>
      </c>
    </row>
    <row r="158" spans="1:17" x14ac:dyDescent="0.3">
      <c r="A158" t="s">
        <v>164</v>
      </c>
      <c r="B158" t="str">
        <f t="shared" si="8"/>
        <v xml:space="preserve"> 11</v>
      </c>
      <c r="C158">
        <f t="shared" si="9"/>
        <v>1</v>
      </c>
      <c r="D158" t="str">
        <f t="shared" si="10"/>
        <v xml:space="preserve">2016-12-12 </v>
      </c>
      <c r="E158" t="str">
        <f>TEXT(Demand_Data___Hourly_OverviewSearch_1_csv[[#This Row],[Day]],"dddd")</f>
        <v>Sunday</v>
      </c>
      <c r="F158">
        <v>4</v>
      </c>
      <c r="G158">
        <v>30</v>
      </c>
      <c r="H158">
        <v>88</v>
      </c>
      <c r="I158">
        <f>VLOOKUP(Demand_Data___Hourly_OverviewSearch_1_csv[[#This Row],[Date]],Supply_Data___Hourly_DriverActivity_1_csv__3[#All],2,FALSE)</f>
        <v>65</v>
      </c>
      <c r="J158">
        <f>VLOOKUP(Demand_Data___Hourly_OverviewSearch_1_csv[[#This Row],[Date]],Supply_Data___Hourly_DriverActivity_1_csv__3[#All],3,FALSE)</f>
        <v>26</v>
      </c>
      <c r="K158">
        <f>VLOOKUP(Demand_Data___Hourly_OverviewSearch_1_csv[[#This Row],[Date]],Supply_Data___Hourly_DriverActivity_1_csv__3[#All],4,FALSE)</f>
        <v>4</v>
      </c>
      <c r="L158">
        <f>VLOOKUP(Demand_Data___Hourly_OverviewSearch_1_csv[[#This Row],[Date]],Supply_Data___Hourly_DriverActivity_1_csv__3[#All],5,FALSE)</f>
        <v>22</v>
      </c>
      <c r="M158">
        <f>VLOOKUP(Demand_Data___Hourly_OverviewSearch_1_csv[[#This Row],[Date]],Supply_Data___Hourly_DriverActivity_1_csv__3[#All],6,FALSE)</f>
        <v>0.4</v>
      </c>
      <c r="N158">
        <f>VLOOKUP(Demand_Data___Hourly_OverviewSearch_1_csv[[#This Row],[Date]],Supply_Data___Hourly_DriverActivity_1_csv__3[#All],7,FALSE)</f>
        <v>0.42</v>
      </c>
      <c r="O158">
        <f>VLOOKUP(Demand_Data___Hourly_OverviewSearch_1_csv[[#This Row],[Date]],Supply_Data___Hourly_DriverActivity_1_csv__3[#All],8,FALSE)</f>
        <v>11</v>
      </c>
      <c r="P158">
        <f>(Demand_Data___Hourly_OverviewSearch_1_csv[[#This Row],[People saw 0 cars (unique)]]+Demand_Data___Hourly_OverviewSearch_1_csv[[#This Row],[People saw +1 cars (unique)]])</f>
        <v>34</v>
      </c>
      <c r="Q158" s="143">
        <f t="shared" si="11"/>
        <v>22</v>
      </c>
    </row>
    <row r="159" spans="1:17" x14ac:dyDescent="0.3">
      <c r="A159" t="s">
        <v>165</v>
      </c>
      <c r="B159" t="str">
        <f t="shared" si="8"/>
        <v xml:space="preserve"> 10</v>
      </c>
      <c r="C159">
        <f t="shared" si="9"/>
        <v>1</v>
      </c>
      <c r="D159" t="str">
        <f t="shared" si="10"/>
        <v xml:space="preserve">2016-12-12 </v>
      </c>
      <c r="E159" t="str">
        <f>TEXT(Demand_Data___Hourly_OverviewSearch_1_csv[[#This Row],[Day]],"dddd")</f>
        <v>Sunday</v>
      </c>
      <c r="F159">
        <v>23</v>
      </c>
      <c r="G159">
        <v>36</v>
      </c>
      <c r="H159">
        <v>61</v>
      </c>
      <c r="I159">
        <f>VLOOKUP(Demand_Data___Hourly_OverviewSearch_1_csv[[#This Row],[Date]],Supply_Data___Hourly_DriverActivity_1_csv__3[#All],2,FALSE)</f>
        <v>58</v>
      </c>
      <c r="J159">
        <f>VLOOKUP(Demand_Data___Hourly_OverviewSearch_1_csv[[#This Row],[Date]],Supply_Data___Hourly_DriverActivity_1_csv__3[#All],3,FALSE)</f>
        <v>22</v>
      </c>
      <c r="K159">
        <f>VLOOKUP(Demand_Data___Hourly_OverviewSearch_1_csv[[#This Row],[Date]],Supply_Data___Hourly_DriverActivity_1_csv__3[#All],4,FALSE)</f>
        <v>8</v>
      </c>
      <c r="L159">
        <f>VLOOKUP(Demand_Data___Hourly_OverviewSearch_1_csv[[#This Row],[Date]],Supply_Data___Hourly_DriverActivity_1_csv__3[#All],5,FALSE)</f>
        <v>14</v>
      </c>
      <c r="M159">
        <f>VLOOKUP(Demand_Data___Hourly_OverviewSearch_1_csv[[#This Row],[Date]],Supply_Data___Hourly_DriverActivity_1_csv__3[#All],6,FALSE)</f>
        <v>0.4</v>
      </c>
      <c r="N159">
        <f>VLOOKUP(Demand_Data___Hourly_OverviewSearch_1_csv[[#This Row],[Date]],Supply_Data___Hourly_DriverActivity_1_csv__3[#All],7,FALSE)</f>
        <v>0.32</v>
      </c>
      <c r="O159">
        <f>VLOOKUP(Demand_Data___Hourly_OverviewSearch_1_csv[[#This Row],[Date]],Supply_Data___Hourly_DriverActivity_1_csv__3[#All],8,FALSE)</f>
        <v>7</v>
      </c>
      <c r="P159">
        <f>(Demand_Data___Hourly_OverviewSearch_1_csv[[#This Row],[People saw 0 cars (unique)]]+Demand_Data___Hourly_OverviewSearch_1_csv[[#This Row],[People saw +1 cars (unique)]])</f>
        <v>59</v>
      </c>
      <c r="Q159" s="143">
        <f t="shared" si="11"/>
        <v>14</v>
      </c>
    </row>
    <row r="160" spans="1:17" x14ac:dyDescent="0.3">
      <c r="A160" t="s">
        <v>166</v>
      </c>
      <c r="B160" t="str">
        <f t="shared" si="8"/>
        <v xml:space="preserve"> 09</v>
      </c>
      <c r="C160">
        <f t="shared" si="9"/>
        <v>1</v>
      </c>
      <c r="D160" t="str">
        <f t="shared" si="10"/>
        <v xml:space="preserve">2016-12-12 </v>
      </c>
      <c r="E160" t="str">
        <f>TEXT(Demand_Data___Hourly_OverviewSearch_1_csv[[#This Row],[Day]],"dddd")</f>
        <v>Sunday</v>
      </c>
      <c r="F160">
        <v>41</v>
      </c>
      <c r="G160">
        <v>45</v>
      </c>
      <c r="H160">
        <v>52</v>
      </c>
      <c r="I160">
        <f>VLOOKUP(Demand_Data___Hourly_OverviewSearch_1_csv[[#This Row],[Date]],Supply_Data___Hourly_DriverActivity_1_csv__3[#All],2,FALSE)</f>
        <v>56</v>
      </c>
      <c r="J160">
        <f>VLOOKUP(Demand_Data___Hourly_OverviewSearch_1_csv[[#This Row],[Date]],Supply_Data___Hourly_DriverActivity_1_csv__3[#All],3,FALSE)</f>
        <v>19</v>
      </c>
      <c r="K160">
        <f>VLOOKUP(Demand_Data___Hourly_OverviewSearch_1_csv[[#This Row],[Date]],Supply_Data___Hourly_DriverActivity_1_csv__3[#All],4,FALSE)</f>
        <v>13</v>
      </c>
      <c r="L160">
        <f>VLOOKUP(Demand_Data___Hourly_OverviewSearch_1_csv[[#This Row],[Date]],Supply_Data___Hourly_DriverActivity_1_csv__3[#All],5,FALSE)</f>
        <v>6</v>
      </c>
      <c r="M160">
        <f>VLOOKUP(Demand_Data___Hourly_OverviewSearch_1_csv[[#This Row],[Date]],Supply_Data___Hourly_DriverActivity_1_csv__3[#All],6,FALSE)</f>
        <v>0.3</v>
      </c>
      <c r="N160">
        <f>VLOOKUP(Demand_Data___Hourly_OverviewSearch_1_csv[[#This Row],[Date]],Supply_Data___Hourly_DriverActivity_1_csv__3[#All],7,FALSE)</f>
        <v>1.42</v>
      </c>
      <c r="O160">
        <f>VLOOKUP(Demand_Data___Hourly_OverviewSearch_1_csv[[#This Row],[Date]],Supply_Data___Hourly_DriverActivity_1_csv__3[#All],8,FALSE)</f>
        <v>27</v>
      </c>
      <c r="P160">
        <f>(Demand_Data___Hourly_OverviewSearch_1_csv[[#This Row],[People saw 0 cars (unique)]]+Demand_Data___Hourly_OverviewSearch_1_csv[[#This Row],[People saw +1 cars (unique)]])</f>
        <v>86</v>
      </c>
      <c r="Q160" s="143">
        <f t="shared" si="11"/>
        <v>6</v>
      </c>
    </row>
    <row r="161" spans="1:17" x14ac:dyDescent="0.3">
      <c r="A161" t="s">
        <v>167</v>
      </c>
      <c r="B161" t="str">
        <f t="shared" si="8"/>
        <v xml:space="preserve"> 08</v>
      </c>
      <c r="C161">
        <f t="shared" si="9"/>
        <v>1</v>
      </c>
      <c r="D161" t="str">
        <f t="shared" si="10"/>
        <v xml:space="preserve">2016-12-12 </v>
      </c>
      <c r="E161" t="str">
        <f>TEXT(Demand_Data___Hourly_OverviewSearch_1_csv[[#This Row],[Day]],"dddd")</f>
        <v>Sunday</v>
      </c>
      <c r="F161">
        <v>42</v>
      </c>
      <c r="G161">
        <v>29</v>
      </c>
      <c r="H161">
        <v>41</v>
      </c>
      <c r="I161">
        <f>VLOOKUP(Demand_Data___Hourly_OverviewSearch_1_csv[[#This Row],[Date]],Supply_Data___Hourly_DriverActivity_1_csv__3[#All],2,FALSE)</f>
        <v>45</v>
      </c>
      <c r="J161">
        <f>VLOOKUP(Demand_Data___Hourly_OverviewSearch_1_csv[[#This Row],[Date]],Supply_Data___Hourly_DriverActivity_1_csv__3[#All],3,FALSE)</f>
        <v>14</v>
      </c>
      <c r="K161">
        <f>VLOOKUP(Demand_Data___Hourly_OverviewSearch_1_csv[[#This Row],[Date]],Supply_Data___Hourly_DriverActivity_1_csv__3[#All],4,FALSE)</f>
        <v>8</v>
      </c>
      <c r="L161">
        <f>VLOOKUP(Demand_Data___Hourly_OverviewSearch_1_csv[[#This Row],[Date]],Supply_Data___Hourly_DriverActivity_1_csv__3[#All],5,FALSE)</f>
        <v>7</v>
      </c>
      <c r="M161">
        <f>VLOOKUP(Demand_Data___Hourly_OverviewSearch_1_csv[[#This Row],[Date]],Supply_Data___Hourly_DriverActivity_1_csv__3[#All],6,FALSE)</f>
        <v>0.3</v>
      </c>
      <c r="N161">
        <f>VLOOKUP(Demand_Data___Hourly_OverviewSearch_1_csv[[#This Row],[Date]],Supply_Data___Hourly_DriverActivity_1_csv__3[#All],7,FALSE)</f>
        <v>1.29</v>
      </c>
      <c r="O161">
        <f>VLOOKUP(Demand_Data___Hourly_OverviewSearch_1_csv[[#This Row],[Date]],Supply_Data___Hourly_DriverActivity_1_csv__3[#All],8,FALSE)</f>
        <v>18</v>
      </c>
      <c r="P161">
        <f>(Demand_Data___Hourly_OverviewSearch_1_csv[[#This Row],[People saw 0 cars (unique)]]+Demand_Data___Hourly_OverviewSearch_1_csv[[#This Row],[People saw +1 cars (unique)]])</f>
        <v>71</v>
      </c>
      <c r="Q161" s="143">
        <f t="shared" si="11"/>
        <v>6</v>
      </c>
    </row>
    <row r="162" spans="1:17" x14ac:dyDescent="0.3">
      <c r="A162" t="s">
        <v>168</v>
      </c>
      <c r="B162" t="str">
        <f t="shared" si="8"/>
        <v xml:space="preserve"> 07</v>
      </c>
      <c r="C162">
        <f t="shared" si="9"/>
        <v>1</v>
      </c>
      <c r="D162" t="str">
        <f t="shared" si="10"/>
        <v xml:space="preserve">2016-12-12 </v>
      </c>
      <c r="E162" t="str">
        <f>TEXT(Demand_Data___Hourly_OverviewSearch_1_csv[[#This Row],[Day]],"dddd")</f>
        <v>Sunday</v>
      </c>
      <c r="F162">
        <v>21</v>
      </c>
      <c r="G162">
        <v>13</v>
      </c>
      <c r="H162">
        <v>38</v>
      </c>
      <c r="I162">
        <f>VLOOKUP(Demand_Data___Hourly_OverviewSearch_1_csv[[#This Row],[Date]],Supply_Data___Hourly_DriverActivity_1_csv__3[#All],2,FALSE)</f>
        <v>32</v>
      </c>
      <c r="J162">
        <f>VLOOKUP(Demand_Data___Hourly_OverviewSearch_1_csv[[#This Row],[Date]],Supply_Data___Hourly_DriverActivity_1_csv__3[#All],3,FALSE)</f>
        <v>8</v>
      </c>
      <c r="K162">
        <f>VLOOKUP(Demand_Data___Hourly_OverviewSearch_1_csv[[#This Row],[Date]],Supply_Data___Hourly_DriverActivity_1_csv__3[#All],4,FALSE)</f>
        <v>2</v>
      </c>
      <c r="L162">
        <f>VLOOKUP(Demand_Data___Hourly_OverviewSearch_1_csv[[#This Row],[Date]],Supply_Data___Hourly_DriverActivity_1_csv__3[#All],5,FALSE)</f>
        <v>5</v>
      </c>
      <c r="M162">
        <f>VLOOKUP(Demand_Data___Hourly_OverviewSearch_1_csv[[#This Row],[Date]],Supply_Data___Hourly_DriverActivity_1_csv__3[#All],6,FALSE)</f>
        <v>0.3</v>
      </c>
      <c r="N162">
        <f>VLOOKUP(Demand_Data___Hourly_OverviewSearch_1_csv[[#This Row],[Date]],Supply_Data___Hourly_DriverActivity_1_csv__3[#All],7,FALSE)</f>
        <v>0.75</v>
      </c>
      <c r="O162">
        <f>VLOOKUP(Demand_Data___Hourly_OverviewSearch_1_csv[[#This Row],[Date]],Supply_Data___Hourly_DriverActivity_1_csv__3[#All],8,FALSE)</f>
        <v>6</v>
      </c>
      <c r="P162">
        <f>(Demand_Data___Hourly_OverviewSearch_1_csv[[#This Row],[People saw 0 cars (unique)]]+Demand_Data___Hourly_OverviewSearch_1_csv[[#This Row],[People saw +1 cars (unique)]])</f>
        <v>34</v>
      </c>
      <c r="Q162" s="143">
        <f t="shared" si="11"/>
        <v>6</v>
      </c>
    </row>
    <row r="163" spans="1:17" x14ac:dyDescent="0.3">
      <c r="A163" t="s">
        <v>169</v>
      </c>
      <c r="B163" t="str">
        <f t="shared" si="8"/>
        <v xml:space="preserve"> 06</v>
      </c>
      <c r="C163">
        <f t="shared" si="9"/>
        <v>1</v>
      </c>
      <c r="D163" t="str">
        <f t="shared" si="10"/>
        <v xml:space="preserve">2016-12-12 </v>
      </c>
      <c r="E163" t="str">
        <f>TEXT(Demand_Data___Hourly_OverviewSearch_1_csv[[#This Row],[Day]],"dddd")</f>
        <v>Sunday</v>
      </c>
      <c r="F163">
        <v>10</v>
      </c>
      <c r="G163">
        <v>2</v>
      </c>
      <c r="H163">
        <v>17</v>
      </c>
      <c r="I163">
        <f>VLOOKUP(Demand_Data___Hourly_OverviewSearch_1_csv[[#This Row],[Date]],Supply_Data___Hourly_DriverActivity_1_csv__3[#All],2,FALSE)</f>
        <v>17</v>
      </c>
      <c r="J163">
        <f>VLOOKUP(Demand_Data___Hourly_OverviewSearch_1_csv[[#This Row],[Date]],Supply_Data___Hourly_DriverActivity_1_csv__3[#All],3,FALSE)</f>
        <v>4</v>
      </c>
      <c r="K163">
        <f>VLOOKUP(Demand_Data___Hourly_OverviewSearch_1_csv[[#This Row],[Date]],Supply_Data___Hourly_DriverActivity_1_csv__3[#All],4,FALSE)</f>
        <v>1</v>
      </c>
      <c r="L163">
        <f>VLOOKUP(Demand_Data___Hourly_OverviewSearch_1_csv[[#This Row],[Date]],Supply_Data___Hourly_DriverActivity_1_csv__3[#All],5,FALSE)</f>
        <v>4</v>
      </c>
      <c r="M163">
        <f>VLOOKUP(Demand_Data___Hourly_OverviewSearch_1_csv[[#This Row],[Date]],Supply_Data___Hourly_DriverActivity_1_csv__3[#All],6,FALSE)</f>
        <v>0.2</v>
      </c>
      <c r="N163">
        <f>VLOOKUP(Demand_Data___Hourly_OverviewSearch_1_csv[[#This Row],[Date]],Supply_Data___Hourly_DriverActivity_1_csv__3[#All],7,FALSE)</f>
        <v>0.25</v>
      </c>
      <c r="O163">
        <f>VLOOKUP(Demand_Data___Hourly_OverviewSearch_1_csv[[#This Row],[Date]],Supply_Data___Hourly_DriverActivity_1_csv__3[#All],8,FALSE)</f>
        <v>1</v>
      </c>
      <c r="P163">
        <f>(Demand_Data___Hourly_OverviewSearch_1_csv[[#This Row],[People saw 0 cars (unique)]]+Demand_Data___Hourly_OverviewSearch_1_csv[[#This Row],[People saw +1 cars (unique)]])</f>
        <v>12</v>
      </c>
      <c r="Q163" s="143">
        <f t="shared" si="11"/>
        <v>3</v>
      </c>
    </row>
    <row r="164" spans="1:17" x14ac:dyDescent="0.3">
      <c r="A164" t="s">
        <v>170</v>
      </c>
      <c r="B164" t="str">
        <f t="shared" si="8"/>
        <v xml:space="preserve"> 05</v>
      </c>
      <c r="C164">
        <f t="shared" si="9"/>
        <v>1</v>
      </c>
      <c r="D164" t="str">
        <f t="shared" si="10"/>
        <v xml:space="preserve">2016-12-12 </v>
      </c>
      <c r="E164" t="str">
        <f>TEXT(Demand_Data___Hourly_OverviewSearch_1_csv[[#This Row],[Day]],"dddd")</f>
        <v>Sunday</v>
      </c>
      <c r="F164">
        <v>2</v>
      </c>
      <c r="G164">
        <v>0</v>
      </c>
      <c r="H164">
        <v>0</v>
      </c>
      <c r="I164">
        <f>VLOOKUP(Demand_Data___Hourly_OverviewSearch_1_csv[[#This Row],[Date]],Supply_Data___Hourly_DriverActivity_1_csv__3[#All],2,FALSE)</f>
        <v>14</v>
      </c>
      <c r="J164">
        <f>VLOOKUP(Demand_Data___Hourly_OverviewSearch_1_csv[[#This Row],[Date]],Supply_Data___Hourly_DriverActivity_1_csv__3[#All],3,FALSE)</f>
        <v>2</v>
      </c>
      <c r="K164">
        <f>VLOOKUP(Demand_Data___Hourly_OverviewSearch_1_csv[[#This Row],[Date]],Supply_Data___Hourly_DriverActivity_1_csv__3[#All],4,FALSE)</f>
        <v>0</v>
      </c>
      <c r="L164">
        <f>VLOOKUP(Demand_Data___Hourly_OverviewSearch_1_csv[[#This Row],[Date]],Supply_Data___Hourly_DriverActivity_1_csv__3[#All],5,FALSE)</f>
        <v>2</v>
      </c>
      <c r="M164">
        <f>VLOOKUP(Demand_Data___Hourly_OverviewSearch_1_csv[[#This Row],[Date]],Supply_Data___Hourly_DriverActivity_1_csv__3[#All],6,FALSE)</f>
        <v>0.1</v>
      </c>
      <c r="N164">
        <f>VLOOKUP(Demand_Data___Hourly_OverviewSearch_1_csv[[#This Row],[Date]],Supply_Data___Hourly_DriverActivity_1_csv__3[#All],7,FALSE)</f>
        <v>0</v>
      </c>
      <c r="O164">
        <f>VLOOKUP(Demand_Data___Hourly_OverviewSearch_1_csv[[#This Row],[Date]],Supply_Data___Hourly_DriverActivity_1_csv__3[#All],8,FALSE)</f>
        <v>0</v>
      </c>
      <c r="P164">
        <f>(Demand_Data___Hourly_OverviewSearch_1_csv[[#This Row],[People saw 0 cars (unique)]]+Demand_Data___Hourly_OverviewSearch_1_csv[[#This Row],[People saw +1 cars (unique)]])</f>
        <v>2</v>
      </c>
      <c r="Q164" s="143">
        <f t="shared" si="11"/>
        <v>2</v>
      </c>
    </row>
    <row r="165" spans="1:17" x14ac:dyDescent="0.3">
      <c r="A165" t="s">
        <v>171</v>
      </c>
      <c r="B165" t="str">
        <f t="shared" si="8"/>
        <v xml:space="preserve"> 04</v>
      </c>
      <c r="C165">
        <f t="shared" si="9"/>
        <v>1</v>
      </c>
      <c r="D165" t="str">
        <f t="shared" si="10"/>
        <v xml:space="preserve">2016-12-12 </v>
      </c>
      <c r="E165" t="str">
        <f>TEXT(Demand_Data___Hourly_OverviewSearch_1_csv[[#This Row],[Day]],"dddd")</f>
        <v>Sunday</v>
      </c>
      <c r="F165">
        <v>6</v>
      </c>
      <c r="G165">
        <v>0</v>
      </c>
      <c r="H165">
        <v>0</v>
      </c>
      <c r="I165">
        <f>VLOOKUP(Demand_Data___Hourly_OverviewSearch_1_csv[[#This Row],[Date]],Supply_Data___Hourly_DriverActivity_1_csv__3[#All],2,FALSE)</f>
        <v>9</v>
      </c>
      <c r="J165">
        <f>VLOOKUP(Demand_Data___Hourly_OverviewSearch_1_csv[[#This Row],[Date]],Supply_Data___Hourly_DriverActivity_1_csv__3[#All],3,FALSE)</f>
        <v>2</v>
      </c>
      <c r="K165">
        <f>VLOOKUP(Demand_Data___Hourly_OverviewSearch_1_csv[[#This Row],[Date]],Supply_Data___Hourly_DriverActivity_1_csv__3[#All],4,FALSE)</f>
        <v>0</v>
      </c>
      <c r="L165">
        <f>VLOOKUP(Demand_Data___Hourly_OverviewSearch_1_csv[[#This Row],[Date]],Supply_Data___Hourly_DriverActivity_1_csv__3[#All],5,FALSE)</f>
        <v>2</v>
      </c>
      <c r="M165">
        <f>VLOOKUP(Demand_Data___Hourly_OverviewSearch_1_csv[[#This Row],[Date]],Supply_Data___Hourly_DriverActivity_1_csv__3[#All],6,FALSE)</f>
        <v>0.2</v>
      </c>
      <c r="N165">
        <f>VLOOKUP(Demand_Data___Hourly_OverviewSearch_1_csv[[#This Row],[Date]],Supply_Data___Hourly_DriverActivity_1_csv__3[#All],7,FALSE)</f>
        <v>0</v>
      </c>
      <c r="O165">
        <f>VLOOKUP(Demand_Data___Hourly_OverviewSearch_1_csv[[#This Row],[Date]],Supply_Data___Hourly_DriverActivity_1_csv__3[#All],8,FALSE)</f>
        <v>0</v>
      </c>
      <c r="P165">
        <f>(Demand_Data___Hourly_OverviewSearch_1_csv[[#This Row],[People saw 0 cars (unique)]]+Demand_Data___Hourly_OverviewSearch_1_csv[[#This Row],[People saw +1 cars (unique)]])</f>
        <v>6</v>
      </c>
      <c r="Q165" s="143">
        <f t="shared" si="11"/>
        <v>2</v>
      </c>
    </row>
    <row r="166" spans="1:17" x14ac:dyDescent="0.3">
      <c r="A166" t="s">
        <v>172</v>
      </c>
      <c r="B166" t="str">
        <f t="shared" si="8"/>
        <v xml:space="preserve"> 03</v>
      </c>
      <c r="C166">
        <f t="shared" si="9"/>
        <v>1</v>
      </c>
      <c r="D166" t="str">
        <f t="shared" si="10"/>
        <v xml:space="preserve">2016-12-12 </v>
      </c>
      <c r="E166" t="str">
        <f>TEXT(Demand_Data___Hourly_OverviewSearch_1_csv[[#This Row],[Day]],"dddd")</f>
        <v>Sunday</v>
      </c>
      <c r="F166">
        <v>5</v>
      </c>
      <c r="G166">
        <v>2</v>
      </c>
      <c r="H166">
        <v>29</v>
      </c>
      <c r="I166">
        <f>VLOOKUP(Demand_Data___Hourly_OverviewSearch_1_csv[[#This Row],[Date]],Supply_Data___Hourly_DriverActivity_1_csv__3[#All],2,FALSE)</f>
        <v>12</v>
      </c>
      <c r="J166">
        <f>VLOOKUP(Demand_Data___Hourly_OverviewSearch_1_csv[[#This Row],[Date]],Supply_Data___Hourly_DriverActivity_1_csv__3[#All],3,FALSE)</f>
        <v>3</v>
      </c>
      <c r="K166">
        <f>VLOOKUP(Demand_Data___Hourly_OverviewSearch_1_csv[[#This Row],[Date]],Supply_Data___Hourly_DriverActivity_1_csv__3[#All],4,FALSE)</f>
        <v>0</v>
      </c>
      <c r="L166">
        <f>VLOOKUP(Demand_Data___Hourly_OverviewSearch_1_csv[[#This Row],[Date]],Supply_Data___Hourly_DriverActivity_1_csv__3[#All],5,FALSE)</f>
        <v>3</v>
      </c>
      <c r="M166">
        <f>VLOOKUP(Demand_Data___Hourly_OverviewSearch_1_csv[[#This Row],[Date]],Supply_Data___Hourly_DriverActivity_1_csv__3[#All],6,FALSE)</f>
        <v>0.3</v>
      </c>
      <c r="N166">
        <f>VLOOKUP(Demand_Data___Hourly_OverviewSearch_1_csv[[#This Row],[Date]],Supply_Data___Hourly_DriverActivity_1_csv__3[#All],7,FALSE)</f>
        <v>0</v>
      </c>
      <c r="O166">
        <f>VLOOKUP(Demand_Data___Hourly_OverviewSearch_1_csv[[#This Row],[Date]],Supply_Data___Hourly_DriverActivity_1_csv__3[#All],8,FALSE)</f>
        <v>0</v>
      </c>
      <c r="P166">
        <f>(Demand_Data___Hourly_OverviewSearch_1_csv[[#This Row],[People saw 0 cars (unique)]]+Demand_Data___Hourly_OverviewSearch_1_csv[[#This Row],[People saw +1 cars (unique)]])</f>
        <v>7</v>
      </c>
      <c r="Q166" s="143">
        <f t="shared" si="11"/>
        <v>3</v>
      </c>
    </row>
    <row r="167" spans="1:17" x14ac:dyDescent="0.3">
      <c r="A167" t="s">
        <v>173</v>
      </c>
      <c r="B167" t="str">
        <f t="shared" si="8"/>
        <v xml:space="preserve"> 02</v>
      </c>
      <c r="C167">
        <f t="shared" si="9"/>
        <v>1</v>
      </c>
      <c r="D167" t="str">
        <f t="shared" si="10"/>
        <v xml:space="preserve">2016-12-12 </v>
      </c>
      <c r="E167" t="str">
        <f>TEXT(Demand_Data___Hourly_OverviewSearch_1_csv[[#This Row],[Day]],"dddd")</f>
        <v>Sunday</v>
      </c>
      <c r="F167">
        <v>5</v>
      </c>
      <c r="G167">
        <v>5</v>
      </c>
      <c r="H167">
        <v>50</v>
      </c>
      <c r="I167">
        <f>VLOOKUP(Demand_Data___Hourly_OverviewSearch_1_csv[[#This Row],[Date]],Supply_Data___Hourly_DriverActivity_1_csv__3[#All],2,FALSE)</f>
        <v>20</v>
      </c>
      <c r="J167">
        <f>VLOOKUP(Demand_Data___Hourly_OverviewSearch_1_csv[[#This Row],[Date]],Supply_Data___Hourly_DriverActivity_1_csv__3[#All],3,FALSE)</f>
        <v>6</v>
      </c>
      <c r="K167">
        <f>VLOOKUP(Demand_Data___Hourly_OverviewSearch_1_csv[[#This Row],[Date]],Supply_Data___Hourly_DriverActivity_1_csv__3[#All],4,FALSE)</f>
        <v>0</v>
      </c>
      <c r="L167">
        <f>VLOOKUP(Demand_Data___Hourly_OverviewSearch_1_csv[[#This Row],[Date]],Supply_Data___Hourly_DriverActivity_1_csv__3[#All],5,FALSE)</f>
        <v>6</v>
      </c>
      <c r="M167">
        <f>VLOOKUP(Demand_Data___Hourly_OverviewSearch_1_csv[[#This Row],[Date]],Supply_Data___Hourly_DriverActivity_1_csv__3[#All],6,FALSE)</f>
        <v>0.3</v>
      </c>
      <c r="N167">
        <f>VLOOKUP(Demand_Data___Hourly_OverviewSearch_1_csv[[#This Row],[Date]],Supply_Data___Hourly_DriverActivity_1_csv__3[#All],7,FALSE)</f>
        <v>0.17</v>
      </c>
      <c r="O167">
        <f>VLOOKUP(Demand_Data___Hourly_OverviewSearch_1_csv[[#This Row],[Date]],Supply_Data___Hourly_DriverActivity_1_csv__3[#All],8,FALSE)</f>
        <v>1</v>
      </c>
      <c r="P167">
        <f>(Demand_Data___Hourly_OverviewSearch_1_csv[[#This Row],[People saw 0 cars (unique)]]+Demand_Data___Hourly_OverviewSearch_1_csv[[#This Row],[People saw +1 cars (unique)]])</f>
        <v>10</v>
      </c>
      <c r="Q167" s="143">
        <f t="shared" si="11"/>
        <v>6</v>
      </c>
    </row>
    <row r="168" spans="1:17" x14ac:dyDescent="0.3">
      <c r="A168" t="s">
        <v>174</v>
      </c>
      <c r="B168" t="str">
        <f t="shared" si="8"/>
        <v xml:space="preserve"> 01</v>
      </c>
      <c r="C168">
        <f t="shared" si="9"/>
        <v>1</v>
      </c>
      <c r="D168" t="str">
        <f t="shared" si="10"/>
        <v xml:space="preserve">2016-12-12 </v>
      </c>
      <c r="E168" t="str">
        <f>TEXT(Demand_Data___Hourly_OverviewSearch_1_csv[[#This Row],[Day]],"dddd")</f>
        <v>Sunday</v>
      </c>
      <c r="F168">
        <v>9</v>
      </c>
      <c r="G168">
        <v>19</v>
      </c>
      <c r="H168">
        <v>68</v>
      </c>
      <c r="I168">
        <f>VLOOKUP(Demand_Data___Hourly_OverviewSearch_1_csv[[#This Row],[Date]],Supply_Data___Hourly_DriverActivity_1_csv__3[#All],2,FALSE)</f>
        <v>29</v>
      </c>
      <c r="J168">
        <f>VLOOKUP(Demand_Data___Hourly_OverviewSearch_1_csv[[#This Row],[Date]],Supply_Data___Hourly_DriverActivity_1_csv__3[#All],3,FALSE)</f>
        <v>11</v>
      </c>
      <c r="K168">
        <f>VLOOKUP(Demand_Data___Hourly_OverviewSearch_1_csv[[#This Row],[Date]],Supply_Data___Hourly_DriverActivity_1_csv__3[#All],4,FALSE)</f>
        <v>3</v>
      </c>
      <c r="L168">
        <f>VLOOKUP(Demand_Data___Hourly_OverviewSearch_1_csv[[#This Row],[Date]],Supply_Data___Hourly_DriverActivity_1_csv__3[#All],5,FALSE)</f>
        <v>8</v>
      </c>
      <c r="M168">
        <f>VLOOKUP(Demand_Data___Hourly_OverviewSearch_1_csv[[#This Row],[Date]],Supply_Data___Hourly_DriverActivity_1_csv__3[#All],6,FALSE)</f>
        <v>0.4</v>
      </c>
      <c r="N168">
        <f>VLOOKUP(Demand_Data___Hourly_OverviewSearch_1_csv[[#This Row],[Date]],Supply_Data___Hourly_DriverActivity_1_csv__3[#All],7,FALSE)</f>
        <v>0.64</v>
      </c>
      <c r="O168">
        <f>VLOOKUP(Demand_Data___Hourly_OverviewSearch_1_csv[[#This Row],[Date]],Supply_Data___Hourly_DriverActivity_1_csv__3[#All],8,FALSE)</f>
        <v>7</v>
      </c>
      <c r="P168">
        <f>(Demand_Data___Hourly_OverviewSearch_1_csv[[#This Row],[People saw 0 cars (unique)]]+Demand_Data___Hourly_OverviewSearch_1_csv[[#This Row],[People saw +1 cars (unique)]])</f>
        <v>28</v>
      </c>
      <c r="Q168" s="143">
        <f t="shared" si="11"/>
        <v>8</v>
      </c>
    </row>
    <row r="169" spans="1:17" x14ac:dyDescent="0.3">
      <c r="A169" t="s">
        <v>175</v>
      </c>
      <c r="B169" t="str">
        <f t="shared" si="8"/>
        <v xml:space="preserve"> 00</v>
      </c>
      <c r="C169">
        <f t="shared" si="9"/>
        <v>1</v>
      </c>
      <c r="D169" t="str">
        <f t="shared" si="10"/>
        <v xml:space="preserve">2016-12-12 </v>
      </c>
      <c r="E169" t="str">
        <f>TEXT(Demand_Data___Hourly_OverviewSearch_1_csv[[#This Row],[Day]],"dddd")</f>
        <v>Sunday</v>
      </c>
      <c r="F169">
        <v>17</v>
      </c>
      <c r="G169">
        <v>43</v>
      </c>
      <c r="H169">
        <v>72</v>
      </c>
      <c r="I169">
        <f>VLOOKUP(Demand_Data___Hourly_OverviewSearch_1_csv[[#This Row],[Date]],Supply_Data___Hourly_DriverActivity_1_csv__3[#All],2,FALSE)</f>
        <v>40</v>
      </c>
      <c r="J169">
        <f>VLOOKUP(Demand_Data___Hourly_OverviewSearch_1_csv[[#This Row],[Date]],Supply_Data___Hourly_DriverActivity_1_csv__3[#All],3,FALSE)</f>
        <v>13</v>
      </c>
      <c r="K169">
        <f>VLOOKUP(Demand_Data___Hourly_OverviewSearch_1_csv[[#This Row],[Date]],Supply_Data___Hourly_DriverActivity_1_csv__3[#All],4,FALSE)</f>
        <v>6</v>
      </c>
      <c r="L169">
        <f>VLOOKUP(Demand_Data___Hourly_OverviewSearch_1_csv[[#This Row],[Date]],Supply_Data___Hourly_DriverActivity_1_csv__3[#All],5,FALSE)</f>
        <v>7</v>
      </c>
      <c r="M169">
        <f>VLOOKUP(Demand_Data___Hourly_OverviewSearch_1_csv[[#This Row],[Date]],Supply_Data___Hourly_DriverActivity_1_csv__3[#All],6,FALSE)</f>
        <v>0.3</v>
      </c>
      <c r="N169">
        <f>VLOOKUP(Demand_Data___Hourly_OverviewSearch_1_csv[[#This Row],[Date]],Supply_Data___Hourly_DriverActivity_1_csv__3[#All],7,FALSE)</f>
        <v>1.23</v>
      </c>
      <c r="O169">
        <f>VLOOKUP(Demand_Data___Hourly_OverviewSearch_1_csv[[#This Row],[Date]],Supply_Data___Hourly_DriverActivity_1_csv__3[#All],8,FALSE)</f>
        <v>16</v>
      </c>
      <c r="P169">
        <f>(Demand_Data___Hourly_OverviewSearch_1_csv[[#This Row],[People saw 0 cars (unique)]]+Demand_Data___Hourly_OverviewSearch_1_csv[[#This Row],[People saw +1 cars (unique)]])</f>
        <v>60</v>
      </c>
      <c r="Q169" s="143">
        <f t="shared" si="11"/>
        <v>7</v>
      </c>
    </row>
    <row r="170" spans="1:17" x14ac:dyDescent="0.3">
      <c r="A170" t="s">
        <v>176</v>
      </c>
      <c r="B170" t="str">
        <f t="shared" si="8"/>
        <v xml:space="preserve"> 23</v>
      </c>
      <c r="C170">
        <f t="shared" si="9"/>
        <v>7</v>
      </c>
      <c r="D170" t="str">
        <f t="shared" si="10"/>
        <v xml:space="preserve">2016-12-11 </v>
      </c>
      <c r="E170" t="str">
        <f>TEXT(Demand_Data___Hourly_OverviewSearch_1_csv[[#This Row],[Day]],"dddd")</f>
        <v>Saturday</v>
      </c>
      <c r="F170">
        <v>37</v>
      </c>
      <c r="G170">
        <v>39</v>
      </c>
      <c r="H170">
        <v>51</v>
      </c>
      <c r="I170">
        <f>VLOOKUP(Demand_Data___Hourly_OverviewSearch_1_csv[[#This Row],[Date]],Supply_Data___Hourly_DriverActivity_1_csv__3[#All],2,FALSE)</f>
        <v>53</v>
      </c>
      <c r="J170">
        <f>VLOOKUP(Demand_Data___Hourly_OverviewSearch_1_csv[[#This Row],[Date]],Supply_Data___Hourly_DriverActivity_1_csv__3[#All],3,FALSE)</f>
        <v>16</v>
      </c>
      <c r="K170">
        <f>VLOOKUP(Demand_Data___Hourly_OverviewSearch_1_csv[[#This Row],[Date]],Supply_Data___Hourly_DriverActivity_1_csv__3[#All],4,FALSE)</f>
        <v>7</v>
      </c>
      <c r="L170">
        <f>VLOOKUP(Demand_Data___Hourly_OverviewSearch_1_csv[[#This Row],[Date]],Supply_Data___Hourly_DriverActivity_1_csv__3[#All],5,FALSE)</f>
        <v>9</v>
      </c>
      <c r="M170">
        <f>VLOOKUP(Demand_Data___Hourly_OverviewSearch_1_csv[[#This Row],[Date]],Supply_Data___Hourly_DriverActivity_1_csv__3[#All],6,FALSE)</f>
        <v>0.3</v>
      </c>
      <c r="N170">
        <f>VLOOKUP(Demand_Data___Hourly_OverviewSearch_1_csv[[#This Row],[Date]],Supply_Data___Hourly_DriverActivity_1_csv__3[#All],7,FALSE)</f>
        <v>1.31</v>
      </c>
      <c r="O170">
        <f>VLOOKUP(Demand_Data___Hourly_OverviewSearch_1_csv[[#This Row],[Date]],Supply_Data___Hourly_DriverActivity_1_csv__3[#All],8,FALSE)</f>
        <v>21</v>
      </c>
      <c r="P170">
        <f>(Demand_Data___Hourly_OverviewSearch_1_csv[[#This Row],[People saw 0 cars (unique)]]+Demand_Data___Hourly_OverviewSearch_1_csv[[#This Row],[People saw +1 cars (unique)]])</f>
        <v>76</v>
      </c>
      <c r="Q170" s="143">
        <f t="shared" si="11"/>
        <v>9</v>
      </c>
    </row>
    <row r="171" spans="1:17" x14ac:dyDescent="0.3">
      <c r="A171" t="s">
        <v>177</v>
      </c>
      <c r="B171" t="str">
        <f t="shared" si="8"/>
        <v xml:space="preserve"> 22</v>
      </c>
      <c r="C171">
        <f t="shared" si="9"/>
        <v>7</v>
      </c>
      <c r="D171" t="str">
        <f t="shared" si="10"/>
        <v xml:space="preserve">2016-12-11 </v>
      </c>
      <c r="E171" t="str">
        <f>TEXT(Demand_Data___Hourly_OverviewSearch_1_csv[[#This Row],[Day]],"dddd")</f>
        <v>Saturday</v>
      </c>
      <c r="F171">
        <v>10</v>
      </c>
      <c r="G171">
        <v>48</v>
      </c>
      <c r="H171">
        <v>83</v>
      </c>
      <c r="I171">
        <f>VLOOKUP(Demand_Data___Hourly_OverviewSearch_1_csv[[#This Row],[Date]],Supply_Data___Hourly_DriverActivity_1_csv__3[#All],2,FALSE)</f>
        <v>64</v>
      </c>
      <c r="J171">
        <f>VLOOKUP(Demand_Data___Hourly_OverviewSearch_1_csv[[#This Row],[Date]],Supply_Data___Hourly_DriverActivity_1_csv__3[#All],3,FALSE)</f>
        <v>21</v>
      </c>
      <c r="K171">
        <f>VLOOKUP(Demand_Data___Hourly_OverviewSearch_1_csv[[#This Row],[Date]],Supply_Data___Hourly_DriverActivity_1_csv__3[#All],4,FALSE)</f>
        <v>8</v>
      </c>
      <c r="L171">
        <f>VLOOKUP(Demand_Data___Hourly_OverviewSearch_1_csv[[#This Row],[Date]],Supply_Data___Hourly_DriverActivity_1_csv__3[#All],5,FALSE)</f>
        <v>13</v>
      </c>
      <c r="M171">
        <f>VLOOKUP(Demand_Data___Hourly_OverviewSearch_1_csv[[#This Row],[Date]],Supply_Data___Hourly_DriverActivity_1_csv__3[#All],6,FALSE)</f>
        <v>0.3</v>
      </c>
      <c r="N171">
        <f>VLOOKUP(Demand_Data___Hourly_OverviewSearch_1_csv[[#This Row],[Date]],Supply_Data___Hourly_DriverActivity_1_csv__3[#All],7,FALSE)</f>
        <v>0.81</v>
      </c>
      <c r="O171">
        <f>VLOOKUP(Demand_Data___Hourly_OverviewSearch_1_csv[[#This Row],[Date]],Supply_Data___Hourly_DriverActivity_1_csv__3[#All],8,FALSE)</f>
        <v>17</v>
      </c>
      <c r="P171">
        <f>(Demand_Data___Hourly_OverviewSearch_1_csv[[#This Row],[People saw 0 cars (unique)]]+Demand_Data___Hourly_OverviewSearch_1_csv[[#This Row],[People saw +1 cars (unique)]])</f>
        <v>58</v>
      </c>
      <c r="Q171" s="143">
        <f t="shared" si="11"/>
        <v>13</v>
      </c>
    </row>
    <row r="172" spans="1:17" x14ac:dyDescent="0.3">
      <c r="A172" t="s">
        <v>178</v>
      </c>
      <c r="B172" t="str">
        <f t="shared" si="8"/>
        <v xml:space="preserve"> 21</v>
      </c>
      <c r="C172">
        <f t="shared" si="9"/>
        <v>7</v>
      </c>
      <c r="D172" t="str">
        <f t="shared" si="10"/>
        <v xml:space="preserve">2016-12-11 </v>
      </c>
      <c r="E172" t="str">
        <f>TEXT(Demand_Data___Hourly_OverviewSearch_1_csv[[#This Row],[Day]],"dddd")</f>
        <v>Saturday</v>
      </c>
      <c r="F172">
        <v>12</v>
      </c>
      <c r="G172">
        <v>41</v>
      </c>
      <c r="H172">
        <v>77</v>
      </c>
      <c r="I172">
        <f>VLOOKUP(Demand_Data___Hourly_OverviewSearch_1_csv[[#This Row],[Date]],Supply_Data___Hourly_DriverActivity_1_csv__3[#All],2,FALSE)</f>
        <v>60</v>
      </c>
      <c r="J172">
        <f>VLOOKUP(Demand_Data___Hourly_OverviewSearch_1_csv[[#This Row],[Date]],Supply_Data___Hourly_DriverActivity_1_csv__3[#All],3,FALSE)</f>
        <v>15</v>
      </c>
      <c r="K172">
        <f>VLOOKUP(Demand_Data___Hourly_OverviewSearch_1_csv[[#This Row],[Date]],Supply_Data___Hourly_DriverActivity_1_csv__3[#All],4,FALSE)</f>
        <v>7</v>
      </c>
      <c r="L172">
        <f>VLOOKUP(Demand_Data___Hourly_OverviewSearch_1_csv[[#This Row],[Date]],Supply_Data___Hourly_DriverActivity_1_csv__3[#All],5,FALSE)</f>
        <v>8</v>
      </c>
      <c r="M172">
        <f>VLOOKUP(Demand_Data___Hourly_OverviewSearch_1_csv[[#This Row],[Date]],Supply_Data___Hourly_DriverActivity_1_csv__3[#All],6,FALSE)</f>
        <v>0.3</v>
      </c>
      <c r="N172">
        <f>VLOOKUP(Demand_Data___Hourly_OverviewSearch_1_csv[[#This Row],[Date]],Supply_Data___Hourly_DriverActivity_1_csv__3[#All],7,FALSE)</f>
        <v>1.27</v>
      </c>
      <c r="O172">
        <f>VLOOKUP(Demand_Data___Hourly_OverviewSearch_1_csv[[#This Row],[Date]],Supply_Data___Hourly_DriverActivity_1_csv__3[#All],8,FALSE)</f>
        <v>19</v>
      </c>
      <c r="P172">
        <f>(Demand_Data___Hourly_OverviewSearch_1_csv[[#This Row],[People saw 0 cars (unique)]]+Demand_Data___Hourly_OverviewSearch_1_csv[[#This Row],[People saw +1 cars (unique)]])</f>
        <v>53</v>
      </c>
      <c r="Q172" s="143">
        <f t="shared" si="11"/>
        <v>8</v>
      </c>
    </row>
    <row r="173" spans="1:17" x14ac:dyDescent="0.3">
      <c r="A173" t="s">
        <v>179</v>
      </c>
      <c r="B173" t="str">
        <f t="shared" si="8"/>
        <v xml:space="preserve"> 20</v>
      </c>
      <c r="C173">
        <f t="shared" si="9"/>
        <v>7</v>
      </c>
      <c r="D173" t="str">
        <f t="shared" si="10"/>
        <v xml:space="preserve">2016-12-11 </v>
      </c>
      <c r="E173" t="str">
        <f>TEXT(Demand_Data___Hourly_OverviewSearch_1_csv[[#This Row],[Day]],"dddd")</f>
        <v>Saturday</v>
      </c>
      <c r="F173">
        <v>9</v>
      </c>
      <c r="G173">
        <v>54</v>
      </c>
      <c r="H173">
        <v>86</v>
      </c>
      <c r="I173">
        <f>VLOOKUP(Demand_Data___Hourly_OverviewSearch_1_csv[[#This Row],[Date]],Supply_Data___Hourly_DriverActivity_1_csv__3[#All],2,FALSE)</f>
        <v>66</v>
      </c>
      <c r="J173">
        <f>VLOOKUP(Demand_Data___Hourly_OverviewSearch_1_csv[[#This Row],[Date]],Supply_Data___Hourly_DriverActivity_1_csv__3[#All],3,FALSE)</f>
        <v>22</v>
      </c>
      <c r="K173">
        <f>VLOOKUP(Demand_Data___Hourly_OverviewSearch_1_csv[[#This Row],[Date]],Supply_Data___Hourly_DriverActivity_1_csv__3[#All],4,FALSE)</f>
        <v>9</v>
      </c>
      <c r="L173">
        <f>VLOOKUP(Demand_Data___Hourly_OverviewSearch_1_csv[[#This Row],[Date]],Supply_Data___Hourly_DriverActivity_1_csv__3[#All],5,FALSE)</f>
        <v>13</v>
      </c>
      <c r="M173">
        <f>VLOOKUP(Demand_Data___Hourly_OverviewSearch_1_csv[[#This Row],[Date]],Supply_Data___Hourly_DriverActivity_1_csv__3[#All],6,FALSE)</f>
        <v>0.3</v>
      </c>
      <c r="N173">
        <f>VLOOKUP(Demand_Data___Hourly_OverviewSearch_1_csv[[#This Row],[Date]],Supply_Data___Hourly_DriverActivity_1_csv__3[#All],7,FALSE)</f>
        <v>0.95</v>
      </c>
      <c r="O173">
        <f>VLOOKUP(Demand_Data___Hourly_OverviewSearch_1_csv[[#This Row],[Date]],Supply_Data___Hourly_DriverActivity_1_csv__3[#All],8,FALSE)</f>
        <v>21</v>
      </c>
      <c r="P173">
        <f>(Demand_Data___Hourly_OverviewSearch_1_csv[[#This Row],[People saw 0 cars (unique)]]+Demand_Data___Hourly_OverviewSearch_1_csv[[#This Row],[People saw +1 cars (unique)]])</f>
        <v>63</v>
      </c>
      <c r="Q173" s="143">
        <f t="shared" si="11"/>
        <v>13</v>
      </c>
    </row>
    <row r="174" spans="1:17" x14ac:dyDescent="0.3">
      <c r="A174" t="s">
        <v>180</v>
      </c>
      <c r="B174" t="str">
        <f t="shared" si="8"/>
        <v xml:space="preserve"> 19</v>
      </c>
      <c r="C174">
        <f t="shared" si="9"/>
        <v>7</v>
      </c>
      <c r="D174" t="str">
        <f t="shared" si="10"/>
        <v xml:space="preserve">2016-12-11 </v>
      </c>
      <c r="E174" t="str">
        <f>TEXT(Demand_Data___Hourly_OverviewSearch_1_csv[[#This Row],[Day]],"dddd")</f>
        <v>Saturday</v>
      </c>
      <c r="F174">
        <v>23</v>
      </c>
      <c r="G174">
        <v>53</v>
      </c>
      <c r="H174">
        <v>70</v>
      </c>
      <c r="I174">
        <f>VLOOKUP(Demand_Data___Hourly_OverviewSearch_1_csv[[#This Row],[Date]],Supply_Data___Hourly_DriverActivity_1_csv__3[#All],2,FALSE)</f>
        <v>66</v>
      </c>
      <c r="J174">
        <f>VLOOKUP(Demand_Data___Hourly_OverviewSearch_1_csv[[#This Row],[Date]],Supply_Data___Hourly_DriverActivity_1_csv__3[#All],3,FALSE)</f>
        <v>24</v>
      </c>
      <c r="K174">
        <f>VLOOKUP(Demand_Data___Hourly_OverviewSearch_1_csv[[#This Row],[Date]],Supply_Data___Hourly_DriverActivity_1_csv__3[#All],4,FALSE)</f>
        <v>12</v>
      </c>
      <c r="L174">
        <f>VLOOKUP(Demand_Data___Hourly_OverviewSearch_1_csv[[#This Row],[Date]],Supply_Data___Hourly_DriverActivity_1_csv__3[#All],5,FALSE)</f>
        <v>12</v>
      </c>
      <c r="M174">
        <f>VLOOKUP(Demand_Data___Hourly_OverviewSearch_1_csv[[#This Row],[Date]],Supply_Data___Hourly_DriverActivity_1_csv__3[#All],6,FALSE)</f>
        <v>0.4</v>
      </c>
      <c r="N174">
        <f>VLOOKUP(Demand_Data___Hourly_OverviewSearch_1_csv[[#This Row],[Date]],Supply_Data___Hourly_DriverActivity_1_csv__3[#All],7,FALSE)</f>
        <v>0.83</v>
      </c>
      <c r="O174">
        <f>VLOOKUP(Demand_Data___Hourly_OverviewSearch_1_csv[[#This Row],[Date]],Supply_Data___Hourly_DriverActivity_1_csv__3[#All],8,FALSE)</f>
        <v>20</v>
      </c>
      <c r="P174">
        <f>(Demand_Data___Hourly_OverviewSearch_1_csv[[#This Row],[People saw 0 cars (unique)]]+Demand_Data___Hourly_OverviewSearch_1_csv[[#This Row],[People saw +1 cars (unique)]])</f>
        <v>76</v>
      </c>
      <c r="Q174" s="143">
        <f t="shared" si="11"/>
        <v>12</v>
      </c>
    </row>
    <row r="175" spans="1:17" x14ac:dyDescent="0.3">
      <c r="A175" t="s">
        <v>181</v>
      </c>
      <c r="B175" t="str">
        <f t="shared" si="8"/>
        <v xml:space="preserve"> 18</v>
      </c>
      <c r="C175">
        <f t="shared" si="9"/>
        <v>7</v>
      </c>
      <c r="D175" t="str">
        <f t="shared" si="10"/>
        <v xml:space="preserve">2016-12-11 </v>
      </c>
      <c r="E175" t="str">
        <f>TEXT(Demand_Data___Hourly_OverviewSearch_1_csv[[#This Row],[Day]],"dddd")</f>
        <v>Saturday</v>
      </c>
      <c r="F175">
        <v>24</v>
      </c>
      <c r="G175">
        <v>67</v>
      </c>
      <c r="H175">
        <v>74</v>
      </c>
      <c r="I175">
        <f>VLOOKUP(Demand_Data___Hourly_OverviewSearch_1_csv[[#This Row],[Date]],Supply_Data___Hourly_DriverActivity_1_csv__3[#All],2,FALSE)</f>
        <v>61</v>
      </c>
      <c r="J175">
        <f>VLOOKUP(Demand_Data___Hourly_OverviewSearch_1_csv[[#This Row],[Date]],Supply_Data___Hourly_DriverActivity_1_csv__3[#All],3,FALSE)</f>
        <v>25</v>
      </c>
      <c r="K175">
        <f>VLOOKUP(Demand_Data___Hourly_OverviewSearch_1_csv[[#This Row],[Date]],Supply_Data___Hourly_DriverActivity_1_csv__3[#All],4,FALSE)</f>
        <v>12</v>
      </c>
      <c r="L175">
        <f>VLOOKUP(Demand_Data___Hourly_OverviewSearch_1_csv[[#This Row],[Date]],Supply_Data___Hourly_DriverActivity_1_csv__3[#All],5,FALSE)</f>
        <v>13</v>
      </c>
      <c r="M175">
        <f>VLOOKUP(Demand_Data___Hourly_OverviewSearch_1_csv[[#This Row],[Date]],Supply_Data___Hourly_DriverActivity_1_csv__3[#All],6,FALSE)</f>
        <v>0.4</v>
      </c>
      <c r="N175">
        <f>VLOOKUP(Demand_Data___Hourly_OverviewSearch_1_csv[[#This Row],[Date]],Supply_Data___Hourly_DriverActivity_1_csv__3[#All],7,FALSE)</f>
        <v>1.1200000000000001</v>
      </c>
      <c r="O175">
        <f>VLOOKUP(Demand_Data___Hourly_OverviewSearch_1_csv[[#This Row],[Date]],Supply_Data___Hourly_DriverActivity_1_csv__3[#All],8,FALSE)</f>
        <v>28</v>
      </c>
      <c r="P175">
        <f>(Demand_Data___Hourly_OverviewSearch_1_csv[[#This Row],[People saw 0 cars (unique)]]+Demand_Data___Hourly_OverviewSearch_1_csv[[#This Row],[People saw +1 cars (unique)]])</f>
        <v>91</v>
      </c>
      <c r="Q175" s="143">
        <f t="shared" si="11"/>
        <v>13</v>
      </c>
    </row>
    <row r="176" spans="1:17" x14ac:dyDescent="0.3">
      <c r="A176" t="s">
        <v>182</v>
      </c>
      <c r="B176" t="str">
        <f t="shared" si="8"/>
        <v xml:space="preserve"> 17</v>
      </c>
      <c r="C176">
        <f t="shared" si="9"/>
        <v>7</v>
      </c>
      <c r="D176" t="str">
        <f t="shared" si="10"/>
        <v xml:space="preserve">2016-12-11 </v>
      </c>
      <c r="E176" t="str">
        <f>TEXT(Demand_Data___Hourly_OverviewSearch_1_csv[[#This Row],[Day]],"dddd")</f>
        <v>Saturday</v>
      </c>
      <c r="F176">
        <v>25</v>
      </c>
      <c r="G176">
        <v>47</v>
      </c>
      <c r="H176">
        <v>65</v>
      </c>
      <c r="I176">
        <f>VLOOKUP(Demand_Data___Hourly_OverviewSearch_1_csv[[#This Row],[Date]],Supply_Data___Hourly_DriverActivity_1_csv__3[#All],2,FALSE)</f>
        <v>64</v>
      </c>
      <c r="J176">
        <f>VLOOKUP(Demand_Data___Hourly_OverviewSearch_1_csv[[#This Row],[Date]],Supply_Data___Hourly_DriverActivity_1_csv__3[#All],3,FALSE)</f>
        <v>21</v>
      </c>
      <c r="K176">
        <f>VLOOKUP(Demand_Data___Hourly_OverviewSearch_1_csv[[#This Row],[Date]],Supply_Data___Hourly_DriverActivity_1_csv__3[#All],4,FALSE)</f>
        <v>9</v>
      </c>
      <c r="L176">
        <f>VLOOKUP(Demand_Data___Hourly_OverviewSearch_1_csv[[#This Row],[Date]],Supply_Data___Hourly_DriverActivity_1_csv__3[#All],5,FALSE)</f>
        <v>12</v>
      </c>
      <c r="M176">
        <f>VLOOKUP(Demand_Data___Hourly_OverviewSearch_1_csv[[#This Row],[Date]],Supply_Data___Hourly_DriverActivity_1_csv__3[#All],6,FALSE)</f>
        <v>0.3</v>
      </c>
      <c r="N176">
        <f>VLOOKUP(Demand_Data___Hourly_OverviewSearch_1_csv[[#This Row],[Date]],Supply_Data___Hourly_DriverActivity_1_csv__3[#All],7,FALSE)</f>
        <v>1</v>
      </c>
      <c r="O176">
        <f>VLOOKUP(Demand_Data___Hourly_OverviewSearch_1_csv[[#This Row],[Date]],Supply_Data___Hourly_DriverActivity_1_csv__3[#All],8,FALSE)</f>
        <v>21</v>
      </c>
      <c r="P176">
        <f>(Demand_Data___Hourly_OverviewSearch_1_csv[[#This Row],[People saw 0 cars (unique)]]+Demand_Data___Hourly_OverviewSearch_1_csv[[#This Row],[People saw +1 cars (unique)]])</f>
        <v>72</v>
      </c>
      <c r="Q176" s="143">
        <f t="shared" si="11"/>
        <v>12</v>
      </c>
    </row>
    <row r="177" spans="1:17" x14ac:dyDescent="0.3">
      <c r="A177" t="s">
        <v>183</v>
      </c>
      <c r="B177" t="str">
        <f t="shared" si="8"/>
        <v xml:space="preserve"> 16</v>
      </c>
      <c r="C177">
        <f t="shared" si="9"/>
        <v>7</v>
      </c>
      <c r="D177" t="str">
        <f t="shared" si="10"/>
        <v xml:space="preserve">2016-12-11 </v>
      </c>
      <c r="E177" t="str">
        <f>TEXT(Demand_Data___Hourly_OverviewSearch_1_csv[[#This Row],[Day]],"dddd")</f>
        <v>Saturday</v>
      </c>
      <c r="F177">
        <v>14</v>
      </c>
      <c r="G177">
        <v>34</v>
      </c>
      <c r="H177">
        <v>71</v>
      </c>
      <c r="I177">
        <f>VLOOKUP(Demand_Data___Hourly_OverviewSearch_1_csv[[#This Row],[Date]],Supply_Data___Hourly_DriverActivity_1_csv__3[#All],2,FALSE)</f>
        <v>55</v>
      </c>
      <c r="J177">
        <f>VLOOKUP(Demand_Data___Hourly_OverviewSearch_1_csv[[#This Row],[Date]],Supply_Data___Hourly_DriverActivity_1_csv__3[#All],3,FALSE)</f>
        <v>17</v>
      </c>
      <c r="K177">
        <f>VLOOKUP(Demand_Data___Hourly_OverviewSearch_1_csv[[#This Row],[Date]],Supply_Data___Hourly_DriverActivity_1_csv__3[#All],4,FALSE)</f>
        <v>5</v>
      </c>
      <c r="L177">
        <f>VLOOKUP(Demand_Data___Hourly_OverviewSearch_1_csv[[#This Row],[Date]],Supply_Data___Hourly_DriverActivity_1_csv__3[#All],5,FALSE)</f>
        <v>12</v>
      </c>
      <c r="M177">
        <f>VLOOKUP(Demand_Data___Hourly_OverviewSearch_1_csv[[#This Row],[Date]],Supply_Data___Hourly_DriverActivity_1_csv__3[#All],6,FALSE)</f>
        <v>0.3</v>
      </c>
      <c r="N177">
        <f>VLOOKUP(Demand_Data___Hourly_OverviewSearch_1_csv[[#This Row],[Date]],Supply_Data___Hourly_DriverActivity_1_csv__3[#All],7,FALSE)</f>
        <v>0.82</v>
      </c>
      <c r="O177">
        <f>VLOOKUP(Demand_Data___Hourly_OverviewSearch_1_csv[[#This Row],[Date]],Supply_Data___Hourly_DriverActivity_1_csv__3[#All],8,FALSE)</f>
        <v>14</v>
      </c>
      <c r="P177">
        <f>(Demand_Data___Hourly_OverviewSearch_1_csv[[#This Row],[People saw 0 cars (unique)]]+Demand_Data___Hourly_OverviewSearch_1_csv[[#This Row],[People saw +1 cars (unique)]])</f>
        <v>48</v>
      </c>
      <c r="Q177" s="143">
        <f t="shared" si="11"/>
        <v>12</v>
      </c>
    </row>
    <row r="178" spans="1:17" x14ac:dyDescent="0.3">
      <c r="A178" t="s">
        <v>184</v>
      </c>
      <c r="B178" t="str">
        <f t="shared" si="8"/>
        <v xml:space="preserve"> 15</v>
      </c>
      <c r="C178">
        <f t="shared" si="9"/>
        <v>7</v>
      </c>
      <c r="D178" t="str">
        <f t="shared" si="10"/>
        <v xml:space="preserve">2016-12-11 </v>
      </c>
      <c r="E178" t="str">
        <f>TEXT(Demand_Data___Hourly_OverviewSearch_1_csv[[#This Row],[Day]],"dddd")</f>
        <v>Saturday</v>
      </c>
      <c r="F178">
        <v>10</v>
      </c>
      <c r="G178">
        <v>35</v>
      </c>
      <c r="H178">
        <v>78</v>
      </c>
      <c r="I178">
        <f>VLOOKUP(Demand_Data___Hourly_OverviewSearch_1_csv[[#This Row],[Date]],Supply_Data___Hourly_DriverActivity_1_csv__3[#All],2,FALSE)</f>
        <v>51</v>
      </c>
      <c r="J178">
        <f>VLOOKUP(Demand_Data___Hourly_OverviewSearch_1_csv[[#This Row],[Date]],Supply_Data___Hourly_DriverActivity_1_csv__3[#All],3,FALSE)</f>
        <v>19</v>
      </c>
      <c r="K178">
        <f>VLOOKUP(Demand_Data___Hourly_OverviewSearch_1_csv[[#This Row],[Date]],Supply_Data___Hourly_DriverActivity_1_csv__3[#All],4,FALSE)</f>
        <v>6</v>
      </c>
      <c r="L178">
        <f>VLOOKUP(Demand_Data___Hourly_OverviewSearch_1_csv[[#This Row],[Date]],Supply_Data___Hourly_DriverActivity_1_csv__3[#All],5,FALSE)</f>
        <v>13</v>
      </c>
      <c r="M178">
        <f>VLOOKUP(Demand_Data___Hourly_OverviewSearch_1_csv[[#This Row],[Date]],Supply_Data___Hourly_DriverActivity_1_csv__3[#All],6,FALSE)</f>
        <v>0.4</v>
      </c>
      <c r="N178">
        <f>VLOOKUP(Demand_Data___Hourly_OverviewSearch_1_csv[[#This Row],[Date]],Supply_Data___Hourly_DriverActivity_1_csv__3[#All],7,FALSE)</f>
        <v>0.47</v>
      </c>
      <c r="O178">
        <f>VLOOKUP(Demand_Data___Hourly_OverviewSearch_1_csv[[#This Row],[Date]],Supply_Data___Hourly_DriverActivity_1_csv__3[#All],8,FALSE)</f>
        <v>9</v>
      </c>
      <c r="P178">
        <f>(Demand_Data___Hourly_OverviewSearch_1_csv[[#This Row],[People saw 0 cars (unique)]]+Demand_Data___Hourly_OverviewSearch_1_csv[[#This Row],[People saw +1 cars (unique)]])</f>
        <v>45</v>
      </c>
      <c r="Q178" s="143">
        <f t="shared" si="11"/>
        <v>13</v>
      </c>
    </row>
    <row r="179" spans="1:17" x14ac:dyDescent="0.3">
      <c r="A179" t="s">
        <v>185</v>
      </c>
      <c r="B179" t="str">
        <f t="shared" si="8"/>
        <v xml:space="preserve"> 14</v>
      </c>
      <c r="C179">
        <f t="shared" si="9"/>
        <v>7</v>
      </c>
      <c r="D179" t="str">
        <f t="shared" si="10"/>
        <v xml:space="preserve">2016-12-11 </v>
      </c>
      <c r="E179" t="str">
        <f>TEXT(Demand_Data___Hourly_OverviewSearch_1_csv[[#This Row],[Day]],"dddd")</f>
        <v>Saturday</v>
      </c>
      <c r="F179">
        <v>26</v>
      </c>
      <c r="G179">
        <v>41</v>
      </c>
      <c r="H179">
        <v>61</v>
      </c>
      <c r="I179">
        <f>VLOOKUP(Demand_Data___Hourly_OverviewSearch_1_csv[[#This Row],[Date]],Supply_Data___Hourly_DriverActivity_1_csv__3[#All],2,FALSE)</f>
        <v>51</v>
      </c>
      <c r="J179">
        <f>VLOOKUP(Demand_Data___Hourly_OverviewSearch_1_csv[[#This Row],[Date]],Supply_Data___Hourly_DriverActivity_1_csv__3[#All],3,FALSE)</f>
        <v>18</v>
      </c>
      <c r="K179">
        <f>VLOOKUP(Demand_Data___Hourly_OverviewSearch_1_csv[[#This Row],[Date]],Supply_Data___Hourly_DriverActivity_1_csv__3[#All],4,FALSE)</f>
        <v>7</v>
      </c>
      <c r="L179">
        <f>VLOOKUP(Demand_Data___Hourly_OverviewSearch_1_csv[[#This Row],[Date]],Supply_Data___Hourly_DriverActivity_1_csv__3[#All],5,FALSE)</f>
        <v>11</v>
      </c>
      <c r="M179">
        <f>VLOOKUP(Demand_Data___Hourly_OverviewSearch_1_csv[[#This Row],[Date]],Supply_Data___Hourly_DriverActivity_1_csv__3[#All],6,FALSE)</f>
        <v>0.4</v>
      </c>
      <c r="N179">
        <f>VLOOKUP(Demand_Data___Hourly_OverviewSearch_1_csv[[#This Row],[Date]],Supply_Data___Hourly_DriverActivity_1_csv__3[#All],7,FALSE)</f>
        <v>1.1100000000000001</v>
      </c>
      <c r="O179">
        <f>VLOOKUP(Demand_Data___Hourly_OverviewSearch_1_csv[[#This Row],[Date]],Supply_Data___Hourly_DriverActivity_1_csv__3[#All],8,FALSE)</f>
        <v>20</v>
      </c>
      <c r="P179">
        <f>(Demand_Data___Hourly_OverviewSearch_1_csv[[#This Row],[People saw 0 cars (unique)]]+Demand_Data___Hourly_OverviewSearch_1_csv[[#This Row],[People saw +1 cars (unique)]])</f>
        <v>67</v>
      </c>
      <c r="Q179" s="143">
        <f t="shared" si="11"/>
        <v>11</v>
      </c>
    </row>
    <row r="180" spans="1:17" x14ac:dyDescent="0.3">
      <c r="A180" t="s">
        <v>186</v>
      </c>
      <c r="B180" t="str">
        <f t="shared" si="8"/>
        <v xml:space="preserve"> 13</v>
      </c>
      <c r="C180">
        <f t="shared" si="9"/>
        <v>7</v>
      </c>
      <c r="D180" t="str">
        <f t="shared" si="10"/>
        <v xml:space="preserve">2016-12-11 </v>
      </c>
      <c r="E180" t="str">
        <f>TEXT(Demand_Data___Hourly_OverviewSearch_1_csv[[#This Row],[Day]],"dddd")</f>
        <v>Saturday</v>
      </c>
      <c r="F180">
        <v>20</v>
      </c>
      <c r="G180">
        <v>32</v>
      </c>
      <c r="H180">
        <v>62</v>
      </c>
      <c r="I180">
        <f>VLOOKUP(Demand_Data___Hourly_OverviewSearch_1_csv[[#This Row],[Date]],Supply_Data___Hourly_DriverActivity_1_csv__3[#All],2,FALSE)</f>
        <v>45</v>
      </c>
      <c r="J180">
        <f>VLOOKUP(Demand_Data___Hourly_OverviewSearch_1_csv[[#This Row],[Date]],Supply_Data___Hourly_DriverActivity_1_csv__3[#All],3,FALSE)</f>
        <v>13</v>
      </c>
      <c r="K180">
        <f>VLOOKUP(Demand_Data___Hourly_OverviewSearch_1_csv[[#This Row],[Date]],Supply_Data___Hourly_DriverActivity_1_csv__3[#All],4,FALSE)</f>
        <v>4</v>
      </c>
      <c r="L180">
        <f>VLOOKUP(Demand_Data___Hourly_OverviewSearch_1_csv[[#This Row],[Date]],Supply_Data___Hourly_DriverActivity_1_csv__3[#All],5,FALSE)</f>
        <v>9</v>
      </c>
      <c r="M180">
        <f>VLOOKUP(Demand_Data___Hourly_OverviewSearch_1_csv[[#This Row],[Date]],Supply_Data___Hourly_DriverActivity_1_csv__3[#All],6,FALSE)</f>
        <v>0.3</v>
      </c>
      <c r="N180">
        <f>VLOOKUP(Demand_Data___Hourly_OverviewSearch_1_csv[[#This Row],[Date]],Supply_Data___Hourly_DriverActivity_1_csv__3[#All],7,FALSE)</f>
        <v>0.69</v>
      </c>
      <c r="O180">
        <f>VLOOKUP(Demand_Data___Hourly_OverviewSearch_1_csv[[#This Row],[Date]],Supply_Data___Hourly_DriverActivity_1_csv__3[#All],8,FALSE)</f>
        <v>9</v>
      </c>
      <c r="P180">
        <f>(Demand_Data___Hourly_OverviewSearch_1_csv[[#This Row],[People saw 0 cars (unique)]]+Demand_Data___Hourly_OverviewSearch_1_csv[[#This Row],[People saw +1 cars (unique)]])</f>
        <v>52</v>
      </c>
      <c r="Q180" s="143">
        <f t="shared" si="11"/>
        <v>9</v>
      </c>
    </row>
    <row r="181" spans="1:17" x14ac:dyDescent="0.3">
      <c r="A181" t="s">
        <v>187</v>
      </c>
      <c r="B181" t="str">
        <f t="shared" si="8"/>
        <v xml:space="preserve"> 12</v>
      </c>
      <c r="C181">
        <f t="shared" si="9"/>
        <v>7</v>
      </c>
      <c r="D181" t="str">
        <f t="shared" si="10"/>
        <v xml:space="preserve">2016-12-11 </v>
      </c>
      <c r="E181" t="str">
        <f>TEXT(Demand_Data___Hourly_OverviewSearch_1_csv[[#This Row],[Day]],"dddd")</f>
        <v>Saturday</v>
      </c>
      <c r="F181">
        <v>32</v>
      </c>
      <c r="G181">
        <v>30</v>
      </c>
      <c r="H181">
        <v>48</v>
      </c>
      <c r="I181">
        <f>VLOOKUP(Demand_Data___Hourly_OverviewSearch_1_csv[[#This Row],[Date]],Supply_Data___Hourly_DriverActivity_1_csv__3[#All],2,FALSE)</f>
        <v>36</v>
      </c>
      <c r="J181">
        <f>VLOOKUP(Demand_Data___Hourly_OverviewSearch_1_csv[[#This Row],[Date]],Supply_Data___Hourly_DriverActivity_1_csv__3[#All],3,FALSE)</f>
        <v>11</v>
      </c>
      <c r="K181">
        <f>VLOOKUP(Demand_Data___Hourly_OverviewSearch_1_csv[[#This Row],[Date]],Supply_Data___Hourly_DriverActivity_1_csv__3[#All],4,FALSE)</f>
        <v>4</v>
      </c>
      <c r="L181">
        <f>VLOOKUP(Demand_Data___Hourly_OverviewSearch_1_csv[[#This Row],[Date]],Supply_Data___Hourly_DriverActivity_1_csv__3[#All],5,FALSE)</f>
        <v>7</v>
      </c>
      <c r="M181">
        <f>VLOOKUP(Demand_Data___Hourly_OverviewSearch_1_csv[[#This Row],[Date]],Supply_Data___Hourly_DriverActivity_1_csv__3[#All],6,FALSE)</f>
        <v>0.3</v>
      </c>
      <c r="N181">
        <f>VLOOKUP(Demand_Data___Hourly_OverviewSearch_1_csv[[#This Row],[Date]],Supply_Data___Hourly_DriverActivity_1_csv__3[#All],7,FALSE)</f>
        <v>1</v>
      </c>
      <c r="O181">
        <f>VLOOKUP(Demand_Data___Hourly_OverviewSearch_1_csv[[#This Row],[Date]],Supply_Data___Hourly_DriverActivity_1_csv__3[#All],8,FALSE)</f>
        <v>11</v>
      </c>
      <c r="P181">
        <f>(Demand_Data___Hourly_OverviewSearch_1_csv[[#This Row],[People saw 0 cars (unique)]]+Demand_Data___Hourly_OverviewSearch_1_csv[[#This Row],[People saw +1 cars (unique)]])</f>
        <v>62</v>
      </c>
      <c r="Q181" s="143">
        <f t="shared" si="11"/>
        <v>7</v>
      </c>
    </row>
    <row r="182" spans="1:17" x14ac:dyDescent="0.3">
      <c r="A182" t="s">
        <v>188</v>
      </c>
      <c r="B182" t="str">
        <f t="shared" si="8"/>
        <v xml:space="preserve"> 11</v>
      </c>
      <c r="C182">
        <f t="shared" si="9"/>
        <v>7</v>
      </c>
      <c r="D182" t="str">
        <f t="shared" si="10"/>
        <v xml:space="preserve">2016-12-11 </v>
      </c>
      <c r="E182" t="str">
        <f>TEXT(Demand_Data___Hourly_OverviewSearch_1_csv[[#This Row],[Day]],"dddd")</f>
        <v>Saturday</v>
      </c>
      <c r="F182">
        <v>23</v>
      </c>
      <c r="G182">
        <v>19</v>
      </c>
      <c r="H182">
        <v>45</v>
      </c>
      <c r="I182">
        <f>VLOOKUP(Demand_Data___Hourly_OverviewSearch_1_csv[[#This Row],[Date]],Supply_Data___Hourly_DriverActivity_1_csv__3[#All],2,FALSE)</f>
        <v>32</v>
      </c>
      <c r="J182">
        <f>VLOOKUP(Demand_Data___Hourly_OverviewSearch_1_csv[[#This Row],[Date]],Supply_Data___Hourly_DriverActivity_1_csv__3[#All],3,FALSE)</f>
        <v>9</v>
      </c>
      <c r="K182">
        <f>VLOOKUP(Demand_Data___Hourly_OverviewSearch_1_csv[[#This Row],[Date]],Supply_Data___Hourly_DriverActivity_1_csv__3[#All],4,FALSE)</f>
        <v>1</v>
      </c>
      <c r="L182">
        <f>VLOOKUP(Demand_Data___Hourly_OverviewSearch_1_csv[[#This Row],[Date]],Supply_Data___Hourly_DriverActivity_1_csv__3[#All],5,FALSE)</f>
        <v>8</v>
      </c>
      <c r="M182">
        <f>VLOOKUP(Demand_Data___Hourly_OverviewSearch_1_csv[[#This Row],[Date]],Supply_Data___Hourly_DriverActivity_1_csv__3[#All],6,FALSE)</f>
        <v>0.3</v>
      </c>
      <c r="N182">
        <f>VLOOKUP(Demand_Data___Hourly_OverviewSearch_1_csv[[#This Row],[Date]],Supply_Data___Hourly_DriverActivity_1_csv__3[#All],7,FALSE)</f>
        <v>0.67</v>
      </c>
      <c r="O182">
        <f>VLOOKUP(Demand_Data___Hourly_OverviewSearch_1_csv[[#This Row],[Date]],Supply_Data___Hourly_DriverActivity_1_csv__3[#All],8,FALSE)</f>
        <v>6</v>
      </c>
      <c r="P182">
        <f>(Demand_Data___Hourly_OverviewSearch_1_csv[[#This Row],[People saw 0 cars (unique)]]+Demand_Data___Hourly_OverviewSearch_1_csv[[#This Row],[People saw +1 cars (unique)]])</f>
        <v>42</v>
      </c>
      <c r="Q182" s="143">
        <f t="shared" si="11"/>
        <v>8</v>
      </c>
    </row>
    <row r="183" spans="1:17" x14ac:dyDescent="0.3">
      <c r="A183" t="s">
        <v>189</v>
      </c>
      <c r="B183" t="str">
        <f t="shared" si="8"/>
        <v xml:space="preserve"> 10</v>
      </c>
      <c r="C183">
        <f t="shared" si="9"/>
        <v>7</v>
      </c>
      <c r="D183" t="str">
        <f t="shared" si="10"/>
        <v xml:space="preserve">2016-12-11 </v>
      </c>
      <c r="E183" t="str">
        <f>TEXT(Demand_Data___Hourly_OverviewSearch_1_csv[[#This Row],[Day]],"dddd")</f>
        <v>Saturday</v>
      </c>
      <c r="F183">
        <v>10</v>
      </c>
      <c r="G183">
        <v>14</v>
      </c>
      <c r="H183">
        <v>58</v>
      </c>
      <c r="I183">
        <f>VLOOKUP(Demand_Data___Hourly_OverviewSearch_1_csv[[#This Row],[Date]],Supply_Data___Hourly_DriverActivity_1_csv__3[#All],2,FALSE)</f>
        <v>31</v>
      </c>
      <c r="J183">
        <f>VLOOKUP(Demand_Data___Hourly_OverviewSearch_1_csv[[#This Row],[Date]],Supply_Data___Hourly_DriverActivity_1_csv__3[#All],3,FALSE)</f>
        <v>7</v>
      </c>
      <c r="K183">
        <f>VLOOKUP(Demand_Data___Hourly_OverviewSearch_1_csv[[#This Row],[Date]],Supply_Data___Hourly_DriverActivity_1_csv__3[#All],4,FALSE)</f>
        <v>1</v>
      </c>
      <c r="L183">
        <f>VLOOKUP(Demand_Data___Hourly_OverviewSearch_1_csv[[#This Row],[Date]],Supply_Data___Hourly_DriverActivity_1_csv__3[#All],5,FALSE)</f>
        <v>6</v>
      </c>
      <c r="M183">
        <f>VLOOKUP(Demand_Data___Hourly_OverviewSearch_1_csv[[#This Row],[Date]],Supply_Data___Hourly_DriverActivity_1_csv__3[#All],6,FALSE)</f>
        <v>0.2</v>
      </c>
      <c r="N183">
        <f>VLOOKUP(Demand_Data___Hourly_OverviewSearch_1_csv[[#This Row],[Date]],Supply_Data___Hourly_DriverActivity_1_csv__3[#All],7,FALSE)</f>
        <v>0.28999999999999998</v>
      </c>
      <c r="O183">
        <f>VLOOKUP(Demand_Data___Hourly_OverviewSearch_1_csv[[#This Row],[Date]],Supply_Data___Hourly_DriverActivity_1_csv__3[#All],8,FALSE)</f>
        <v>2</v>
      </c>
      <c r="P183">
        <f>(Demand_Data___Hourly_OverviewSearch_1_csv[[#This Row],[People saw 0 cars (unique)]]+Demand_Data___Hourly_OverviewSearch_1_csv[[#This Row],[People saw +1 cars (unique)]])</f>
        <v>24</v>
      </c>
      <c r="Q183" s="143">
        <f t="shared" si="11"/>
        <v>6</v>
      </c>
    </row>
    <row r="184" spans="1:17" x14ac:dyDescent="0.3">
      <c r="A184" t="s">
        <v>190</v>
      </c>
      <c r="B184" t="str">
        <f t="shared" si="8"/>
        <v xml:space="preserve"> 09</v>
      </c>
      <c r="C184">
        <f t="shared" si="9"/>
        <v>7</v>
      </c>
      <c r="D184" t="str">
        <f t="shared" si="10"/>
        <v xml:space="preserve">2016-12-11 </v>
      </c>
      <c r="E184" t="str">
        <f>TEXT(Demand_Data___Hourly_OverviewSearch_1_csv[[#This Row],[Day]],"dddd")</f>
        <v>Saturday</v>
      </c>
      <c r="F184">
        <v>9</v>
      </c>
      <c r="G184">
        <v>14</v>
      </c>
      <c r="H184">
        <v>61</v>
      </c>
      <c r="I184">
        <f>VLOOKUP(Demand_Data___Hourly_OverviewSearch_1_csv[[#This Row],[Date]],Supply_Data___Hourly_DriverActivity_1_csv__3[#All],2,FALSE)</f>
        <v>29</v>
      </c>
      <c r="J184">
        <f>VLOOKUP(Demand_Data___Hourly_OverviewSearch_1_csv[[#This Row],[Date]],Supply_Data___Hourly_DriverActivity_1_csv__3[#All],3,FALSE)</f>
        <v>8</v>
      </c>
      <c r="K184">
        <f>VLOOKUP(Demand_Data___Hourly_OverviewSearch_1_csv[[#This Row],[Date]],Supply_Data___Hourly_DriverActivity_1_csv__3[#All],4,FALSE)</f>
        <v>1</v>
      </c>
      <c r="L184">
        <f>VLOOKUP(Demand_Data___Hourly_OverviewSearch_1_csv[[#This Row],[Date]],Supply_Data___Hourly_DriverActivity_1_csv__3[#All],5,FALSE)</f>
        <v>7</v>
      </c>
      <c r="M184">
        <f>VLOOKUP(Demand_Data___Hourly_OverviewSearch_1_csv[[#This Row],[Date]],Supply_Data___Hourly_DriverActivity_1_csv__3[#All],6,FALSE)</f>
        <v>0.3</v>
      </c>
      <c r="N184">
        <f>VLOOKUP(Demand_Data___Hourly_OverviewSearch_1_csv[[#This Row],[Date]],Supply_Data___Hourly_DriverActivity_1_csv__3[#All],7,FALSE)</f>
        <v>0.25</v>
      </c>
      <c r="O184">
        <f>VLOOKUP(Demand_Data___Hourly_OverviewSearch_1_csv[[#This Row],[Date]],Supply_Data___Hourly_DriverActivity_1_csv__3[#All],8,FALSE)</f>
        <v>2</v>
      </c>
      <c r="P184">
        <f>(Demand_Data___Hourly_OverviewSearch_1_csv[[#This Row],[People saw 0 cars (unique)]]+Demand_Data___Hourly_OverviewSearch_1_csv[[#This Row],[People saw +1 cars (unique)]])</f>
        <v>23</v>
      </c>
      <c r="Q184" s="143">
        <f t="shared" si="11"/>
        <v>7</v>
      </c>
    </row>
    <row r="185" spans="1:17" x14ac:dyDescent="0.3">
      <c r="A185" t="s">
        <v>191</v>
      </c>
      <c r="B185" t="str">
        <f t="shared" si="8"/>
        <v xml:space="preserve"> 08</v>
      </c>
      <c r="C185">
        <f t="shared" si="9"/>
        <v>7</v>
      </c>
      <c r="D185" t="str">
        <f t="shared" si="10"/>
        <v xml:space="preserve">2016-12-11 </v>
      </c>
      <c r="E185" t="str">
        <f>TEXT(Demand_Data___Hourly_OverviewSearch_1_csv[[#This Row],[Day]],"dddd")</f>
        <v>Saturday</v>
      </c>
      <c r="F185">
        <v>10</v>
      </c>
      <c r="G185">
        <v>8</v>
      </c>
      <c r="H185">
        <v>44</v>
      </c>
      <c r="I185">
        <f>VLOOKUP(Demand_Data___Hourly_OverviewSearch_1_csv[[#This Row],[Date]],Supply_Data___Hourly_DriverActivity_1_csv__3[#All],2,FALSE)</f>
        <v>27</v>
      </c>
      <c r="J185">
        <f>VLOOKUP(Demand_Data___Hourly_OverviewSearch_1_csv[[#This Row],[Date]],Supply_Data___Hourly_DriverActivity_1_csv__3[#All],3,FALSE)</f>
        <v>7</v>
      </c>
      <c r="K185">
        <f>VLOOKUP(Demand_Data___Hourly_OverviewSearch_1_csv[[#This Row],[Date]],Supply_Data___Hourly_DriverActivity_1_csv__3[#All],4,FALSE)</f>
        <v>1</v>
      </c>
      <c r="L185">
        <f>VLOOKUP(Demand_Data___Hourly_OverviewSearch_1_csv[[#This Row],[Date]],Supply_Data___Hourly_DriverActivity_1_csv__3[#All],5,FALSE)</f>
        <v>6</v>
      </c>
      <c r="M185">
        <f>VLOOKUP(Demand_Data___Hourly_OverviewSearch_1_csv[[#This Row],[Date]],Supply_Data___Hourly_DriverActivity_1_csv__3[#All],6,FALSE)</f>
        <v>0.3</v>
      </c>
      <c r="N185">
        <f>VLOOKUP(Demand_Data___Hourly_OverviewSearch_1_csv[[#This Row],[Date]],Supply_Data___Hourly_DriverActivity_1_csv__3[#All],7,FALSE)</f>
        <v>0.56999999999999995</v>
      </c>
      <c r="O185">
        <f>VLOOKUP(Demand_Data___Hourly_OverviewSearch_1_csv[[#This Row],[Date]],Supply_Data___Hourly_DriverActivity_1_csv__3[#All],8,FALSE)</f>
        <v>4</v>
      </c>
      <c r="P185">
        <f>(Demand_Data___Hourly_OverviewSearch_1_csv[[#This Row],[People saw 0 cars (unique)]]+Demand_Data___Hourly_OverviewSearch_1_csv[[#This Row],[People saw +1 cars (unique)]])</f>
        <v>18</v>
      </c>
      <c r="Q185" s="143">
        <f t="shared" si="11"/>
        <v>6</v>
      </c>
    </row>
    <row r="186" spans="1:17" x14ac:dyDescent="0.3">
      <c r="A186" t="s">
        <v>192</v>
      </c>
      <c r="B186" t="str">
        <f t="shared" si="8"/>
        <v xml:space="preserve"> 07</v>
      </c>
      <c r="C186">
        <f t="shared" si="9"/>
        <v>7</v>
      </c>
      <c r="D186" t="str">
        <f t="shared" si="10"/>
        <v xml:space="preserve">2016-12-11 </v>
      </c>
      <c r="E186" t="str">
        <f>TEXT(Demand_Data___Hourly_OverviewSearch_1_csv[[#This Row],[Day]],"dddd")</f>
        <v>Saturday</v>
      </c>
      <c r="F186">
        <v>3</v>
      </c>
      <c r="G186">
        <v>5</v>
      </c>
      <c r="H186">
        <v>63</v>
      </c>
      <c r="I186">
        <f>VLOOKUP(Demand_Data___Hourly_OverviewSearch_1_csv[[#This Row],[Date]],Supply_Data___Hourly_DriverActivity_1_csv__3[#All],2,FALSE)</f>
        <v>25</v>
      </c>
      <c r="J186">
        <f>VLOOKUP(Demand_Data___Hourly_OverviewSearch_1_csv[[#This Row],[Date]],Supply_Data___Hourly_DriverActivity_1_csv__3[#All],3,FALSE)</f>
        <v>11</v>
      </c>
      <c r="K186">
        <f>VLOOKUP(Demand_Data___Hourly_OverviewSearch_1_csv[[#This Row],[Date]],Supply_Data___Hourly_DriverActivity_1_csv__3[#All],4,FALSE)</f>
        <v>1</v>
      </c>
      <c r="L186">
        <f>VLOOKUP(Demand_Data___Hourly_OverviewSearch_1_csv[[#This Row],[Date]],Supply_Data___Hourly_DriverActivity_1_csv__3[#All],5,FALSE)</f>
        <v>10</v>
      </c>
      <c r="M186">
        <f>VLOOKUP(Demand_Data___Hourly_OverviewSearch_1_csv[[#This Row],[Date]],Supply_Data___Hourly_DriverActivity_1_csv__3[#All],6,FALSE)</f>
        <v>0.4</v>
      </c>
      <c r="N186">
        <f>VLOOKUP(Demand_Data___Hourly_OverviewSearch_1_csv[[#This Row],[Date]],Supply_Data___Hourly_DriverActivity_1_csv__3[#All],7,FALSE)</f>
        <v>0</v>
      </c>
      <c r="O186">
        <f>VLOOKUP(Demand_Data___Hourly_OverviewSearch_1_csv[[#This Row],[Date]],Supply_Data___Hourly_DriverActivity_1_csv__3[#All],8,FALSE)</f>
        <v>0</v>
      </c>
      <c r="P186">
        <f>(Demand_Data___Hourly_OverviewSearch_1_csv[[#This Row],[People saw 0 cars (unique)]]+Demand_Data___Hourly_OverviewSearch_1_csv[[#This Row],[People saw +1 cars (unique)]])</f>
        <v>8</v>
      </c>
      <c r="Q186" s="143">
        <f t="shared" si="11"/>
        <v>10</v>
      </c>
    </row>
    <row r="187" spans="1:17" x14ac:dyDescent="0.3">
      <c r="A187" t="s">
        <v>193</v>
      </c>
      <c r="B187" t="str">
        <f t="shared" si="8"/>
        <v xml:space="preserve"> 06</v>
      </c>
      <c r="C187">
        <f t="shared" si="9"/>
        <v>7</v>
      </c>
      <c r="D187" t="str">
        <f t="shared" si="10"/>
        <v xml:space="preserve">2016-12-11 </v>
      </c>
      <c r="E187" t="str">
        <f>TEXT(Demand_Data___Hourly_OverviewSearch_1_csv[[#This Row],[Day]],"dddd")</f>
        <v>Saturday</v>
      </c>
      <c r="F187">
        <v>4</v>
      </c>
      <c r="G187">
        <v>5</v>
      </c>
      <c r="H187">
        <v>56</v>
      </c>
      <c r="I187">
        <f>VLOOKUP(Demand_Data___Hourly_OverviewSearch_1_csv[[#This Row],[Date]],Supply_Data___Hourly_DriverActivity_1_csv__3[#All],2,FALSE)</f>
        <v>28</v>
      </c>
      <c r="J187">
        <f>VLOOKUP(Demand_Data___Hourly_OverviewSearch_1_csv[[#This Row],[Date]],Supply_Data___Hourly_DriverActivity_1_csv__3[#All],3,FALSE)</f>
        <v>8</v>
      </c>
      <c r="K187">
        <f>VLOOKUP(Demand_Data___Hourly_OverviewSearch_1_csv[[#This Row],[Date]],Supply_Data___Hourly_DriverActivity_1_csv__3[#All],4,FALSE)</f>
        <v>2</v>
      </c>
      <c r="L187">
        <f>VLOOKUP(Demand_Data___Hourly_OverviewSearch_1_csv[[#This Row],[Date]],Supply_Data___Hourly_DriverActivity_1_csv__3[#All],5,FALSE)</f>
        <v>6</v>
      </c>
      <c r="M187">
        <f>VLOOKUP(Demand_Data___Hourly_OverviewSearch_1_csv[[#This Row],[Date]],Supply_Data___Hourly_DriverActivity_1_csv__3[#All],6,FALSE)</f>
        <v>0.3</v>
      </c>
      <c r="N187">
        <f>VLOOKUP(Demand_Data___Hourly_OverviewSearch_1_csv[[#This Row],[Date]],Supply_Data___Hourly_DriverActivity_1_csv__3[#All],7,FALSE)</f>
        <v>0.75</v>
      </c>
      <c r="O187">
        <f>VLOOKUP(Demand_Data___Hourly_OverviewSearch_1_csv[[#This Row],[Date]],Supply_Data___Hourly_DriverActivity_1_csv__3[#All],8,FALSE)</f>
        <v>6</v>
      </c>
      <c r="P187">
        <f>(Demand_Data___Hourly_OverviewSearch_1_csv[[#This Row],[People saw 0 cars (unique)]]+Demand_Data___Hourly_OverviewSearch_1_csv[[#This Row],[People saw +1 cars (unique)]])</f>
        <v>9</v>
      </c>
      <c r="Q187" s="143">
        <f t="shared" si="11"/>
        <v>6</v>
      </c>
    </row>
    <row r="188" spans="1:17" x14ac:dyDescent="0.3">
      <c r="A188" t="s">
        <v>194</v>
      </c>
      <c r="B188" t="str">
        <f t="shared" si="8"/>
        <v xml:space="preserve"> 05</v>
      </c>
      <c r="C188">
        <f t="shared" si="9"/>
        <v>7</v>
      </c>
      <c r="D188" t="str">
        <f t="shared" si="10"/>
        <v xml:space="preserve">2016-12-11 </v>
      </c>
      <c r="E188" t="str">
        <f>TEXT(Demand_Data___Hourly_OverviewSearch_1_csv[[#This Row],[Day]],"dddd")</f>
        <v>Saturday</v>
      </c>
      <c r="F188">
        <v>20</v>
      </c>
      <c r="G188">
        <v>14</v>
      </c>
      <c r="H188">
        <v>41</v>
      </c>
      <c r="I188">
        <f>VLOOKUP(Demand_Data___Hourly_OverviewSearch_1_csv[[#This Row],[Date]],Supply_Data___Hourly_DriverActivity_1_csv__3[#All],2,FALSE)</f>
        <v>28</v>
      </c>
      <c r="J188">
        <f>VLOOKUP(Demand_Data___Hourly_OverviewSearch_1_csv[[#This Row],[Date]],Supply_Data___Hourly_DriverActivity_1_csv__3[#All],3,FALSE)</f>
        <v>6</v>
      </c>
      <c r="K188">
        <f>VLOOKUP(Demand_Data___Hourly_OverviewSearch_1_csv[[#This Row],[Date]],Supply_Data___Hourly_DriverActivity_1_csv__3[#All],4,FALSE)</f>
        <v>2</v>
      </c>
      <c r="L188">
        <f>VLOOKUP(Demand_Data___Hourly_OverviewSearch_1_csv[[#This Row],[Date]],Supply_Data___Hourly_DriverActivity_1_csv__3[#All],5,FALSE)</f>
        <v>4</v>
      </c>
      <c r="M188">
        <f>VLOOKUP(Demand_Data___Hourly_OverviewSearch_1_csv[[#This Row],[Date]],Supply_Data___Hourly_DriverActivity_1_csv__3[#All],6,FALSE)</f>
        <v>0.2</v>
      </c>
      <c r="N188">
        <f>VLOOKUP(Demand_Data___Hourly_OverviewSearch_1_csv[[#This Row],[Date]],Supply_Data___Hourly_DriverActivity_1_csv__3[#All],7,FALSE)</f>
        <v>1</v>
      </c>
      <c r="O188">
        <f>VLOOKUP(Demand_Data___Hourly_OverviewSearch_1_csv[[#This Row],[Date]],Supply_Data___Hourly_DriverActivity_1_csv__3[#All],8,FALSE)</f>
        <v>6</v>
      </c>
      <c r="P188">
        <f>(Demand_Data___Hourly_OverviewSearch_1_csv[[#This Row],[People saw 0 cars (unique)]]+Demand_Data___Hourly_OverviewSearch_1_csv[[#This Row],[People saw +1 cars (unique)]])</f>
        <v>34</v>
      </c>
      <c r="Q188" s="143">
        <f t="shared" si="11"/>
        <v>4</v>
      </c>
    </row>
    <row r="189" spans="1:17" x14ac:dyDescent="0.3">
      <c r="A189" t="s">
        <v>195</v>
      </c>
      <c r="B189" t="str">
        <f t="shared" si="8"/>
        <v xml:space="preserve"> 04</v>
      </c>
      <c r="C189">
        <f t="shared" si="9"/>
        <v>7</v>
      </c>
      <c r="D189" t="str">
        <f t="shared" si="10"/>
        <v xml:space="preserve">2016-12-11 </v>
      </c>
      <c r="E189" t="str">
        <f>TEXT(Demand_Data___Hourly_OverviewSearch_1_csv[[#This Row],[Day]],"dddd")</f>
        <v>Saturday</v>
      </c>
      <c r="F189">
        <v>27</v>
      </c>
      <c r="G189">
        <v>17</v>
      </c>
      <c r="H189">
        <v>39</v>
      </c>
      <c r="I189">
        <f>VLOOKUP(Demand_Data___Hourly_OverviewSearch_1_csv[[#This Row],[Date]],Supply_Data___Hourly_DriverActivity_1_csv__3[#All],2,FALSE)</f>
        <v>34</v>
      </c>
      <c r="J189">
        <f>VLOOKUP(Demand_Data___Hourly_OverviewSearch_1_csv[[#This Row],[Date]],Supply_Data___Hourly_DriverActivity_1_csv__3[#All],3,FALSE)</f>
        <v>10</v>
      </c>
      <c r="K189">
        <f>VLOOKUP(Demand_Data___Hourly_OverviewSearch_1_csv[[#This Row],[Date]],Supply_Data___Hourly_DriverActivity_1_csv__3[#All],4,FALSE)</f>
        <v>5</v>
      </c>
      <c r="L189">
        <f>VLOOKUP(Demand_Data___Hourly_OverviewSearch_1_csv[[#This Row],[Date]],Supply_Data___Hourly_DriverActivity_1_csv__3[#All],5,FALSE)</f>
        <v>5</v>
      </c>
      <c r="M189">
        <f>VLOOKUP(Demand_Data___Hourly_OverviewSearch_1_csv[[#This Row],[Date]],Supply_Data___Hourly_DriverActivity_1_csv__3[#All],6,FALSE)</f>
        <v>0.3</v>
      </c>
      <c r="N189">
        <f>VLOOKUP(Demand_Data___Hourly_OverviewSearch_1_csv[[#This Row],[Date]],Supply_Data___Hourly_DriverActivity_1_csv__3[#All],7,FALSE)</f>
        <v>0.8</v>
      </c>
      <c r="O189">
        <f>VLOOKUP(Demand_Data___Hourly_OverviewSearch_1_csv[[#This Row],[Date]],Supply_Data___Hourly_DriverActivity_1_csv__3[#All],8,FALSE)</f>
        <v>8</v>
      </c>
      <c r="P189">
        <f>(Demand_Data___Hourly_OverviewSearch_1_csv[[#This Row],[People saw 0 cars (unique)]]+Demand_Data___Hourly_OverviewSearch_1_csv[[#This Row],[People saw +1 cars (unique)]])</f>
        <v>44</v>
      </c>
      <c r="Q189" s="143">
        <f t="shared" si="11"/>
        <v>5</v>
      </c>
    </row>
    <row r="190" spans="1:17" x14ac:dyDescent="0.3">
      <c r="A190" t="s">
        <v>196</v>
      </c>
      <c r="B190" t="str">
        <f t="shared" si="8"/>
        <v xml:space="preserve"> 03</v>
      </c>
      <c r="C190">
        <f t="shared" si="9"/>
        <v>7</v>
      </c>
      <c r="D190" t="str">
        <f t="shared" si="10"/>
        <v xml:space="preserve">2016-12-11 </v>
      </c>
      <c r="E190" t="str">
        <f>TEXT(Demand_Data___Hourly_OverviewSearch_1_csv[[#This Row],[Day]],"dddd")</f>
        <v>Saturday</v>
      </c>
      <c r="F190">
        <v>18</v>
      </c>
      <c r="G190">
        <v>48</v>
      </c>
      <c r="H190">
        <v>73</v>
      </c>
      <c r="I190">
        <f>VLOOKUP(Demand_Data___Hourly_OverviewSearch_1_csv[[#This Row],[Date]],Supply_Data___Hourly_DriverActivity_1_csv__3[#All],2,FALSE)</f>
        <v>53</v>
      </c>
      <c r="J190">
        <f>VLOOKUP(Demand_Data___Hourly_OverviewSearch_1_csv[[#This Row],[Date]],Supply_Data___Hourly_DriverActivity_1_csv__3[#All],3,FALSE)</f>
        <v>19</v>
      </c>
      <c r="K190">
        <f>VLOOKUP(Demand_Data___Hourly_OverviewSearch_1_csv[[#This Row],[Date]],Supply_Data___Hourly_DriverActivity_1_csv__3[#All],4,FALSE)</f>
        <v>9</v>
      </c>
      <c r="L190">
        <f>VLOOKUP(Demand_Data___Hourly_OverviewSearch_1_csv[[#This Row],[Date]],Supply_Data___Hourly_DriverActivity_1_csv__3[#All],5,FALSE)</f>
        <v>10</v>
      </c>
      <c r="M190">
        <f>VLOOKUP(Demand_Data___Hourly_OverviewSearch_1_csv[[#This Row],[Date]],Supply_Data___Hourly_DriverActivity_1_csv__3[#All],6,FALSE)</f>
        <v>0.4</v>
      </c>
      <c r="N190">
        <f>VLOOKUP(Demand_Data___Hourly_OverviewSearch_1_csv[[#This Row],[Date]],Supply_Data___Hourly_DriverActivity_1_csv__3[#All],7,FALSE)</f>
        <v>1.26</v>
      </c>
      <c r="O190">
        <f>VLOOKUP(Demand_Data___Hourly_OverviewSearch_1_csv[[#This Row],[Date]],Supply_Data___Hourly_DriverActivity_1_csv__3[#All],8,FALSE)</f>
        <v>24</v>
      </c>
      <c r="P190">
        <f>(Demand_Data___Hourly_OverviewSearch_1_csv[[#This Row],[People saw 0 cars (unique)]]+Demand_Data___Hourly_OverviewSearch_1_csv[[#This Row],[People saw +1 cars (unique)]])</f>
        <v>66</v>
      </c>
      <c r="Q190" s="143">
        <f t="shared" si="11"/>
        <v>10</v>
      </c>
    </row>
    <row r="191" spans="1:17" x14ac:dyDescent="0.3">
      <c r="A191" t="s">
        <v>197</v>
      </c>
      <c r="B191" t="str">
        <f t="shared" si="8"/>
        <v xml:space="preserve"> 02</v>
      </c>
      <c r="C191">
        <f t="shared" si="9"/>
        <v>7</v>
      </c>
      <c r="D191" t="str">
        <f t="shared" si="10"/>
        <v xml:space="preserve">2016-12-11 </v>
      </c>
      <c r="E191" t="str">
        <f>TEXT(Demand_Data___Hourly_OverviewSearch_1_csv[[#This Row],[Day]],"dddd")</f>
        <v>Saturday</v>
      </c>
      <c r="F191">
        <v>15</v>
      </c>
      <c r="G191">
        <v>49</v>
      </c>
      <c r="H191">
        <v>77</v>
      </c>
      <c r="I191">
        <f>VLOOKUP(Demand_Data___Hourly_OverviewSearch_1_csv[[#This Row],[Date]],Supply_Data___Hourly_DriverActivity_1_csv__3[#All],2,FALSE)</f>
        <v>63</v>
      </c>
      <c r="J191">
        <f>VLOOKUP(Demand_Data___Hourly_OverviewSearch_1_csv[[#This Row],[Date]],Supply_Data___Hourly_DriverActivity_1_csv__3[#All],3,FALSE)</f>
        <v>22</v>
      </c>
      <c r="K191">
        <f>VLOOKUP(Demand_Data___Hourly_OverviewSearch_1_csv[[#This Row],[Date]],Supply_Data___Hourly_DriverActivity_1_csv__3[#All],4,FALSE)</f>
        <v>11</v>
      </c>
      <c r="L191">
        <f>VLOOKUP(Demand_Data___Hourly_OverviewSearch_1_csv[[#This Row],[Date]],Supply_Data___Hourly_DriverActivity_1_csv__3[#All],5,FALSE)</f>
        <v>11</v>
      </c>
      <c r="M191">
        <f>VLOOKUP(Demand_Data___Hourly_OverviewSearch_1_csv[[#This Row],[Date]],Supply_Data___Hourly_DriverActivity_1_csv__3[#All],6,FALSE)</f>
        <v>0.3</v>
      </c>
      <c r="N191">
        <f>VLOOKUP(Demand_Data___Hourly_OverviewSearch_1_csv[[#This Row],[Date]],Supply_Data___Hourly_DriverActivity_1_csv__3[#All],7,FALSE)</f>
        <v>1.27</v>
      </c>
      <c r="O191">
        <f>VLOOKUP(Demand_Data___Hourly_OverviewSearch_1_csv[[#This Row],[Date]],Supply_Data___Hourly_DriverActivity_1_csv__3[#All],8,FALSE)</f>
        <v>28</v>
      </c>
      <c r="P191">
        <f>(Demand_Data___Hourly_OverviewSearch_1_csv[[#This Row],[People saw 0 cars (unique)]]+Demand_Data___Hourly_OverviewSearch_1_csv[[#This Row],[People saw +1 cars (unique)]])</f>
        <v>64</v>
      </c>
      <c r="Q191" s="143">
        <f t="shared" si="11"/>
        <v>11</v>
      </c>
    </row>
    <row r="192" spans="1:17" x14ac:dyDescent="0.3">
      <c r="A192" t="s">
        <v>198</v>
      </c>
      <c r="B192" t="str">
        <f t="shared" si="8"/>
        <v xml:space="preserve"> 01</v>
      </c>
      <c r="C192">
        <f t="shared" si="9"/>
        <v>7</v>
      </c>
      <c r="D192" t="str">
        <f t="shared" si="10"/>
        <v xml:space="preserve">2016-12-11 </v>
      </c>
      <c r="E192" t="str">
        <f>TEXT(Demand_Data___Hourly_OverviewSearch_1_csv[[#This Row],[Day]],"dddd")</f>
        <v>Saturday</v>
      </c>
      <c r="F192">
        <v>4</v>
      </c>
      <c r="G192">
        <v>76</v>
      </c>
      <c r="H192">
        <v>95</v>
      </c>
      <c r="I192">
        <f>VLOOKUP(Demand_Data___Hourly_OverviewSearch_1_csv[[#This Row],[Date]],Supply_Data___Hourly_DriverActivity_1_csv__3[#All],2,FALSE)</f>
        <v>65</v>
      </c>
      <c r="J192">
        <f>VLOOKUP(Demand_Data___Hourly_OverviewSearch_1_csv[[#This Row],[Date]],Supply_Data___Hourly_DriverActivity_1_csv__3[#All],3,FALSE)</f>
        <v>29</v>
      </c>
      <c r="K192">
        <f>VLOOKUP(Demand_Data___Hourly_OverviewSearch_1_csv[[#This Row],[Date]],Supply_Data___Hourly_DriverActivity_1_csv__3[#All],4,FALSE)</f>
        <v>14</v>
      </c>
      <c r="L192">
        <f>VLOOKUP(Demand_Data___Hourly_OverviewSearch_1_csv[[#This Row],[Date]],Supply_Data___Hourly_DriverActivity_1_csv__3[#All],5,FALSE)</f>
        <v>14</v>
      </c>
      <c r="M192">
        <f>VLOOKUP(Demand_Data___Hourly_OverviewSearch_1_csv[[#This Row],[Date]],Supply_Data___Hourly_DriverActivity_1_csv__3[#All],6,FALSE)</f>
        <v>0.4</v>
      </c>
      <c r="N192">
        <f>VLOOKUP(Demand_Data___Hourly_OverviewSearch_1_csv[[#This Row],[Date]],Supply_Data___Hourly_DriverActivity_1_csv__3[#All],7,FALSE)</f>
        <v>1.41</v>
      </c>
      <c r="O192">
        <f>VLOOKUP(Demand_Data___Hourly_OverviewSearch_1_csv[[#This Row],[Date]],Supply_Data___Hourly_DriverActivity_1_csv__3[#All],8,FALSE)</f>
        <v>41</v>
      </c>
      <c r="P192">
        <f>(Demand_Data___Hourly_OverviewSearch_1_csv[[#This Row],[People saw 0 cars (unique)]]+Demand_Data___Hourly_OverviewSearch_1_csv[[#This Row],[People saw +1 cars (unique)]])</f>
        <v>80</v>
      </c>
      <c r="Q192" s="143">
        <f t="shared" si="11"/>
        <v>15</v>
      </c>
    </row>
    <row r="193" spans="1:17" x14ac:dyDescent="0.3">
      <c r="A193" t="s">
        <v>199</v>
      </c>
      <c r="B193" t="str">
        <f t="shared" si="8"/>
        <v xml:space="preserve"> 00</v>
      </c>
      <c r="C193">
        <f t="shared" si="9"/>
        <v>7</v>
      </c>
      <c r="D193" t="str">
        <f t="shared" si="10"/>
        <v xml:space="preserve">2016-12-11 </v>
      </c>
      <c r="E193" t="str">
        <f>TEXT(Demand_Data___Hourly_OverviewSearch_1_csv[[#This Row],[Day]],"dddd")</f>
        <v>Saturday</v>
      </c>
      <c r="F193">
        <v>10</v>
      </c>
      <c r="G193">
        <v>73</v>
      </c>
      <c r="H193">
        <v>88</v>
      </c>
      <c r="I193">
        <f>VLOOKUP(Demand_Data___Hourly_OverviewSearch_1_csv[[#This Row],[Date]],Supply_Data___Hourly_DriverActivity_1_csv__3[#All],2,FALSE)</f>
        <v>75</v>
      </c>
      <c r="J193">
        <f>VLOOKUP(Demand_Data___Hourly_OverviewSearch_1_csv[[#This Row],[Date]],Supply_Data___Hourly_DriverActivity_1_csv__3[#All],3,FALSE)</f>
        <v>30</v>
      </c>
      <c r="K193">
        <f>VLOOKUP(Demand_Data___Hourly_OverviewSearch_1_csv[[#This Row],[Date]],Supply_Data___Hourly_DriverActivity_1_csv__3[#All],4,FALSE)</f>
        <v>14</v>
      </c>
      <c r="L193">
        <f>VLOOKUP(Demand_Data___Hourly_OverviewSearch_1_csv[[#This Row],[Date]],Supply_Data___Hourly_DriverActivity_1_csv__3[#All],5,FALSE)</f>
        <v>16</v>
      </c>
      <c r="M193">
        <f>VLOOKUP(Demand_Data___Hourly_OverviewSearch_1_csv[[#This Row],[Date]],Supply_Data___Hourly_DriverActivity_1_csv__3[#All],6,FALSE)</f>
        <v>0.4</v>
      </c>
      <c r="N193">
        <f>VLOOKUP(Demand_Data___Hourly_OverviewSearch_1_csv[[#This Row],[Date]],Supply_Data___Hourly_DriverActivity_1_csv__3[#All],7,FALSE)</f>
        <v>1.33</v>
      </c>
      <c r="O193">
        <f>VLOOKUP(Demand_Data___Hourly_OverviewSearch_1_csv[[#This Row],[Date]],Supply_Data___Hourly_DriverActivity_1_csv__3[#All],8,FALSE)</f>
        <v>40</v>
      </c>
      <c r="P193">
        <f>(Demand_Data___Hourly_OverviewSearch_1_csv[[#This Row],[People saw 0 cars (unique)]]+Demand_Data___Hourly_OverviewSearch_1_csv[[#This Row],[People saw +1 cars (unique)]])</f>
        <v>83</v>
      </c>
      <c r="Q193" s="143">
        <f t="shared" si="11"/>
        <v>16</v>
      </c>
    </row>
    <row r="194" spans="1:17" x14ac:dyDescent="0.3">
      <c r="A194" t="s">
        <v>200</v>
      </c>
      <c r="B194" t="str">
        <f t="shared" ref="B194:B257" si="12">RIGHT(A194,3)</f>
        <v xml:space="preserve"> 23</v>
      </c>
      <c r="C194">
        <f t="shared" ref="C194:C257" si="13">WEEKDAY(DATEVALUE(LEFT(A194,FIND(" ",A194))),2)</f>
        <v>6</v>
      </c>
      <c r="D194" t="str">
        <f t="shared" ref="D194:D257" si="14">LEFT(A194,11)</f>
        <v xml:space="preserve">2016-12-10 </v>
      </c>
      <c r="E194" t="str">
        <f>TEXT(Demand_Data___Hourly_OverviewSearch_1_csv[[#This Row],[Day]],"dddd")</f>
        <v>Friday</v>
      </c>
      <c r="F194">
        <v>10</v>
      </c>
      <c r="G194">
        <v>67</v>
      </c>
      <c r="H194">
        <v>87</v>
      </c>
      <c r="I194">
        <f>VLOOKUP(Demand_Data___Hourly_OverviewSearch_1_csv[[#This Row],[Date]],Supply_Data___Hourly_DriverActivity_1_csv__3[#All],2,FALSE)</f>
        <v>86</v>
      </c>
      <c r="J194">
        <f>VLOOKUP(Demand_Data___Hourly_OverviewSearch_1_csv[[#This Row],[Date]],Supply_Data___Hourly_DriverActivity_1_csv__3[#All],3,FALSE)</f>
        <v>34</v>
      </c>
      <c r="K194">
        <f>VLOOKUP(Demand_Data___Hourly_OverviewSearch_1_csv[[#This Row],[Date]],Supply_Data___Hourly_DriverActivity_1_csv__3[#All],4,FALSE)</f>
        <v>11</v>
      </c>
      <c r="L194">
        <f>VLOOKUP(Demand_Data___Hourly_OverviewSearch_1_csv[[#This Row],[Date]],Supply_Data___Hourly_DriverActivity_1_csv__3[#All],5,FALSE)</f>
        <v>23</v>
      </c>
      <c r="M194">
        <f>VLOOKUP(Demand_Data___Hourly_OverviewSearch_1_csv[[#This Row],[Date]],Supply_Data___Hourly_DriverActivity_1_csv__3[#All],6,FALSE)</f>
        <v>0.4</v>
      </c>
      <c r="N194">
        <f>VLOOKUP(Demand_Data___Hourly_OverviewSearch_1_csv[[#This Row],[Date]],Supply_Data___Hourly_DriverActivity_1_csv__3[#All],7,FALSE)</f>
        <v>0.88</v>
      </c>
      <c r="O194">
        <f>VLOOKUP(Demand_Data___Hourly_OverviewSearch_1_csv[[#This Row],[Date]],Supply_Data___Hourly_DriverActivity_1_csv__3[#All],8,FALSE)</f>
        <v>30</v>
      </c>
      <c r="P194">
        <f>(Demand_Data___Hourly_OverviewSearch_1_csv[[#This Row],[People saw 0 cars (unique)]]+Demand_Data___Hourly_OverviewSearch_1_csv[[#This Row],[People saw +1 cars (unique)]])</f>
        <v>77</v>
      </c>
      <c r="Q194" s="143">
        <f t="shared" ref="Q194:Q257" si="15">(J194-K194)</f>
        <v>23</v>
      </c>
    </row>
    <row r="195" spans="1:17" x14ac:dyDescent="0.3">
      <c r="A195" t="s">
        <v>201</v>
      </c>
      <c r="B195" t="str">
        <f t="shared" si="12"/>
        <v xml:space="preserve"> 22</v>
      </c>
      <c r="C195">
        <f t="shared" si="13"/>
        <v>6</v>
      </c>
      <c r="D195" t="str">
        <f t="shared" si="14"/>
        <v xml:space="preserve">2016-12-10 </v>
      </c>
      <c r="E195" t="str">
        <f>TEXT(Demand_Data___Hourly_OverviewSearch_1_csv[[#This Row],[Day]],"dddd")</f>
        <v>Friday</v>
      </c>
      <c r="F195">
        <v>6</v>
      </c>
      <c r="G195">
        <v>59</v>
      </c>
      <c r="H195">
        <v>91</v>
      </c>
      <c r="I195">
        <f>VLOOKUP(Demand_Data___Hourly_OverviewSearch_1_csv[[#This Row],[Date]],Supply_Data___Hourly_DriverActivity_1_csv__3[#All],2,FALSE)</f>
        <v>104</v>
      </c>
      <c r="J195">
        <f>VLOOKUP(Demand_Data___Hourly_OverviewSearch_1_csv[[#This Row],[Date]],Supply_Data___Hourly_DriverActivity_1_csv__3[#All],3,FALSE)</f>
        <v>38</v>
      </c>
      <c r="K195">
        <f>VLOOKUP(Demand_Data___Hourly_OverviewSearch_1_csv[[#This Row],[Date]],Supply_Data___Hourly_DriverActivity_1_csv__3[#All],4,FALSE)</f>
        <v>9</v>
      </c>
      <c r="L195">
        <f>VLOOKUP(Demand_Data___Hourly_OverviewSearch_1_csv[[#This Row],[Date]],Supply_Data___Hourly_DriverActivity_1_csv__3[#All],5,FALSE)</f>
        <v>29</v>
      </c>
      <c r="M195">
        <f>VLOOKUP(Demand_Data___Hourly_OverviewSearch_1_csv[[#This Row],[Date]],Supply_Data___Hourly_DriverActivity_1_csv__3[#All],6,FALSE)</f>
        <v>0.4</v>
      </c>
      <c r="N195">
        <f>VLOOKUP(Demand_Data___Hourly_OverviewSearch_1_csv[[#This Row],[Date]],Supply_Data___Hourly_DriverActivity_1_csv__3[#All],7,FALSE)</f>
        <v>0.71</v>
      </c>
      <c r="O195">
        <f>VLOOKUP(Demand_Data___Hourly_OverviewSearch_1_csv[[#This Row],[Date]],Supply_Data___Hourly_DriverActivity_1_csv__3[#All],8,FALSE)</f>
        <v>27</v>
      </c>
      <c r="P195">
        <f>(Demand_Data___Hourly_OverviewSearch_1_csv[[#This Row],[People saw 0 cars (unique)]]+Demand_Data___Hourly_OverviewSearch_1_csv[[#This Row],[People saw +1 cars (unique)]])</f>
        <v>65</v>
      </c>
      <c r="Q195" s="143">
        <f t="shared" si="15"/>
        <v>29</v>
      </c>
    </row>
    <row r="196" spans="1:17" x14ac:dyDescent="0.3">
      <c r="A196" t="s">
        <v>202</v>
      </c>
      <c r="B196" t="str">
        <f t="shared" si="12"/>
        <v xml:space="preserve"> 21</v>
      </c>
      <c r="C196">
        <f t="shared" si="13"/>
        <v>6</v>
      </c>
      <c r="D196" t="str">
        <f t="shared" si="14"/>
        <v xml:space="preserve">2016-12-10 </v>
      </c>
      <c r="E196" t="str">
        <f>TEXT(Demand_Data___Hourly_OverviewSearch_1_csv[[#This Row],[Day]],"dddd")</f>
        <v>Friday</v>
      </c>
      <c r="F196">
        <v>0</v>
      </c>
      <c r="G196">
        <v>69</v>
      </c>
      <c r="H196">
        <v>100</v>
      </c>
      <c r="I196">
        <f>VLOOKUP(Demand_Data___Hourly_OverviewSearch_1_csv[[#This Row],[Date]],Supply_Data___Hourly_DriverActivity_1_csv__3[#All],2,FALSE)</f>
        <v>97</v>
      </c>
      <c r="J196">
        <f>VLOOKUP(Demand_Data___Hourly_OverviewSearch_1_csv[[#This Row],[Date]],Supply_Data___Hourly_DriverActivity_1_csv__3[#All],3,FALSE)</f>
        <v>38</v>
      </c>
      <c r="K196">
        <f>VLOOKUP(Demand_Data___Hourly_OverviewSearch_1_csv[[#This Row],[Date]],Supply_Data___Hourly_DriverActivity_1_csv__3[#All],4,FALSE)</f>
        <v>10</v>
      </c>
      <c r="L196">
        <f>VLOOKUP(Demand_Data___Hourly_OverviewSearch_1_csv[[#This Row],[Date]],Supply_Data___Hourly_DriverActivity_1_csv__3[#All],5,FALSE)</f>
        <v>28</v>
      </c>
      <c r="M196">
        <f>VLOOKUP(Demand_Data___Hourly_OverviewSearch_1_csv[[#This Row],[Date]],Supply_Data___Hourly_DriverActivity_1_csv__3[#All],6,FALSE)</f>
        <v>0.4</v>
      </c>
      <c r="N196">
        <f>VLOOKUP(Demand_Data___Hourly_OverviewSearch_1_csv[[#This Row],[Date]],Supply_Data___Hourly_DriverActivity_1_csv__3[#All],7,FALSE)</f>
        <v>0.61</v>
      </c>
      <c r="O196">
        <f>VLOOKUP(Demand_Data___Hourly_OverviewSearch_1_csv[[#This Row],[Date]],Supply_Data___Hourly_DriverActivity_1_csv__3[#All],8,FALSE)</f>
        <v>23</v>
      </c>
      <c r="P196">
        <f>(Demand_Data___Hourly_OverviewSearch_1_csv[[#This Row],[People saw 0 cars (unique)]]+Demand_Data___Hourly_OverviewSearch_1_csv[[#This Row],[People saw +1 cars (unique)]])</f>
        <v>69</v>
      </c>
      <c r="Q196" s="143">
        <f t="shared" si="15"/>
        <v>28</v>
      </c>
    </row>
    <row r="197" spans="1:17" x14ac:dyDescent="0.3">
      <c r="A197" t="s">
        <v>203</v>
      </c>
      <c r="B197" t="str">
        <f t="shared" si="12"/>
        <v xml:space="preserve"> 20</v>
      </c>
      <c r="C197">
        <f t="shared" si="13"/>
        <v>6</v>
      </c>
      <c r="D197" t="str">
        <f t="shared" si="14"/>
        <v xml:space="preserve">2016-12-10 </v>
      </c>
      <c r="E197" t="str">
        <f>TEXT(Demand_Data___Hourly_OverviewSearch_1_csv[[#This Row],[Day]],"dddd")</f>
        <v>Friday</v>
      </c>
      <c r="F197">
        <v>15</v>
      </c>
      <c r="G197">
        <v>83</v>
      </c>
      <c r="H197">
        <v>85</v>
      </c>
      <c r="I197">
        <f>VLOOKUP(Demand_Data___Hourly_OverviewSearch_1_csv[[#This Row],[Date]],Supply_Data___Hourly_DriverActivity_1_csv__3[#All],2,FALSE)</f>
        <v>96</v>
      </c>
      <c r="J197">
        <f>VLOOKUP(Demand_Data___Hourly_OverviewSearch_1_csv[[#This Row],[Date]],Supply_Data___Hourly_DriverActivity_1_csv__3[#All],3,FALSE)</f>
        <v>37</v>
      </c>
      <c r="K197">
        <f>VLOOKUP(Demand_Data___Hourly_OverviewSearch_1_csv[[#This Row],[Date]],Supply_Data___Hourly_DriverActivity_1_csv__3[#All],4,FALSE)</f>
        <v>15</v>
      </c>
      <c r="L197">
        <f>VLOOKUP(Demand_Data___Hourly_OverviewSearch_1_csv[[#This Row],[Date]],Supply_Data___Hourly_DriverActivity_1_csv__3[#All],5,FALSE)</f>
        <v>23</v>
      </c>
      <c r="M197">
        <f>VLOOKUP(Demand_Data___Hourly_OverviewSearch_1_csv[[#This Row],[Date]],Supply_Data___Hourly_DriverActivity_1_csv__3[#All],6,FALSE)</f>
        <v>0.4</v>
      </c>
      <c r="N197">
        <f>VLOOKUP(Demand_Data___Hourly_OverviewSearch_1_csv[[#This Row],[Date]],Supply_Data___Hourly_DriverActivity_1_csv__3[#All],7,FALSE)</f>
        <v>0.95</v>
      </c>
      <c r="O197">
        <f>VLOOKUP(Demand_Data___Hourly_OverviewSearch_1_csv[[#This Row],[Date]],Supply_Data___Hourly_DriverActivity_1_csv__3[#All],8,FALSE)</f>
        <v>35</v>
      </c>
      <c r="P197">
        <f>(Demand_Data___Hourly_OverviewSearch_1_csv[[#This Row],[People saw 0 cars (unique)]]+Demand_Data___Hourly_OverviewSearch_1_csv[[#This Row],[People saw +1 cars (unique)]])</f>
        <v>98</v>
      </c>
      <c r="Q197" s="143">
        <f t="shared" si="15"/>
        <v>22</v>
      </c>
    </row>
    <row r="198" spans="1:17" x14ac:dyDescent="0.3">
      <c r="A198" t="s">
        <v>204</v>
      </c>
      <c r="B198" t="str">
        <f t="shared" si="12"/>
        <v xml:space="preserve"> 19</v>
      </c>
      <c r="C198">
        <f t="shared" si="13"/>
        <v>6</v>
      </c>
      <c r="D198" t="str">
        <f t="shared" si="14"/>
        <v xml:space="preserve">2016-12-10 </v>
      </c>
      <c r="E198" t="str">
        <f>TEXT(Demand_Data___Hourly_OverviewSearch_1_csv[[#This Row],[Day]],"dddd")</f>
        <v>Friday</v>
      </c>
      <c r="F198">
        <v>18</v>
      </c>
      <c r="G198">
        <v>63</v>
      </c>
      <c r="H198">
        <v>78</v>
      </c>
      <c r="I198">
        <f>VLOOKUP(Demand_Data___Hourly_OverviewSearch_1_csv[[#This Row],[Date]],Supply_Data___Hourly_DriverActivity_1_csv__3[#All],2,FALSE)</f>
        <v>90</v>
      </c>
      <c r="J198">
        <f>VLOOKUP(Demand_Data___Hourly_OverviewSearch_1_csv[[#This Row],[Date]],Supply_Data___Hourly_DriverActivity_1_csv__3[#All],3,FALSE)</f>
        <v>36</v>
      </c>
      <c r="K198">
        <f>VLOOKUP(Demand_Data___Hourly_OverviewSearch_1_csv[[#This Row],[Date]],Supply_Data___Hourly_DriverActivity_1_csv__3[#All],4,FALSE)</f>
        <v>13</v>
      </c>
      <c r="L198">
        <f>VLOOKUP(Demand_Data___Hourly_OverviewSearch_1_csv[[#This Row],[Date]],Supply_Data___Hourly_DriverActivity_1_csv__3[#All],5,FALSE)</f>
        <v>23</v>
      </c>
      <c r="M198">
        <f>VLOOKUP(Demand_Data___Hourly_OverviewSearch_1_csv[[#This Row],[Date]],Supply_Data___Hourly_DriverActivity_1_csv__3[#All],6,FALSE)</f>
        <v>0.4</v>
      </c>
      <c r="N198">
        <f>VLOOKUP(Demand_Data___Hourly_OverviewSearch_1_csv[[#This Row],[Date]],Supply_Data___Hourly_DriverActivity_1_csv__3[#All],7,FALSE)</f>
        <v>0.78</v>
      </c>
      <c r="O198">
        <f>VLOOKUP(Demand_Data___Hourly_OverviewSearch_1_csv[[#This Row],[Date]],Supply_Data___Hourly_DriverActivity_1_csv__3[#All],8,FALSE)</f>
        <v>28</v>
      </c>
      <c r="P198">
        <f>(Demand_Data___Hourly_OverviewSearch_1_csv[[#This Row],[People saw 0 cars (unique)]]+Demand_Data___Hourly_OverviewSearch_1_csv[[#This Row],[People saw +1 cars (unique)]])</f>
        <v>81</v>
      </c>
      <c r="Q198" s="143">
        <f t="shared" si="15"/>
        <v>23</v>
      </c>
    </row>
    <row r="199" spans="1:17" x14ac:dyDescent="0.3">
      <c r="A199" t="s">
        <v>205</v>
      </c>
      <c r="B199" t="str">
        <f t="shared" si="12"/>
        <v xml:space="preserve"> 18</v>
      </c>
      <c r="C199">
        <f t="shared" si="13"/>
        <v>6</v>
      </c>
      <c r="D199" t="str">
        <f t="shared" si="14"/>
        <v xml:space="preserve">2016-12-10 </v>
      </c>
      <c r="E199" t="str">
        <f>TEXT(Demand_Data___Hourly_OverviewSearch_1_csv[[#This Row],[Day]],"dddd")</f>
        <v>Friday</v>
      </c>
      <c r="F199">
        <v>11</v>
      </c>
      <c r="G199">
        <v>47</v>
      </c>
      <c r="H199">
        <v>81</v>
      </c>
      <c r="I199">
        <f>VLOOKUP(Demand_Data___Hourly_OverviewSearch_1_csv[[#This Row],[Date]],Supply_Data___Hourly_DriverActivity_1_csv__3[#All],2,FALSE)</f>
        <v>75</v>
      </c>
      <c r="J199">
        <f>VLOOKUP(Demand_Data___Hourly_OverviewSearch_1_csv[[#This Row],[Date]],Supply_Data___Hourly_DriverActivity_1_csv__3[#All],3,FALSE)</f>
        <v>29</v>
      </c>
      <c r="K199">
        <f>VLOOKUP(Demand_Data___Hourly_OverviewSearch_1_csv[[#This Row],[Date]],Supply_Data___Hourly_DriverActivity_1_csv__3[#All],4,FALSE)</f>
        <v>6</v>
      </c>
      <c r="L199">
        <f>VLOOKUP(Demand_Data___Hourly_OverviewSearch_1_csv[[#This Row],[Date]],Supply_Data___Hourly_DriverActivity_1_csv__3[#All],5,FALSE)</f>
        <v>23</v>
      </c>
      <c r="M199">
        <f>VLOOKUP(Demand_Data___Hourly_OverviewSearch_1_csv[[#This Row],[Date]],Supply_Data___Hourly_DriverActivity_1_csv__3[#All],6,FALSE)</f>
        <v>0.4</v>
      </c>
      <c r="N199">
        <f>VLOOKUP(Demand_Data___Hourly_OverviewSearch_1_csv[[#This Row],[Date]],Supply_Data___Hourly_DriverActivity_1_csv__3[#All],7,FALSE)</f>
        <v>0.62</v>
      </c>
      <c r="O199">
        <f>VLOOKUP(Demand_Data___Hourly_OverviewSearch_1_csv[[#This Row],[Date]],Supply_Data___Hourly_DriverActivity_1_csv__3[#All],8,FALSE)</f>
        <v>18</v>
      </c>
      <c r="P199">
        <f>(Demand_Data___Hourly_OverviewSearch_1_csv[[#This Row],[People saw 0 cars (unique)]]+Demand_Data___Hourly_OverviewSearch_1_csv[[#This Row],[People saw +1 cars (unique)]])</f>
        <v>58</v>
      </c>
      <c r="Q199" s="143">
        <f t="shared" si="15"/>
        <v>23</v>
      </c>
    </row>
    <row r="200" spans="1:17" x14ac:dyDescent="0.3">
      <c r="A200" t="s">
        <v>206</v>
      </c>
      <c r="B200" t="str">
        <f t="shared" si="12"/>
        <v xml:space="preserve"> 17</v>
      </c>
      <c r="C200">
        <f t="shared" si="13"/>
        <v>6</v>
      </c>
      <c r="D200" t="str">
        <f t="shared" si="14"/>
        <v xml:space="preserve">2016-12-10 </v>
      </c>
      <c r="E200" t="str">
        <f>TEXT(Demand_Data___Hourly_OverviewSearch_1_csv[[#This Row],[Day]],"dddd")</f>
        <v>Friday</v>
      </c>
      <c r="F200">
        <v>3</v>
      </c>
      <c r="G200">
        <v>40</v>
      </c>
      <c r="H200">
        <v>93</v>
      </c>
      <c r="I200">
        <f>VLOOKUP(Demand_Data___Hourly_OverviewSearch_1_csv[[#This Row],[Date]],Supply_Data___Hourly_DriverActivity_1_csv__3[#All],2,FALSE)</f>
        <v>62</v>
      </c>
      <c r="J200">
        <f>VLOOKUP(Demand_Data___Hourly_OverviewSearch_1_csv[[#This Row],[Date]],Supply_Data___Hourly_DriverActivity_1_csv__3[#All],3,FALSE)</f>
        <v>25</v>
      </c>
      <c r="K200">
        <f>VLOOKUP(Demand_Data___Hourly_OverviewSearch_1_csv[[#This Row],[Date]],Supply_Data___Hourly_DriverActivity_1_csv__3[#All],4,FALSE)</f>
        <v>6</v>
      </c>
      <c r="L200">
        <f>VLOOKUP(Demand_Data___Hourly_OverviewSearch_1_csv[[#This Row],[Date]],Supply_Data___Hourly_DriverActivity_1_csv__3[#All],5,FALSE)</f>
        <v>19</v>
      </c>
      <c r="M200">
        <f>VLOOKUP(Demand_Data___Hourly_OverviewSearch_1_csv[[#This Row],[Date]],Supply_Data___Hourly_DriverActivity_1_csv__3[#All],6,FALSE)</f>
        <v>0.4</v>
      </c>
      <c r="N200">
        <f>VLOOKUP(Demand_Data___Hourly_OverviewSearch_1_csv[[#This Row],[Date]],Supply_Data___Hourly_DriverActivity_1_csv__3[#All],7,FALSE)</f>
        <v>0.56000000000000005</v>
      </c>
      <c r="O200">
        <f>VLOOKUP(Demand_Data___Hourly_OverviewSearch_1_csv[[#This Row],[Date]],Supply_Data___Hourly_DriverActivity_1_csv__3[#All],8,FALSE)</f>
        <v>14</v>
      </c>
      <c r="P200">
        <f>(Demand_Data___Hourly_OverviewSearch_1_csv[[#This Row],[People saw 0 cars (unique)]]+Demand_Data___Hourly_OverviewSearch_1_csv[[#This Row],[People saw +1 cars (unique)]])</f>
        <v>43</v>
      </c>
      <c r="Q200" s="143">
        <f t="shared" si="15"/>
        <v>19</v>
      </c>
    </row>
    <row r="201" spans="1:17" x14ac:dyDescent="0.3">
      <c r="A201" t="s">
        <v>207</v>
      </c>
      <c r="B201" t="str">
        <f t="shared" si="12"/>
        <v xml:space="preserve"> 16</v>
      </c>
      <c r="C201">
        <f t="shared" si="13"/>
        <v>6</v>
      </c>
      <c r="D201" t="str">
        <f t="shared" si="14"/>
        <v xml:space="preserve">2016-12-10 </v>
      </c>
      <c r="E201" t="str">
        <f>TEXT(Demand_Data___Hourly_OverviewSearch_1_csv[[#This Row],[Day]],"dddd")</f>
        <v>Friday</v>
      </c>
      <c r="F201">
        <v>9</v>
      </c>
      <c r="G201">
        <v>38</v>
      </c>
      <c r="H201">
        <v>81</v>
      </c>
      <c r="I201">
        <f>VLOOKUP(Demand_Data___Hourly_OverviewSearch_1_csv[[#This Row],[Date]],Supply_Data___Hourly_DriverActivity_1_csv__3[#All],2,FALSE)</f>
        <v>52</v>
      </c>
      <c r="J201">
        <f>VLOOKUP(Demand_Data___Hourly_OverviewSearch_1_csv[[#This Row],[Date]],Supply_Data___Hourly_DriverActivity_1_csv__3[#All],3,FALSE)</f>
        <v>21</v>
      </c>
      <c r="K201">
        <f>VLOOKUP(Demand_Data___Hourly_OverviewSearch_1_csv[[#This Row],[Date]],Supply_Data___Hourly_DriverActivity_1_csv__3[#All],4,FALSE)</f>
        <v>8</v>
      </c>
      <c r="L201">
        <f>VLOOKUP(Demand_Data___Hourly_OverviewSearch_1_csv[[#This Row],[Date]],Supply_Data___Hourly_DriverActivity_1_csv__3[#All],5,FALSE)</f>
        <v>14</v>
      </c>
      <c r="M201">
        <f>VLOOKUP(Demand_Data___Hourly_OverviewSearch_1_csv[[#This Row],[Date]],Supply_Data___Hourly_DriverActivity_1_csv__3[#All],6,FALSE)</f>
        <v>0.4</v>
      </c>
      <c r="N201">
        <f>VLOOKUP(Demand_Data___Hourly_OverviewSearch_1_csv[[#This Row],[Date]],Supply_Data___Hourly_DriverActivity_1_csv__3[#All],7,FALSE)</f>
        <v>0.76</v>
      </c>
      <c r="O201">
        <f>VLOOKUP(Demand_Data___Hourly_OverviewSearch_1_csv[[#This Row],[Date]],Supply_Data___Hourly_DriverActivity_1_csv__3[#All],8,FALSE)</f>
        <v>16</v>
      </c>
      <c r="P201">
        <f>(Demand_Data___Hourly_OverviewSearch_1_csv[[#This Row],[People saw 0 cars (unique)]]+Demand_Data___Hourly_OverviewSearch_1_csv[[#This Row],[People saw +1 cars (unique)]])</f>
        <v>47</v>
      </c>
      <c r="Q201" s="143">
        <f t="shared" si="15"/>
        <v>13</v>
      </c>
    </row>
    <row r="202" spans="1:17" x14ac:dyDescent="0.3">
      <c r="A202" t="s">
        <v>208</v>
      </c>
      <c r="B202" t="str">
        <f t="shared" si="12"/>
        <v xml:space="preserve"> 15</v>
      </c>
      <c r="C202">
        <f t="shared" si="13"/>
        <v>6</v>
      </c>
      <c r="D202" t="str">
        <f t="shared" si="14"/>
        <v xml:space="preserve">2016-12-10 </v>
      </c>
      <c r="E202" t="str">
        <f>TEXT(Demand_Data___Hourly_OverviewSearch_1_csv[[#This Row],[Day]],"dddd")</f>
        <v>Friday</v>
      </c>
      <c r="F202">
        <v>6</v>
      </c>
      <c r="G202">
        <v>29</v>
      </c>
      <c r="H202">
        <v>83</v>
      </c>
      <c r="I202">
        <f>VLOOKUP(Demand_Data___Hourly_OverviewSearch_1_csv[[#This Row],[Date]],Supply_Data___Hourly_DriverActivity_1_csv__3[#All],2,FALSE)</f>
        <v>45</v>
      </c>
      <c r="J202">
        <f>VLOOKUP(Demand_Data___Hourly_OverviewSearch_1_csv[[#This Row],[Date]],Supply_Data___Hourly_DriverActivity_1_csv__3[#All],3,FALSE)</f>
        <v>16</v>
      </c>
      <c r="K202">
        <f>VLOOKUP(Demand_Data___Hourly_OverviewSearch_1_csv[[#This Row],[Date]],Supply_Data___Hourly_DriverActivity_1_csv__3[#All],4,FALSE)</f>
        <v>4</v>
      </c>
      <c r="L202">
        <f>VLOOKUP(Demand_Data___Hourly_OverviewSearch_1_csv[[#This Row],[Date]],Supply_Data___Hourly_DriverActivity_1_csv__3[#All],5,FALSE)</f>
        <v>12</v>
      </c>
      <c r="M202">
        <f>VLOOKUP(Demand_Data___Hourly_OverviewSearch_1_csv[[#This Row],[Date]],Supply_Data___Hourly_DriverActivity_1_csv__3[#All],6,FALSE)</f>
        <v>0.4</v>
      </c>
      <c r="N202">
        <f>VLOOKUP(Demand_Data___Hourly_OverviewSearch_1_csv[[#This Row],[Date]],Supply_Data___Hourly_DriverActivity_1_csv__3[#All],7,FALSE)</f>
        <v>0.63</v>
      </c>
      <c r="O202">
        <f>VLOOKUP(Demand_Data___Hourly_OverviewSearch_1_csv[[#This Row],[Date]],Supply_Data___Hourly_DriverActivity_1_csv__3[#All],8,FALSE)</f>
        <v>10</v>
      </c>
      <c r="P202">
        <f>(Demand_Data___Hourly_OverviewSearch_1_csv[[#This Row],[People saw 0 cars (unique)]]+Demand_Data___Hourly_OverviewSearch_1_csv[[#This Row],[People saw +1 cars (unique)]])</f>
        <v>35</v>
      </c>
      <c r="Q202" s="143">
        <f t="shared" si="15"/>
        <v>12</v>
      </c>
    </row>
    <row r="203" spans="1:17" x14ac:dyDescent="0.3">
      <c r="A203" t="s">
        <v>209</v>
      </c>
      <c r="B203" t="str">
        <f t="shared" si="12"/>
        <v xml:space="preserve"> 14</v>
      </c>
      <c r="C203">
        <f t="shared" si="13"/>
        <v>6</v>
      </c>
      <c r="D203" t="str">
        <f t="shared" si="14"/>
        <v xml:space="preserve">2016-12-10 </v>
      </c>
      <c r="E203" t="str">
        <f>TEXT(Demand_Data___Hourly_OverviewSearch_1_csv[[#This Row],[Day]],"dddd")</f>
        <v>Friday</v>
      </c>
      <c r="F203">
        <v>12</v>
      </c>
      <c r="G203">
        <v>37</v>
      </c>
      <c r="H203">
        <v>76</v>
      </c>
      <c r="I203">
        <f>VLOOKUP(Demand_Data___Hourly_OverviewSearch_1_csv[[#This Row],[Date]],Supply_Data___Hourly_DriverActivity_1_csv__3[#All],2,FALSE)</f>
        <v>47</v>
      </c>
      <c r="J203">
        <f>VLOOKUP(Demand_Data___Hourly_OverviewSearch_1_csv[[#This Row],[Date]],Supply_Data___Hourly_DriverActivity_1_csv__3[#All],3,FALSE)</f>
        <v>16</v>
      </c>
      <c r="K203">
        <f>VLOOKUP(Demand_Data___Hourly_OverviewSearch_1_csv[[#This Row],[Date]],Supply_Data___Hourly_DriverActivity_1_csv__3[#All],4,FALSE)</f>
        <v>4</v>
      </c>
      <c r="L203">
        <f>VLOOKUP(Demand_Data___Hourly_OverviewSearch_1_csv[[#This Row],[Date]],Supply_Data___Hourly_DriverActivity_1_csv__3[#All],5,FALSE)</f>
        <v>12</v>
      </c>
      <c r="M203">
        <f>VLOOKUP(Demand_Data___Hourly_OverviewSearch_1_csv[[#This Row],[Date]],Supply_Data___Hourly_DriverActivity_1_csv__3[#All],6,FALSE)</f>
        <v>0.3</v>
      </c>
      <c r="N203">
        <f>VLOOKUP(Demand_Data___Hourly_OverviewSearch_1_csv[[#This Row],[Date]],Supply_Data___Hourly_DriverActivity_1_csv__3[#All],7,FALSE)</f>
        <v>0.69</v>
      </c>
      <c r="O203">
        <f>VLOOKUP(Demand_Data___Hourly_OverviewSearch_1_csv[[#This Row],[Date]],Supply_Data___Hourly_DriverActivity_1_csv__3[#All],8,FALSE)</f>
        <v>11</v>
      </c>
      <c r="P203">
        <f>(Demand_Data___Hourly_OverviewSearch_1_csv[[#This Row],[People saw 0 cars (unique)]]+Demand_Data___Hourly_OverviewSearch_1_csv[[#This Row],[People saw +1 cars (unique)]])</f>
        <v>49</v>
      </c>
      <c r="Q203" s="143">
        <f t="shared" si="15"/>
        <v>12</v>
      </c>
    </row>
    <row r="204" spans="1:17" x14ac:dyDescent="0.3">
      <c r="A204" t="s">
        <v>210</v>
      </c>
      <c r="B204" t="str">
        <f t="shared" si="12"/>
        <v xml:space="preserve"> 13</v>
      </c>
      <c r="C204">
        <f t="shared" si="13"/>
        <v>6</v>
      </c>
      <c r="D204" t="str">
        <f t="shared" si="14"/>
        <v xml:space="preserve">2016-12-10 </v>
      </c>
      <c r="E204" t="str">
        <f>TEXT(Demand_Data___Hourly_OverviewSearch_1_csv[[#This Row],[Day]],"dddd")</f>
        <v>Friday</v>
      </c>
      <c r="F204">
        <v>6</v>
      </c>
      <c r="G204">
        <v>22</v>
      </c>
      <c r="H204">
        <v>79</v>
      </c>
      <c r="I204">
        <f>VLOOKUP(Demand_Data___Hourly_OverviewSearch_1_csv[[#This Row],[Date]],Supply_Data___Hourly_DriverActivity_1_csv__3[#All],2,FALSE)</f>
        <v>45</v>
      </c>
      <c r="J204">
        <f>VLOOKUP(Demand_Data___Hourly_OverviewSearch_1_csv[[#This Row],[Date]],Supply_Data___Hourly_DriverActivity_1_csv__3[#All],3,FALSE)</f>
        <v>18</v>
      </c>
      <c r="K204">
        <f>VLOOKUP(Demand_Data___Hourly_OverviewSearch_1_csv[[#This Row],[Date]],Supply_Data___Hourly_DriverActivity_1_csv__3[#All],4,FALSE)</f>
        <v>4</v>
      </c>
      <c r="L204">
        <f>VLOOKUP(Demand_Data___Hourly_OverviewSearch_1_csv[[#This Row],[Date]],Supply_Data___Hourly_DriverActivity_1_csv__3[#All],5,FALSE)</f>
        <v>13</v>
      </c>
      <c r="M204">
        <f>VLOOKUP(Demand_Data___Hourly_OverviewSearch_1_csv[[#This Row],[Date]],Supply_Data___Hourly_DriverActivity_1_csv__3[#All],6,FALSE)</f>
        <v>0.4</v>
      </c>
      <c r="N204">
        <f>VLOOKUP(Demand_Data___Hourly_OverviewSearch_1_csv[[#This Row],[Date]],Supply_Data___Hourly_DriverActivity_1_csv__3[#All],7,FALSE)</f>
        <v>0.5</v>
      </c>
      <c r="O204">
        <f>VLOOKUP(Demand_Data___Hourly_OverviewSearch_1_csv[[#This Row],[Date]],Supply_Data___Hourly_DriverActivity_1_csv__3[#All],8,FALSE)</f>
        <v>9</v>
      </c>
      <c r="P204">
        <f>(Demand_Data___Hourly_OverviewSearch_1_csv[[#This Row],[People saw 0 cars (unique)]]+Demand_Data___Hourly_OverviewSearch_1_csv[[#This Row],[People saw +1 cars (unique)]])</f>
        <v>28</v>
      </c>
      <c r="Q204" s="143">
        <f t="shared" si="15"/>
        <v>14</v>
      </c>
    </row>
    <row r="205" spans="1:17" x14ac:dyDescent="0.3">
      <c r="A205" t="s">
        <v>211</v>
      </c>
      <c r="B205" t="str">
        <f t="shared" si="12"/>
        <v xml:space="preserve"> 12</v>
      </c>
      <c r="C205">
        <f t="shared" si="13"/>
        <v>6</v>
      </c>
      <c r="D205" t="str">
        <f t="shared" si="14"/>
        <v xml:space="preserve">2016-12-10 </v>
      </c>
      <c r="E205" t="str">
        <f>TEXT(Demand_Data___Hourly_OverviewSearch_1_csv[[#This Row],[Day]],"dddd")</f>
        <v>Friday</v>
      </c>
      <c r="F205">
        <v>15</v>
      </c>
      <c r="G205">
        <v>31</v>
      </c>
      <c r="H205">
        <v>67</v>
      </c>
      <c r="I205">
        <f>VLOOKUP(Demand_Data___Hourly_OverviewSearch_1_csv[[#This Row],[Date]],Supply_Data___Hourly_DriverActivity_1_csv__3[#All],2,FALSE)</f>
        <v>43</v>
      </c>
      <c r="J205">
        <f>VLOOKUP(Demand_Data___Hourly_OverviewSearch_1_csv[[#This Row],[Date]],Supply_Data___Hourly_DriverActivity_1_csv__3[#All],3,FALSE)</f>
        <v>14</v>
      </c>
      <c r="K205">
        <f>VLOOKUP(Demand_Data___Hourly_OverviewSearch_1_csv[[#This Row],[Date]],Supply_Data___Hourly_DriverActivity_1_csv__3[#All],4,FALSE)</f>
        <v>4</v>
      </c>
      <c r="L205">
        <f>VLOOKUP(Demand_Data___Hourly_OverviewSearch_1_csv[[#This Row],[Date]],Supply_Data___Hourly_DriverActivity_1_csv__3[#All],5,FALSE)</f>
        <v>10</v>
      </c>
      <c r="M205">
        <f>VLOOKUP(Demand_Data___Hourly_OverviewSearch_1_csv[[#This Row],[Date]],Supply_Data___Hourly_DriverActivity_1_csv__3[#All],6,FALSE)</f>
        <v>0.3</v>
      </c>
      <c r="N205">
        <f>VLOOKUP(Demand_Data___Hourly_OverviewSearch_1_csv[[#This Row],[Date]],Supply_Data___Hourly_DriverActivity_1_csv__3[#All],7,FALSE)</f>
        <v>0.64</v>
      </c>
      <c r="O205">
        <f>VLOOKUP(Demand_Data___Hourly_OverviewSearch_1_csv[[#This Row],[Date]],Supply_Data___Hourly_DriverActivity_1_csv__3[#All],8,FALSE)</f>
        <v>9</v>
      </c>
      <c r="P205">
        <f>(Demand_Data___Hourly_OverviewSearch_1_csv[[#This Row],[People saw 0 cars (unique)]]+Demand_Data___Hourly_OverviewSearch_1_csv[[#This Row],[People saw +1 cars (unique)]])</f>
        <v>46</v>
      </c>
      <c r="Q205" s="143">
        <f t="shared" si="15"/>
        <v>10</v>
      </c>
    </row>
    <row r="206" spans="1:17" x14ac:dyDescent="0.3">
      <c r="A206" t="s">
        <v>212</v>
      </c>
      <c r="B206" t="str">
        <f t="shared" si="12"/>
        <v xml:space="preserve"> 11</v>
      </c>
      <c r="C206">
        <f t="shared" si="13"/>
        <v>6</v>
      </c>
      <c r="D206" t="str">
        <f t="shared" si="14"/>
        <v xml:space="preserve">2016-12-10 </v>
      </c>
      <c r="E206" t="str">
        <f>TEXT(Demand_Data___Hourly_OverviewSearch_1_csv[[#This Row],[Day]],"dddd")</f>
        <v>Friday</v>
      </c>
      <c r="F206">
        <v>7</v>
      </c>
      <c r="G206">
        <v>34</v>
      </c>
      <c r="H206">
        <v>83</v>
      </c>
      <c r="I206">
        <f>VLOOKUP(Demand_Data___Hourly_OverviewSearch_1_csv[[#This Row],[Date]],Supply_Data___Hourly_DriverActivity_1_csv__3[#All],2,FALSE)</f>
        <v>40</v>
      </c>
      <c r="J206">
        <f>VLOOKUP(Demand_Data___Hourly_OverviewSearch_1_csv[[#This Row],[Date]],Supply_Data___Hourly_DriverActivity_1_csv__3[#All],3,FALSE)</f>
        <v>16</v>
      </c>
      <c r="K206">
        <f>VLOOKUP(Demand_Data___Hourly_OverviewSearch_1_csv[[#This Row],[Date]],Supply_Data___Hourly_DriverActivity_1_csv__3[#All],4,FALSE)</f>
        <v>3</v>
      </c>
      <c r="L206">
        <f>VLOOKUP(Demand_Data___Hourly_OverviewSearch_1_csv[[#This Row],[Date]],Supply_Data___Hourly_DriverActivity_1_csv__3[#All],5,FALSE)</f>
        <v>13</v>
      </c>
      <c r="M206">
        <f>VLOOKUP(Demand_Data___Hourly_OverviewSearch_1_csv[[#This Row],[Date]],Supply_Data___Hourly_DriverActivity_1_csv__3[#All],6,FALSE)</f>
        <v>0.4</v>
      </c>
      <c r="N206">
        <f>VLOOKUP(Demand_Data___Hourly_OverviewSearch_1_csv[[#This Row],[Date]],Supply_Data___Hourly_DriverActivity_1_csv__3[#All],7,FALSE)</f>
        <v>0.31</v>
      </c>
      <c r="O206">
        <f>VLOOKUP(Demand_Data___Hourly_OverviewSearch_1_csv[[#This Row],[Date]],Supply_Data___Hourly_DriverActivity_1_csv__3[#All],8,FALSE)</f>
        <v>5</v>
      </c>
      <c r="P206">
        <f>(Demand_Data___Hourly_OverviewSearch_1_csv[[#This Row],[People saw 0 cars (unique)]]+Demand_Data___Hourly_OverviewSearch_1_csv[[#This Row],[People saw +1 cars (unique)]])</f>
        <v>41</v>
      </c>
      <c r="Q206" s="143">
        <f t="shared" si="15"/>
        <v>13</v>
      </c>
    </row>
    <row r="207" spans="1:17" x14ac:dyDescent="0.3">
      <c r="A207" t="s">
        <v>213</v>
      </c>
      <c r="B207" t="str">
        <f t="shared" si="12"/>
        <v xml:space="preserve"> 10</v>
      </c>
      <c r="C207">
        <f t="shared" si="13"/>
        <v>6</v>
      </c>
      <c r="D207" t="str">
        <f t="shared" si="14"/>
        <v xml:space="preserve">2016-12-10 </v>
      </c>
      <c r="E207" t="str">
        <f>TEXT(Demand_Data___Hourly_OverviewSearch_1_csv[[#This Row],[Day]],"dddd")</f>
        <v>Friday</v>
      </c>
      <c r="F207">
        <v>3</v>
      </c>
      <c r="G207">
        <v>27</v>
      </c>
      <c r="H207">
        <v>90</v>
      </c>
      <c r="I207">
        <f>VLOOKUP(Demand_Data___Hourly_OverviewSearch_1_csv[[#This Row],[Date]],Supply_Data___Hourly_DriverActivity_1_csv__3[#All],2,FALSE)</f>
        <v>46</v>
      </c>
      <c r="J207">
        <f>VLOOKUP(Demand_Data___Hourly_OverviewSearch_1_csv[[#This Row],[Date]],Supply_Data___Hourly_DriverActivity_1_csv__3[#All],3,FALSE)</f>
        <v>19</v>
      </c>
      <c r="K207">
        <f>VLOOKUP(Demand_Data___Hourly_OverviewSearch_1_csv[[#This Row],[Date]],Supply_Data___Hourly_DriverActivity_1_csv__3[#All],4,FALSE)</f>
        <v>3</v>
      </c>
      <c r="L207">
        <f>VLOOKUP(Demand_Data___Hourly_OverviewSearch_1_csv[[#This Row],[Date]],Supply_Data___Hourly_DriverActivity_1_csv__3[#All],5,FALSE)</f>
        <v>16</v>
      </c>
      <c r="M207">
        <f>VLOOKUP(Demand_Data___Hourly_OverviewSearch_1_csv[[#This Row],[Date]],Supply_Data___Hourly_DriverActivity_1_csv__3[#All],6,FALSE)</f>
        <v>0.4</v>
      </c>
      <c r="N207">
        <f>VLOOKUP(Demand_Data___Hourly_OverviewSearch_1_csv[[#This Row],[Date]],Supply_Data___Hourly_DriverActivity_1_csv__3[#All],7,FALSE)</f>
        <v>0.47</v>
      </c>
      <c r="O207">
        <f>VLOOKUP(Demand_Data___Hourly_OverviewSearch_1_csv[[#This Row],[Date]],Supply_Data___Hourly_DriverActivity_1_csv__3[#All],8,FALSE)</f>
        <v>9</v>
      </c>
      <c r="P207">
        <f>(Demand_Data___Hourly_OverviewSearch_1_csv[[#This Row],[People saw 0 cars (unique)]]+Demand_Data___Hourly_OverviewSearch_1_csv[[#This Row],[People saw +1 cars (unique)]])</f>
        <v>30</v>
      </c>
      <c r="Q207" s="143">
        <f t="shared" si="15"/>
        <v>16</v>
      </c>
    </row>
    <row r="208" spans="1:17" x14ac:dyDescent="0.3">
      <c r="A208" t="s">
        <v>214</v>
      </c>
      <c r="B208" t="str">
        <f t="shared" si="12"/>
        <v xml:space="preserve"> 09</v>
      </c>
      <c r="C208">
        <f t="shared" si="13"/>
        <v>6</v>
      </c>
      <c r="D208" t="str">
        <f t="shared" si="14"/>
        <v xml:space="preserve">2016-12-10 </v>
      </c>
      <c r="E208" t="str">
        <f>TEXT(Demand_Data___Hourly_OverviewSearch_1_csv[[#This Row],[Day]],"dddd")</f>
        <v>Friday</v>
      </c>
      <c r="F208">
        <v>9</v>
      </c>
      <c r="G208">
        <v>17</v>
      </c>
      <c r="H208">
        <v>65</v>
      </c>
      <c r="I208">
        <f>VLOOKUP(Demand_Data___Hourly_OverviewSearch_1_csv[[#This Row],[Date]],Supply_Data___Hourly_DriverActivity_1_csv__3[#All],2,FALSE)</f>
        <v>42</v>
      </c>
      <c r="J208">
        <f>VLOOKUP(Demand_Data___Hourly_OverviewSearch_1_csv[[#This Row],[Date]],Supply_Data___Hourly_DriverActivity_1_csv__3[#All],3,FALSE)</f>
        <v>11</v>
      </c>
      <c r="K208">
        <f>VLOOKUP(Demand_Data___Hourly_OverviewSearch_1_csv[[#This Row],[Date]],Supply_Data___Hourly_DriverActivity_1_csv__3[#All],4,FALSE)</f>
        <v>3</v>
      </c>
      <c r="L208">
        <f>VLOOKUP(Demand_Data___Hourly_OverviewSearch_1_csv[[#This Row],[Date]],Supply_Data___Hourly_DriverActivity_1_csv__3[#All],5,FALSE)</f>
        <v>8</v>
      </c>
      <c r="M208">
        <f>VLOOKUP(Demand_Data___Hourly_OverviewSearch_1_csv[[#This Row],[Date]],Supply_Data___Hourly_DriverActivity_1_csv__3[#All],6,FALSE)</f>
        <v>0.3</v>
      </c>
      <c r="N208">
        <f>VLOOKUP(Demand_Data___Hourly_OverviewSearch_1_csv[[#This Row],[Date]],Supply_Data___Hourly_DriverActivity_1_csv__3[#All],7,FALSE)</f>
        <v>0.64</v>
      </c>
      <c r="O208">
        <f>VLOOKUP(Demand_Data___Hourly_OverviewSearch_1_csv[[#This Row],[Date]],Supply_Data___Hourly_DriverActivity_1_csv__3[#All],8,FALSE)</f>
        <v>7</v>
      </c>
      <c r="P208">
        <f>(Demand_Data___Hourly_OverviewSearch_1_csv[[#This Row],[People saw 0 cars (unique)]]+Demand_Data___Hourly_OverviewSearch_1_csv[[#This Row],[People saw +1 cars (unique)]])</f>
        <v>26</v>
      </c>
      <c r="Q208" s="143">
        <f t="shared" si="15"/>
        <v>8</v>
      </c>
    </row>
    <row r="209" spans="1:17" x14ac:dyDescent="0.3">
      <c r="A209" t="s">
        <v>215</v>
      </c>
      <c r="B209" t="str">
        <f t="shared" si="12"/>
        <v xml:space="preserve"> 08</v>
      </c>
      <c r="C209">
        <f t="shared" si="13"/>
        <v>6</v>
      </c>
      <c r="D209" t="str">
        <f t="shared" si="14"/>
        <v xml:space="preserve">2016-12-10 </v>
      </c>
      <c r="E209" t="str">
        <f>TEXT(Demand_Data___Hourly_OverviewSearch_1_csv[[#This Row],[Day]],"dddd")</f>
        <v>Friday</v>
      </c>
      <c r="F209">
        <v>12</v>
      </c>
      <c r="G209">
        <v>13</v>
      </c>
      <c r="H209">
        <v>52</v>
      </c>
      <c r="I209">
        <f>VLOOKUP(Demand_Data___Hourly_OverviewSearch_1_csv[[#This Row],[Date]],Supply_Data___Hourly_DriverActivity_1_csv__3[#All],2,FALSE)</f>
        <v>39</v>
      </c>
      <c r="J209">
        <f>VLOOKUP(Demand_Data___Hourly_OverviewSearch_1_csv[[#This Row],[Date]],Supply_Data___Hourly_DriverActivity_1_csv__3[#All],3,FALSE)</f>
        <v>12</v>
      </c>
      <c r="K209">
        <f>VLOOKUP(Demand_Data___Hourly_OverviewSearch_1_csv[[#This Row],[Date]],Supply_Data___Hourly_DriverActivity_1_csv__3[#All],4,FALSE)</f>
        <v>3</v>
      </c>
      <c r="L209">
        <f>VLOOKUP(Demand_Data___Hourly_OverviewSearch_1_csv[[#This Row],[Date]],Supply_Data___Hourly_DriverActivity_1_csv__3[#All],5,FALSE)</f>
        <v>9</v>
      </c>
      <c r="M209">
        <f>VLOOKUP(Demand_Data___Hourly_OverviewSearch_1_csv[[#This Row],[Date]],Supply_Data___Hourly_DriverActivity_1_csv__3[#All],6,FALSE)</f>
        <v>0.3</v>
      </c>
      <c r="N209">
        <f>VLOOKUP(Demand_Data___Hourly_OverviewSearch_1_csv[[#This Row],[Date]],Supply_Data___Hourly_DriverActivity_1_csv__3[#All],7,FALSE)</f>
        <v>0.5</v>
      </c>
      <c r="O209">
        <f>VLOOKUP(Demand_Data___Hourly_OverviewSearch_1_csv[[#This Row],[Date]],Supply_Data___Hourly_DriverActivity_1_csv__3[#All],8,FALSE)</f>
        <v>6</v>
      </c>
      <c r="P209">
        <f>(Demand_Data___Hourly_OverviewSearch_1_csv[[#This Row],[People saw 0 cars (unique)]]+Demand_Data___Hourly_OverviewSearch_1_csv[[#This Row],[People saw +1 cars (unique)]])</f>
        <v>25</v>
      </c>
      <c r="Q209" s="143">
        <f t="shared" si="15"/>
        <v>9</v>
      </c>
    </row>
    <row r="210" spans="1:17" x14ac:dyDescent="0.3">
      <c r="A210" t="s">
        <v>216</v>
      </c>
      <c r="B210" t="str">
        <f t="shared" si="12"/>
        <v xml:space="preserve"> 07</v>
      </c>
      <c r="C210">
        <f t="shared" si="13"/>
        <v>6</v>
      </c>
      <c r="D210" t="str">
        <f t="shared" si="14"/>
        <v xml:space="preserve">2016-12-10 </v>
      </c>
      <c r="E210" t="str">
        <f>TEXT(Demand_Data___Hourly_OverviewSearch_1_csv[[#This Row],[Day]],"dddd")</f>
        <v>Friday</v>
      </c>
      <c r="F210">
        <v>3</v>
      </c>
      <c r="G210">
        <v>9</v>
      </c>
      <c r="H210">
        <v>75</v>
      </c>
      <c r="I210">
        <f>VLOOKUP(Demand_Data___Hourly_OverviewSearch_1_csv[[#This Row],[Date]],Supply_Data___Hourly_DriverActivity_1_csv__3[#All],2,FALSE)</f>
        <v>35</v>
      </c>
      <c r="J210">
        <f>VLOOKUP(Demand_Data___Hourly_OverviewSearch_1_csv[[#This Row],[Date]],Supply_Data___Hourly_DriverActivity_1_csv__3[#All],3,FALSE)</f>
        <v>12</v>
      </c>
      <c r="K210">
        <f>VLOOKUP(Demand_Data___Hourly_OverviewSearch_1_csv[[#This Row],[Date]],Supply_Data___Hourly_DriverActivity_1_csv__3[#All],4,FALSE)</f>
        <v>0</v>
      </c>
      <c r="L210">
        <f>VLOOKUP(Demand_Data___Hourly_OverviewSearch_1_csv[[#This Row],[Date]],Supply_Data___Hourly_DriverActivity_1_csv__3[#All],5,FALSE)</f>
        <v>11</v>
      </c>
      <c r="M210">
        <f>VLOOKUP(Demand_Data___Hourly_OverviewSearch_1_csv[[#This Row],[Date]],Supply_Data___Hourly_DriverActivity_1_csv__3[#All],6,FALSE)</f>
        <v>0.3</v>
      </c>
      <c r="N210">
        <f>VLOOKUP(Demand_Data___Hourly_OverviewSearch_1_csv[[#This Row],[Date]],Supply_Data___Hourly_DriverActivity_1_csv__3[#All],7,FALSE)</f>
        <v>0.08</v>
      </c>
      <c r="O210">
        <f>VLOOKUP(Demand_Data___Hourly_OverviewSearch_1_csv[[#This Row],[Date]],Supply_Data___Hourly_DriverActivity_1_csv__3[#All],8,FALSE)</f>
        <v>1</v>
      </c>
      <c r="P210">
        <f>(Demand_Data___Hourly_OverviewSearch_1_csv[[#This Row],[People saw 0 cars (unique)]]+Demand_Data___Hourly_OverviewSearch_1_csv[[#This Row],[People saw +1 cars (unique)]])</f>
        <v>12</v>
      </c>
      <c r="Q210" s="143">
        <f t="shared" si="15"/>
        <v>12</v>
      </c>
    </row>
    <row r="211" spans="1:17" x14ac:dyDescent="0.3">
      <c r="A211" t="s">
        <v>217</v>
      </c>
      <c r="B211" t="str">
        <f t="shared" si="12"/>
        <v xml:space="preserve"> 06</v>
      </c>
      <c r="C211">
        <f t="shared" si="13"/>
        <v>6</v>
      </c>
      <c r="D211" t="str">
        <f t="shared" si="14"/>
        <v xml:space="preserve">2016-12-10 </v>
      </c>
      <c r="E211" t="str">
        <f>TEXT(Demand_Data___Hourly_OverviewSearch_1_csv[[#This Row],[Day]],"dddd")</f>
        <v>Friday</v>
      </c>
      <c r="F211">
        <v>6</v>
      </c>
      <c r="G211">
        <v>12</v>
      </c>
      <c r="H211">
        <v>67</v>
      </c>
      <c r="I211">
        <f>VLOOKUP(Demand_Data___Hourly_OverviewSearch_1_csv[[#This Row],[Date]],Supply_Data___Hourly_DriverActivity_1_csv__3[#All],2,FALSE)</f>
        <v>30</v>
      </c>
      <c r="J211">
        <f>VLOOKUP(Demand_Data___Hourly_OverviewSearch_1_csv[[#This Row],[Date]],Supply_Data___Hourly_DriverActivity_1_csv__3[#All],3,FALSE)</f>
        <v>10</v>
      </c>
      <c r="K211">
        <f>VLOOKUP(Demand_Data___Hourly_OverviewSearch_1_csv[[#This Row],[Date]],Supply_Data___Hourly_DriverActivity_1_csv__3[#All],4,FALSE)</f>
        <v>2</v>
      </c>
      <c r="L211">
        <f>VLOOKUP(Demand_Data___Hourly_OverviewSearch_1_csv[[#This Row],[Date]],Supply_Data___Hourly_DriverActivity_1_csv__3[#All],5,FALSE)</f>
        <v>8</v>
      </c>
      <c r="M211">
        <f>VLOOKUP(Demand_Data___Hourly_OverviewSearch_1_csv[[#This Row],[Date]],Supply_Data___Hourly_DriverActivity_1_csv__3[#All],6,FALSE)</f>
        <v>0.3</v>
      </c>
      <c r="N211">
        <f>VLOOKUP(Demand_Data___Hourly_OverviewSearch_1_csv[[#This Row],[Date]],Supply_Data___Hourly_DriverActivity_1_csv__3[#All],7,FALSE)</f>
        <v>0.4</v>
      </c>
      <c r="O211">
        <f>VLOOKUP(Demand_Data___Hourly_OverviewSearch_1_csv[[#This Row],[Date]],Supply_Data___Hourly_DriverActivity_1_csv__3[#All],8,FALSE)</f>
        <v>4</v>
      </c>
      <c r="P211">
        <f>(Demand_Data___Hourly_OverviewSearch_1_csv[[#This Row],[People saw 0 cars (unique)]]+Demand_Data___Hourly_OverviewSearch_1_csv[[#This Row],[People saw +1 cars (unique)]])</f>
        <v>18</v>
      </c>
      <c r="Q211" s="143">
        <f t="shared" si="15"/>
        <v>8</v>
      </c>
    </row>
    <row r="212" spans="1:17" x14ac:dyDescent="0.3">
      <c r="A212" t="s">
        <v>218</v>
      </c>
      <c r="B212" t="str">
        <f t="shared" si="12"/>
        <v xml:space="preserve"> 05</v>
      </c>
      <c r="C212">
        <f t="shared" si="13"/>
        <v>6</v>
      </c>
      <c r="D212" t="str">
        <f t="shared" si="14"/>
        <v xml:space="preserve">2016-12-10 </v>
      </c>
      <c r="E212" t="str">
        <f>TEXT(Demand_Data___Hourly_OverviewSearch_1_csv[[#This Row],[Day]],"dddd")</f>
        <v>Friday</v>
      </c>
      <c r="F212">
        <v>18</v>
      </c>
      <c r="G212">
        <v>24</v>
      </c>
      <c r="H212">
        <v>57</v>
      </c>
      <c r="I212">
        <f>VLOOKUP(Demand_Data___Hourly_OverviewSearch_1_csv[[#This Row],[Date]],Supply_Data___Hourly_DriverActivity_1_csv__3[#All],2,FALSE)</f>
        <v>36</v>
      </c>
      <c r="J212">
        <f>VLOOKUP(Demand_Data___Hourly_OverviewSearch_1_csv[[#This Row],[Date]],Supply_Data___Hourly_DriverActivity_1_csv__3[#All],3,FALSE)</f>
        <v>11</v>
      </c>
      <c r="K212">
        <f>VLOOKUP(Demand_Data___Hourly_OverviewSearch_1_csv[[#This Row],[Date]],Supply_Data___Hourly_DriverActivity_1_csv__3[#All],4,FALSE)</f>
        <v>5</v>
      </c>
      <c r="L212">
        <f>VLOOKUP(Demand_Data___Hourly_OverviewSearch_1_csv[[#This Row],[Date]],Supply_Data___Hourly_DriverActivity_1_csv__3[#All],5,FALSE)</f>
        <v>6</v>
      </c>
      <c r="M212">
        <f>VLOOKUP(Demand_Data___Hourly_OverviewSearch_1_csv[[#This Row],[Date]],Supply_Data___Hourly_DriverActivity_1_csv__3[#All],6,FALSE)</f>
        <v>0.3</v>
      </c>
      <c r="N212">
        <f>VLOOKUP(Demand_Data___Hourly_OverviewSearch_1_csv[[#This Row],[Date]],Supply_Data___Hourly_DriverActivity_1_csv__3[#All],7,FALSE)</f>
        <v>1</v>
      </c>
      <c r="O212">
        <f>VLOOKUP(Demand_Data___Hourly_OverviewSearch_1_csv[[#This Row],[Date]],Supply_Data___Hourly_DriverActivity_1_csv__3[#All],8,FALSE)</f>
        <v>11</v>
      </c>
      <c r="P212">
        <f>(Demand_Data___Hourly_OverviewSearch_1_csv[[#This Row],[People saw 0 cars (unique)]]+Demand_Data___Hourly_OverviewSearch_1_csv[[#This Row],[People saw +1 cars (unique)]])</f>
        <v>42</v>
      </c>
      <c r="Q212" s="143">
        <f t="shared" si="15"/>
        <v>6</v>
      </c>
    </row>
    <row r="213" spans="1:17" x14ac:dyDescent="0.3">
      <c r="A213" t="s">
        <v>219</v>
      </c>
      <c r="B213" t="str">
        <f t="shared" si="12"/>
        <v xml:space="preserve"> 04</v>
      </c>
      <c r="C213">
        <f t="shared" si="13"/>
        <v>6</v>
      </c>
      <c r="D213" t="str">
        <f t="shared" si="14"/>
        <v xml:space="preserve">2016-12-10 </v>
      </c>
      <c r="E213" t="str">
        <f>TEXT(Demand_Data___Hourly_OverviewSearch_1_csv[[#This Row],[Day]],"dddd")</f>
        <v>Friday</v>
      </c>
      <c r="F213">
        <v>69</v>
      </c>
      <c r="G213">
        <v>37</v>
      </c>
      <c r="H213">
        <v>35</v>
      </c>
      <c r="I213">
        <f>VLOOKUP(Demand_Data___Hourly_OverviewSearch_1_csv[[#This Row],[Date]],Supply_Data___Hourly_DriverActivity_1_csv__3[#All],2,FALSE)</f>
        <v>37</v>
      </c>
      <c r="J213">
        <f>VLOOKUP(Demand_Data___Hourly_OverviewSearch_1_csv[[#This Row],[Date]],Supply_Data___Hourly_DriverActivity_1_csv__3[#All],3,FALSE)</f>
        <v>11</v>
      </c>
      <c r="K213">
        <f>VLOOKUP(Demand_Data___Hourly_OverviewSearch_1_csv[[#This Row],[Date]],Supply_Data___Hourly_DriverActivity_1_csv__3[#All],4,FALSE)</f>
        <v>7</v>
      </c>
      <c r="L213">
        <f>VLOOKUP(Demand_Data___Hourly_OverviewSearch_1_csv[[#This Row],[Date]],Supply_Data___Hourly_DriverActivity_1_csv__3[#All],5,FALSE)</f>
        <v>4</v>
      </c>
      <c r="M213">
        <f>VLOOKUP(Demand_Data___Hourly_OverviewSearch_1_csv[[#This Row],[Date]],Supply_Data___Hourly_DriverActivity_1_csv__3[#All],6,FALSE)</f>
        <v>0.3</v>
      </c>
      <c r="N213">
        <f>VLOOKUP(Demand_Data___Hourly_OverviewSearch_1_csv[[#This Row],[Date]],Supply_Data___Hourly_DriverActivity_1_csv__3[#All],7,FALSE)</f>
        <v>1.82</v>
      </c>
      <c r="O213">
        <f>VLOOKUP(Demand_Data___Hourly_OverviewSearch_1_csv[[#This Row],[Date]],Supply_Data___Hourly_DriverActivity_1_csv__3[#All],8,FALSE)</f>
        <v>20</v>
      </c>
      <c r="P213">
        <f>(Demand_Data___Hourly_OverviewSearch_1_csv[[#This Row],[People saw 0 cars (unique)]]+Demand_Data___Hourly_OverviewSearch_1_csv[[#This Row],[People saw +1 cars (unique)]])</f>
        <v>106</v>
      </c>
      <c r="Q213" s="143">
        <f t="shared" si="15"/>
        <v>4</v>
      </c>
    </row>
    <row r="214" spans="1:17" x14ac:dyDescent="0.3">
      <c r="A214" t="s">
        <v>220</v>
      </c>
      <c r="B214" t="str">
        <f t="shared" si="12"/>
        <v xml:space="preserve"> 03</v>
      </c>
      <c r="C214">
        <f t="shared" si="13"/>
        <v>6</v>
      </c>
      <c r="D214" t="str">
        <f t="shared" si="14"/>
        <v xml:space="preserve">2016-12-10 </v>
      </c>
      <c r="E214" t="str">
        <f>TEXT(Demand_Data___Hourly_OverviewSearch_1_csv[[#This Row],[Day]],"dddd")</f>
        <v>Friday</v>
      </c>
      <c r="F214">
        <v>63</v>
      </c>
      <c r="G214">
        <v>46</v>
      </c>
      <c r="H214">
        <v>42</v>
      </c>
      <c r="I214">
        <f>VLOOKUP(Demand_Data___Hourly_OverviewSearch_1_csv[[#This Row],[Date]],Supply_Data___Hourly_DriverActivity_1_csv__3[#All],2,FALSE)</f>
        <v>42</v>
      </c>
      <c r="J214">
        <f>VLOOKUP(Demand_Data___Hourly_OverviewSearch_1_csv[[#This Row],[Date]],Supply_Data___Hourly_DriverActivity_1_csv__3[#All],3,FALSE)</f>
        <v>17</v>
      </c>
      <c r="K214">
        <f>VLOOKUP(Demand_Data___Hourly_OverviewSearch_1_csv[[#This Row],[Date]],Supply_Data___Hourly_DriverActivity_1_csv__3[#All],4,FALSE)</f>
        <v>11</v>
      </c>
      <c r="L214">
        <f>VLOOKUP(Demand_Data___Hourly_OverviewSearch_1_csv[[#This Row],[Date]],Supply_Data___Hourly_DriverActivity_1_csv__3[#All],5,FALSE)</f>
        <v>6</v>
      </c>
      <c r="M214">
        <f>VLOOKUP(Demand_Data___Hourly_OverviewSearch_1_csv[[#This Row],[Date]],Supply_Data___Hourly_DriverActivity_1_csv__3[#All],6,FALSE)</f>
        <v>0.4</v>
      </c>
      <c r="N214">
        <f>VLOOKUP(Demand_Data___Hourly_OverviewSearch_1_csv[[#This Row],[Date]],Supply_Data___Hourly_DriverActivity_1_csv__3[#All],7,FALSE)</f>
        <v>1.47</v>
      </c>
      <c r="O214">
        <f>VLOOKUP(Demand_Data___Hourly_OverviewSearch_1_csv[[#This Row],[Date]],Supply_Data___Hourly_DriverActivity_1_csv__3[#All],8,FALSE)</f>
        <v>25</v>
      </c>
      <c r="P214">
        <f>(Demand_Data___Hourly_OverviewSearch_1_csv[[#This Row],[People saw 0 cars (unique)]]+Demand_Data___Hourly_OverviewSearch_1_csv[[#This Row],[People saw +1 cars (unique)]])</f>
        <v>109</v>
      </c>
      <c r="Q214" s="143">
        <f t="shared" si="15"/>
        <v>6</v>
      </c>
    </row>
    <row r="215" spans="1:17" x14ac:dyDescent="0.3">
      <c r="A215" t="s">
        <v>221</v>
      </c>
      <c r="B215" t="str">
        <f t="shared" si="12"/>
        <v xml:space="preserve"> 02</v>
      </c>
      <c r="C215">
        <f t="shared" si="13"/>
        <v>6</v>
      </c>
      <c r="D215" t="str">
        <f t="shared" si="14"/>
        <v xml:space="preserve">2016-12-10 </v>
      </c>
      <c r="E215" t="str">
        <f>TEXT(Demand_Data___Hourly_OverviewSearch_1_csv[[#This Row],[Day]],"dddd")</f>
        <v>Friday</v>
      </c>
      <c r="F215">
        <v>34</v>
      </c>
      <c r="G215">
        <v>71</v>
      </c>
      <c r="H215">
        <v>68</v>
      </c>
      <c r="I215">
        <f>VLOOKUP(Demand_Data___Hourly_OverviewSearch_1_csv[[#This Row],[Date]],Supply_Data___Hourly_DriverActivity_1_csv__3[#All],2,FALSE)</f>
        <v>59</v>
      </c>
      <c r="J215">
        <f>VLOOKUP(Demand_Data___Hourly_OverviewSearch_1_csv[[#This Row],[Date]],Supply_Data___Hourly_DriverActivity_1_csv__3[#All],3,FALSE)</f>
        <v>24</v>
      </c>
      <c r="K215">
        <f>VLOOKUP(Demand_Data___Hourly_OverviewSearch_1_csv[[#This Row],[Date]],Supply_Data___Hourly_DriverActivity_1_csv__3[#All],4,FALSE)</f>
        <v>15</v>
      </c>
      <c r="L215">
        <f>VLOOKUP(Demand_Data___Hourly_OverviewSearch_1_csv[[#This Row],[Date]],Supply_Data___Hourly_DriverActivity_1_csv__3[#All],5,FALSE)</f>
        <v>9</v>
      </c>
      <c r="M215">
        <f>VLOOKUP(Demand_Data___Hourly_OverviewSearch_1_csv[[#This Row],[Date]],Supply_Data___Hourly_DriverActivity_1_csv__3[#All],6,FALSE)</f>
        <v>0.4</v>
      </c>
      <c r="N215">
        <f>VLOOKUP(Demand_Data___Hourly_OverviewSearch_1_csv[[#This Row],[Date]],Supply_Data___Hourly_DriverActivity_1_csv__3[#All],7,FALSE)</f>
        <v>1.46</v>
      </c>
      <c r="O215">
        <f>VLOOKUP(Demand_Data___Hourly_OverviewSearch_1_csv[[#This Row],[Date]],Supply_Data___Hourly_DriverActivity_1_csv__3[#All],8,FALSE)</f>
        <v>35</v>
      </c>
      <c r="P215">
        <f>(Demand_Data___Hourly_OverviewSearch_1_csv[[#This Row],[People saw 0 cars (unique)]]+Demand_Data___Hourly_OverviewSearch_1_csv[[#This Row],[People saw +1 cars (unique)]])</f>
        <v>105</v>
      </c>
      <c r="Q215" s="143">
        <f t="shared" si="15"/>
        <v>9</v>
      </c>
    </row>
    <row r="216" spans="1:17" x14ac:dyDescent="0.3">
      <c r="A216" t="s">
        <v>222</v>
      </c>
      <c r="B216" t="str">
        <f t="shared" si="12"/>
        <v xml:space="preserve"> 01</v>
      </c>
      <c r="C216">
        <f t="shared" si="13"/>
        <v>6</v>
      </c>
      <c r="D216" t="str">
        <f t="shared" si="14"/>
        <v xml:space="preserve">2016-12-10 </v>
      </c>
      <c r="E216" t="str">
        <f>TEXT(Demand_Data___Hourly_OverviewSearch_1_csv[[#This Row],[Day]],"dddd")</f>
        <v>Friday</v>
      </c>
      <c r="F216">
        <v>10</v>
      </c>
      <c r="G216">
        <v>87</v>
      </c>
      <c r="H216">
        <v>90</v>
      </c>
      <c r="I216">
        <f>VLOOKUP(Demand_Data___Hourly_OverviewSearch_1_csv[[#This Row],[Date]],Supply_Data___Hourly_DriverActivity_1_csv__3[#All],2,FALSE)</f>
        <v>71</v>
      </c>
      <c r="J216">
        <f>VLOOKUP(Demand_Data___Hourly_OverviewSearch_1_csv[[#This Row],[Date]],Supply_Data___Hourly_DriverActivity_1_csv__3[#All],3,FALSE)</f>
        <v>31</v>
      </c>
      <c r="K216">
        <f>VLOOKUP(Demand_Data___Hourly_OverviewSearch_1_csv[[#This Row],[Date]],Supply_Data___Hourly_DriverActivity_1_csv__3[#All],4,FALSE)</f>
        <v>17</v>
      </c>
      <c r="L216">
        <f>VLOOKUP(Demand_Data___Hourly_OverviewSearch_1_csv[[#This Row],[Date]],Supply_Data___Hourly_DriverActivity_1_csv__3[#All],5,FALSE)</f>
        <v>14</v>
      </c>
      <c r="M216">
        <f>VLOOKUP(Demand_Data___Hourly_OverviewSearch_1_csv[[#This Row],[Date]],Supply_Data___Hourly_DriverActivity_1_csv__3[#All],6,FALSE)</f>
        <v>0.4</v>
      </c>
      <c r="N216">
        <f>VLOOKUP(Demand_Data___Hourly_OverviewSearch_1_csv[[#This Row],[Date]],Supply_Data___Hourly_DriverActivity_1_csv__3[#All],7,FALSE)</f>
        <v>1.55</v>
      </c>
      <c r="O216">
        <f>VLOOKUP(Demand_Data___Hourly_OverviewSearch_1_csv[[#This Row],[Date]],Supply_Data___Hourly_DriverActivity_1_csv__3[#All],8,FALSE)</f>
        <v>48</v>
      </c>
      <c r="P216">
        <f>(Demand_Data___Hourly_OverviewSearch_1_csv[[#This Row],[People saw 0 cars (unique)]]+Demand_Data___Hourly_OverviewSearch_1_csv[[#This Row],[People saw +1 cars (unique)]])</f>
        <v>97</v>
      </c>
      <c r="Q216" s="143">
        <f t="shared" si="15"/>
        <v>14</v>
      </c>
    </row>
    <row r="217" spans="1:17" x14ac:dyDescent="0.3">
      <c r="A217" t="s">
        <v>223</v>
      </c>
      <c r="B217" t="str">
        <f t="shared" si="12"/>
        <v xml:space="preserve"> 00</v>
      </c>
      <c r="C217">
        <f t="shared" si="13"/>
        <v>6</v>
      </c>
      <c r="D217" t="str">
        <f t="shared" si="14"/>
        <v xml:space="preserve">2016-12-10 </v>
      </c>
      <c r="E217" t="str">
        <f>TEXT(Demand_Data___Hourly_OverviewSearch_1_csv[[#This Row],[Day]],"dddd")</f>
        <v>Friday</v>
      </c>
      <c r="F217">
        <v>10</v>
      </c>
      <c r="G217">
        <v>78</v>
      </c>
      <c r="H217">
        <v>89</v>
      </c>
      <c r="I217">
        <f>VLOOKUP(Demand_Data___Hourly_OverviewSearch_1_csv[[#This Row],[Date]],Supply_Data___Hourly_DriverActivity_1_csv__3[#All],2,FALSE)</f>
        <v>81</v>
      </c>
      <c r="J217">
        <f>VLOOKUP(Demand_Data___Hourly_OverviewSearch_1_csv[[#This Row],[Date]],Supply_Data___Hourly_DriverActivity_1_csv__3[#All],3,FALSE)</f>
        <v>33</v>
      </c>
      <c r="K217">
        <f>VLOOKUP(Demand_Data___Hourly_OverviewSearch_1_csv[[#This Row],[Date]],Supply_Data___Hourly_DriverActivity_1_csv__3[#All],4,FALSE)</f>
        <v>15</v>
      </c>
      <c r="L217">
        <f>VLOOKUP(Demand_Data___Hourly_OverviewSearch_1_csv[[#This Row],[Date]],Supply_Data___Hourly_DriverActivity_1_csv__3[#All],5,FALSE)</f>
        <v>18</v>
      </c>
      <c r="M217">
        <f>VLOOKUP(Demand_Data___Hourly_OverviewSearch_1_csv[[#This Row],[Date]],Supply_Data___Hourly_DriverActivity_1_csv__3[#All],6,FALSE)</f>
        <v>0.4</v>
      </c>
      <c r="N217">
        <f>VLOOKUP(Demand_Data___Hourly_OverviewSearch_1_csv[[#This Row],[Date]],Supply_Data___Hourly_DriverActivity_1_csv__3[#All],7,FALSE)</f>
        <v>1.24</v>
      </c>
      <c r="O217">
        <f>VLOOKUP(Demand_Data___Hourly_OverviewSearch_1_csv[[#This Row],[Date]],Supply_Data___Hourly_DriverActivity_1_csv__3[#All],8,FALSE)</f>
        <v>41</v>
      </c>
      <c r="P217">
        <f>(Demand_Data___Hourly_OverviewSearch_1_csv[[#This Row],[People saw 0 cars (unique)]]+Demand_Data___Hourly_OverviewSearch_1_csv[[#This Row],[People saw +1 cars (unique)]])</f>
        <v>88</v>
      </c>
      <c r="Q217" s="143">
        <f t="shared" si="15"/>
        <v>18</v>
      </c>
    </row>
    <row r="218" spans="1:17" x14ac:dyDescent="0.3">
      <c r="A218" t="s">
        <v>224</v>
      </c>
      <c r="B218" t="str">
        <f t="shared" si="12"/>
        <v xml:space="preserve"> 23</v>
      </c>
      <c r="C218">
        <f t="shared" si="13"/>
        <v>5</v>
      </c>
      <c r="D218" t="str">
        <f t="shared" si="14"/>
        <v xml:space="preserve">2016-12-09 </v>
      </c>
      <c r="E218" t="str">
        <f>TEXT(Demand_Data___Hourly_OverviewSearch_1_csv[[#This Row],[Day]],"dddd")</f>
        <v>Thursday</v>
      </c>
      <c r="F218">
        <v>4</v>
      </c>
      <c r="G218">
        <v>74</v>
      </c>
      <c r="H218">
        <v>95</v>
      </c>
      <c r="I218">
        <f>VLOOKUP(Demand_Data___Hourly_OverviewSearch_1_csv[[#This Row],[Date]],Supply_Data___Hourly_DriverActivity_1_csv__3[#All],2,FALSE)</f>
        <v>98</v>
      </c>
      <c r="J218">
        <f>VLOOKUP(Demand_Data___Hourly_OverviewSearch_1_csv[[#This Row],[Date]],Supply_Data___Hourly_DriverActivity_1_csv__3[#All],3,FALSE)</f>
        <v>39</v>
      </c>
      <c r="K218">
        <f>VLOOKUP(Demand_Data___Hourly_OverviewSearch_1_csv[[#This Row],[Date]],Supply_Data___Hourly_DriverActivity_1_csv__3[#All],4,FALSE)</f>
        <v>9</v>
      </c>
      <c r="L218">
        <f>VLOOKUP(Demand_Data___Hourly_OverviewSearch_1_csv[[#This Row],[Date]],Supply_Data___Hourly_DriverActivity_1_csv__3[#All],5,FALSE)</f>
        <v>30</v>
      </c>
      <c r="M218">
        <f>VLOOKUP(Demand_Data___Hourly_OverviewSearch_1_csv[[#This Row],[Date]],Supply_Data___Hourly_DriverActivity_1_csv__3[#All],6,FALSE)</f>
        <v>0.4</v>
      </c>
      <c r="N218">
        <f>VLOOKUP(Demand_Data___Hourly_OverviewSearch_1_csv[[#This Row],[Date]],Supply_Data___Hourly_DriverActivity_1_csv__3[#All],7,FALSE)</f>
        <v>0.82</v>
      </c>
      <c r="O218">
        <f>VLOOKUP(Demand_Data___Hourly_OverviewSearch_1_csv[[#This Row],[Date]],Supply_Data___Hourly_DriverActivity_1_csv__3[#All],8,FALSE)</f>
        <v>32</v>
      </c>
      <c r="P218">
        <f>(Demand_Data___Hourly_OverviewSearch_1_csv[[#This Row],[People saw 0 cars (unique)]]+Demand_Data___Hourly_OverviewSearch_1_csv[[#This Row],[People saw +1 cars (unique)]])</f>
        <v>78</v>
      </c>
      <c r="Q218" s="143">
        <f t="shared" si="15"/>
        <v>30</v>
      </c>
    </row>
    <row r="219" spans="1:17" x14ac:dyDescent="0.3">
      <c r="A219" t="s">
        <v>225</v>
      </c>
      <c r="B219" t="str">
        <f t="shared" si="12"/>
        <v xml:space="preserve"> 22</v>
      </c>
      <c r="C219">
        <f t="shared" si="13"/>
        <v>5</v>
      </c>
      <c r="D219" t="str">
        <f t="shared" si="14"/>
        <v xml:space="preserve">2016-12-09 </v>
      </c>
      <c r="E219" t="str">
        <f>TEXT(Demand_Data___Hourly_OverviewSearch_1_csv[[#This Row],[Day]],"dddd")</f>
        <v>Thursday</v>
      </c>
      <c r="F219">
        <v>37</v>
      </c>
      <c r="G219">
        <v>80</v>
      </c>
      <c r="H219">
        <v>68</v>
      </c>
      <c r="I219">
        <f>VLOOKUP(Demand_Data___Hourly_OverviewSearch_1_csv[[#This Row],[Date]],Supply_Data___Hourly_DriverActivity_1_csv__3[#All],2,FALSE)</f>
        <v>104</v>
      </c>
      <c r="J219">
        <f>VLOOKUP(Demand_Data___Hourly_OverviewSearch_1_csv[[#This Row],[Date]],Supply_Data___Hourly_DriverActivity_1_csv__3[#All],3,FALSE)</f>
        <v>45</v>
      </c>
      <c r="K219">
        <f>VLOOKUP(Demand_Data___Hourly_OverviewSearch_1_csv[[#This Row],[Date]],Supply_Data___Hourly_DriverActivity_1_csv__3[#All],4,FALSE)</f>
        <v>21</v>
      </c>
      <c r="L219">
        <f>VLOOKUP(Demand_Data___Hourly_OverviewSearch_1_csv[[#This Row],[Date]],Supply_Data___Hourly_DriverActivity_1_csv__3[#All],5,FALSE)</f>
        <v>24</v>
      </c>
      <c r="M219">
        <f>VLOOKUP(Demand_Data___Hourly_OverviewSearch_1_csv[[#This Row],[Date]],Supply_Data___Hourly_DriverActivity_1_csv__3[#All],6,FALSE)</f>
        <v>0.4</v>
      </c>
      <c r="N219">
        <f>VLOOKUP(Demand_Data___Hourly_OverviewSearch_1_csv[[#This Row],[Date]],Supply_Data___Hourly_DriverActivity_1_csv__3[#All],7,FALSE)</f>
        <v>0.78</v>
      </c>
      <c r="O219">
        <f>VLOOKUP(Demand_Data___Hourly_OverviewSearch_1_csv[[#This Row],[Date]],Supply_Data___Hourly_DriverActivity_1_csv__3[#All],8,FALSE)</f>
        <v>35</v>
      </c>
      <c r="P219">
        <f>(Demand_Data___Hourly_OverviewSearch_1_csv[[#This Row],[People saw 0 cars (unique)]]+Demand_Data___Hourly_OverviewSearch_1_csv[[#This Row],[People saw +1 cars (unique)]])</f>
        <v>117</v>
      </c>
      <c r="Q219" s="143">
        <f t="shared" si="15"/>
        <v>24</v>
      </c>
    </row>
    <row r="220" spans="1:17" x14ac:dyDescent="0.3">
      <c r="A220" t="s">
        <v>226</v>
      </c>
      <c r="B220" t="str">
        <f t="shared" si="12"/>
        <v xml:space="preserve"> 21</v>
      </c>
      <c r="C220">
        <f t="shared" si="13"/>
        <v>5</v>
      </c>
      <c r="D220" t="str">
        <f t="shared" si="14"/>
        <v xml:space="preserve">2016-12-09 </v>
      </c>
      <c r="E220" t="str">
        <f>TEXT(Demand_Data___Hourly_OverviewSearch_1_csv[[#This Row],[Day]],"dddd")</f>
        <v>Thursday</v>
      </c>
      <c r="F220">
        <v>64</v>
      </c>
      <c r="G220">
        <v>102</v>
      </c>
      <c r="H220">
        <v>61</v>
      </c>
      <c r="I220">
        <f>VLOOKUP(Demand_Data___Hourly_OverviewSearch_1_csv[[#This Row],[Date]],Supply_Data___Hourly_DriverActivity_1_csv__3[#All],2,FALSE)</f>
        <v>96</v>
      </c>
      <c r="J220">
        <f>VLOOKUP(Demand_Data___Hourly_OverviewSearch_1_csv[[#This Row],[Date]],Supply_Data___Hourly_DriverActivity_1_csv__3[#All],3,FALSE)</f>
        <v>35</v>
      </c>
      <c r="K220">
        <f>VLOOKUP(Demand_Data___Hourly_OverviewSearch_1_csv[[#This Row],[Date]],Supply_Data___Hourly_DriverActivity_1_csv__3[#All],4,FALSE)</f>
        <v>22</v>
      </c>
      <c r="L220">
        <f>VLOOKUP(Demand_Data___Hourly_OverviewSearch_1_csv[[#This Row],[Date]],Supply_Data___Hourly_DriverActivity_1_csv__3[#All],5,FALSE)</f>
        <v>13</v>
      </c>
      <c r="M220">
        <f>VLOOKUP(Demand_Data___Hourly_OverviewSearch_1_csv[[#This Row],[Date]],Supply_Data___Hourly_DriverActivity_1_csv__3[#All],6,FALSE)</f>
        <v>0.4</v>
      </c>
      <c r="N220">
        <f>VLOOKUP(Demand_Data___Hourly_OverviewSearch_1_csv[[#This Row],[Date]],Supply_Data___Hourly_DriverActivity_1_csv__3[#All],7,FALSE)</f>
        <v>1.6</v>
      </c>
      <c r="O220">
        <f>VLOOKUP(Demand_Data___Hourly_OverviewSearch_1_csv[[#This Row],[Date]],Supply_Data___Hourly_DriverActivity_1_csv__3[#All],8,FALSE)</f>
        <v>56</v>
      </c>
      <c r="P220">
        <f>(Demand_Data___Hourly_OverviewSearch_1_csv[[#This Row],[People saw 0 cars (unique)]]+Demand_Data___Hourly_OverviewSearch_1_csv[[#This Row],[People saw +1 cars (unique)]])</f>
        <v>166</v>
      </c>
      <c r="Q220" s="143">
        <f t="shared" si="15"/>
        <v>13</v>
      </c>
    </row>
    <row r="221" spans="1:17" x14ac:dyDescent="0.3">
      <c r="A221" t="s">
        <v>227</v>
      </c>
      <c r="B221" t="str">
        <f t="shared" si="12"/>
        <v xml:space="preserve"> 20</v>
      </c>
      <c r="C221">
        <f t="shared" si="13"/>
        <v>5</v>
      </c>
      <c r="D221" t="str">
        <f t="shared" si="14"/>
        <v xml:space="preserve">2016-12-09 </v>
      </c>
      <c r="E221" t="str">
        <f>TEXT(Demand_Data___Hourly_OverviewSearch_1_csv[[#This Row],[Day]],"dddd")</f>
        <v>Thursday</v>
      </c>
      <c r="F221">
        <v>43</v>
      </c>
      <c r="G221">
        <v>97</v>
      </c>
      <c r="H221">
        <v>69</v>
      </c>
      <c r="I221">
        <f>VLOOKUP(Demand_Data___Hourly_OverviewSearch_1_csv[[#This Row],[Date]],Supply_Data___Hourly_DriverActivity_1_csv__3[#All],2,FALSE)</f>
        <v>109</v>
      </c>
      <c r="J221">
        <f>VLOOKUP(Demand_Data___Hourly_OverviewSearch_1_csv[[#This Row],[Date]],Supply_Data___Hourly_DriverActivity_1_csv__3[#All],3,FALSE)</f>
        <v>38</v>
      </c>
      <c r="K221">
        <f>VLOOKUP(Demand_Data___Hourly_OverviewSearch_1_csv[[#This Row],[Date]],Supply_Data___Hourly_DriverActivity_1_csv__3[#All],4,FALSE)</f>
        <v>24</v>
      </c>
      <c r="L221">
        <f>VLOOKUP(Demand_Data___Hourly_OverviewSearch_1_csv[[#This Row],[Date]],Supply_Data___Hourly_DriverActivity_1_csv__3[#All],5,FALSE)</f>
        <v>14</v>
      </c>
      <c r="M221">
        <f>VLOOKUP(Demand_Data___Hourly_OverviewSearch_1_csv[[#This Row],[Date]],Supply_Data___Hourly_DriverActivity_1_csv__3[#All],6,FALSE)</f>
        <v>0.3</v>
      </c>
      <c r="N221">
        <f>VLOOKUP(Demand_Data___Hourly_OverviewSearch_1_csv[[#This Row],[Date]],Supply_Data___Hourly_DriverActivity_1_csv__3[#All],7,FALSE)</f>
        <v>1.5</v>
      </c>
      <c r="O221">
        <f>VLOOKUP(Demand_Data___Hourly_OverviewSearch_1_csv[[#This Row],[Date]],Supply_Data___Hourly_DriverActivity_1_csv__3[#All],8,FALSE)</f>
        <v>57</v>
      </c>
      <c r="P221">
        <f>(Demand_Data___Hourly_OverviewSearch_1_csv[[#This Row],[People saw 0 cars (unique)]]+Demand_Data___Hourly_OverviewSearch_1_csv[[#This Row],[People saw +1 cars (unique)]])</f>
        <v>140</v>
      </c>
      <c r="Q221" s="143">
        <f t="shared" si="15"/>
        <v>14</v>
      </c>
    </row>
    <row r="222" spans="1:17" x14ac:dyDescent="0.3">
      <c r="A222" t="s">
        <v>228</v>
      </c>
      <c r="B222" t="str">
        <f t="shared" si="12"/>
        <v xml:space="preserve"> 19</v>
      </c>
      <c r="C222">
        <f t="shared" si="13"/>
        <v>5</v>
      </c>
      <c r="D222" t="str">
        <f t="shared" si="14"/>
        <v xml:space="preserve">2016-12-09 </v>
      </c>
      <c r="E222" t="str">
        <f>TEXT(Demand_Data___Hourly_OverviewSearch_1_csv[[#This Row],[Day]],"dddd")</f>
        <v>Thursday</v>
      </c>
      <c r="F222">
        <v>27</v>
      </c>
      <c r="G222">
        <v>106</v>
      </c>
      <c r="H222">
        <v>80</v>
      </c>
      <c r="I222">
        <f>VLOOKUP(Demand_Data___Hourly_OverviewSearch_1_csv[[#This Row],[Date]],Supply_Data___Hourly_DriverActivity_1_csv__3[#All],2,FALSE)</f>
        <v>96</v>
      </c>
      <c r="J222">
        <f>VLOOKUP(Demand_Data___Hourly_OverviewSearch_1_csv[[#This Row],[Date]],Supply_Data___Hourly_DriverActivity_1_csv__3[#All],3,FALSE)</f>
        <v>37</v>
      </c>
      <c r="K222">
        <f>VLOOKUP(Demand_Data___Hourly_OverviewSearch_1_csv[[#This Row],[Date]],Supply_Data___Hourly_DriverActivity_1_csv__3[#All],4,FALSE)</f>
        <v>20</v>
      </c>
      <c r="L222">
        <f>VLOOKUP(Demand_Data___Hourly_OverviewSearch_1_csv[[#This Row],[Date]],Supply_Data___Hourly_DriverActivity_1_csv__3[#All],5,FALSE)</f>
        <v>18</v>
      </c>
      <c r="M222">
        <f>VLOOKUP(Demand_Data___Hourly_OverviewSearch_1_csv[[#This Row],[Date]],Supply_Data___Hourly_DriverActivity_1_csv__3[#All],6,FALSE)</f>
        <v>0.4</v>
      </c>
      <c r="N222">
        <f>VLOOKUP(Demand_Data___Hourly_OverviewSearch_1_csv[[#This Row],[Date]],Supply_Data___Hourly_DriverActivity_1_csv__3[#All],7,FALSE)</f>
        <v>1.05</v>
      </c>
      <c r="O222">
        <f>VLOOKUP(Demand_Data___Hourly_OverviewSearch_1_csv[[#This Row],[Date]],Supply_Data___Hourly_DriverActivity_1_csv__3[#All],8,FALSE)</f>
        <v>39</v>
      </c>
      <c r="P222">
        <f>(Demand_Data___Hourly_OverviewSearch_1_csv[[#This Row],[People saw 0 cars (unique)]]+Demand_Data___Hourly_OverviewSearch_1_csv[[#This Row],[People saw +1 cars (unique)]])</f>
        <v>133</v>
      </c>
      <c r="Q222" s="143">
        <f t="shared" si="15"/>
        <v>17</v>
      </c>
    </row>
    <row r="223" spans="1:17" x14ac:dyDescent="0.3">
      <c r="A223" t="s">
        <v>229</v>
      </c>
      <c r="B223" t="str">
        <f t="shared" si="12"/>
        <v xml:space="preserve"> 18</v>
      </c>
      <c r="C223">
        <f t="shared" si="13"/>
        <v>5</v>
      </c>
      <c r="D223" t="str">
        <f t="shared" si="14"/>
        <v xml:space="preserve">2016-12-09 </v>
      </c>
      <c r="E223" t="str">
        <f>TEXT(Demand_Data___Hourly_OverviewSearch_1_csv[[#This Row],[Day]],"dddd")</f>
        <v>Thursday</v>
      </c>
      <c r="F223">
        <v>51</v>
      </c>
      <c r="G223">
        <v>75</v>
      </c>
      <c r="H223">
        <v>60</v>
      </c>
      <c r="I223">
        <f>VLOOKUP(Demand_Data___Hourly_OverviewSearch_1_csv[[#This Row],[Date]],Supply_Data___Hourly_DriverActivity_1_csv__3[#All],2,FALSE)</f>
        <v>81</v>
      </c>
      <c r="J223">
        <f>VLOOKUP(Demand_Data___Hourly_OverviewSearch_1_csv[[#This Row],[Date]],Supply_Data___Hourly_DriverActivity_1_csv__3[#All],3,FALSE)</f>
        <v>33</v>
      </c>
      <c r="K223">
        <f>VLOOKUP(Demand_Data___Hourly_OverviewSearch_1_csv[[#This Row],[Date]],Supply_Data___Hourly_DriverActivity_1_csv__3[#All],4,FALSE)</f>
        <v>22</v>
      </c>
      <c r="L223">
        <f>VLOOKUP(Demand_Data___Hourly_OverviewSearch_1_csv[[#This Row],[Date]],Supply_Data___Hourly_DriverActivity_1_csv__3[#All],5,FALSE)</f>
        <v>11</v>
      </c>
      <c r="M223">
        <f>VLOOKUP(Demand_Data___Hourly_OverviewSearch_1_csv[[#This Row],[Date]],Supply_Data___Hourly_DriverActivity_1_csv__3[#All],6,FALSE)</f>
        <v>0.4</v>
      </c>
      <c r="N223">
        <f>VLOOKUP(Demand_Data___Hourly_OverviewSearch_1_csv[[#This Row],[Date]],Supply_Data___Hourly_DriverActivity_1_csv__3[#All],7,FALSE)</f>
        <v>1.1499999999999999</v>
      </c>
      <c r="O223">
        <f>VLOOKUP(Demand_Data___Hourly_OverviewSearch_1_csv[[#This Row],[Date]],Supply_Data___Hourly_DriverActivity_1_csv__3[#All],8,FALSE)</f>
        <v>38</v>
      </c>
      <c r="P223">
        <f>(Demand_Data___Hourly_OverviewSearch_1_csv[[#This Row],[People saw 0 cars (unique)]]+Demand_Data___Hourly_OverviewSearch_1_csv[[#This Row],[People saw +1 cars (unique)]])</f>
        <v>126</v>
      </c>
      <c r="Q223" s="143">
        <f t="shared" si="15"/>
        <v>11</v>
      </c>
    </row>
    <row r="224" spans="1:17" x14ac:dyDescent="0.3">
      <c r="A224" t="s">
        <v>230</v>
      </c>
      <c r="B224" t="str">
        <f t="shared" si="12"/>
        <v xml:space="preserve"> 17</v>
      </c>
      <c r="C224">
        <f t="shared" si="13"/>
        <v>5</v>
      </c>
      <c r="D224" t="str">
        <f t="shared" si="14"/>
        <v xml:space="preserve">2016-12-09 </v>
      </c>
      <c r="E224" t="str">
        <f>TEXT(Demand_Data___Hourly_OverviewSearch_1_csv[[#This Row],[Day]],"dddd")</f>
        <v>Thursday</v>
      </c>
      <c r="F224">
        <v>22</v>
      </c>
      <c r="G224">
        <v>56</v>
      </c>
      <c r="H224">
        <v>72</v>
      </c>
      <c r="I224">
        <f>VLOOKUP(Demand_Data___Hourly_OverviewSearch_1_csv[[#This Row],[Date]],Supply_Data___Hourly_DriverActivity_1_csv__3[#All],2,FALSE)</f>
        <v>75</v>
      </c>
      <c r="J224">
        <f>VLOOKUP(Demand_Data___Hourly_OverviewSearch_1_csv[[#This Row],[Date]],Supply_Data___Hourly_DriverActivity_1_csv__3[#All],3,FALSE)</f>
        <v>27</v>
      </c>
      <c r="K224">
        <f>VLOOKUP(Demand_Data___Hourly_OverviewSearch_1_csv[[#This Row],[Date]],Supply_Data___Hourly_DriverActivity_1_csv__3[#All],4,FALSE)</f>
        <v>10</v>
      </c>
      <c r="L224">
        <f>VLOOKUP(Demand_Data___Hourly_OverviewSearch_1_csv[[#This Row],[Date]],Supply_Data___Hourly_DriverActivity_1_csv__3[#All],5,FALSE)</f>
        <v>17</v>
      </c>
      <c r="M224">
        <f>VLOOKUP(Demand_Data___Hourly_OverviewSearch_1_csv[[#This Row],[Date]],Supply_Data___Hourly_DriverActivity_1_csv__3[#All],6,FALSE)</f>
        <v>0.4</v>
      </c>
      <c r="N224">
        <f>VLOOKUP(Demand_Data___Hourly_OverviewSearch_1_csv[[#This Row],[Date]],Supply_Data___Hourly_DriverActivity_1_csv__3[#All],7,FALSE)</f>
        <v>0.7</v>
      </c>
      <c r="O224">
        <f>VLOOKUP(Demand_Data___Hourly_OverviewSearch_1_csv[[#This Row],[Date]],Supply_Data___Hourly_DriverActivity_1_csv__3[#All],8,FALSE)</f>
        <v>19</v>
      </c>
      <c r="P224">
        <f>(Demand_Data___Hourly_OverviewSearch_1_csv[[#This Row],[People saw 0 cars (unique)]]+Demand_Data___Hourly_OverviewSearch_1_csv[[#This Row],[People saw +1 cars (unique)]])</f>
        <v>78</v>
      </c>
      <c r="Q224" s="143">
        <f t="shared" si="15"/>
        <v>17</v>
      </c>
    </row>
    <row r="225" spans="1:17" x14ac:dyDescent="0.3">
      <c r="A225" t="s">
        <v>231</v>
      </c>
      <c r="B225" t="str">
        <f t="shared" si="12"/>
        <v xml:space="preserve"> 16</v>
      </c>
      <c r="C225">
        <f t="shared" si="13"/>
        <v>5</v>
      </c>
      <c r="D225" t="str">
        <f t="shared" si="14"/>
        <v xml:space="preserve">2016-12-09 </v>
      </c>
      <c r="E225" t="str">
        <f>TEXT(Demand_Data___Hourly_OverviewSearch_1_csv[[#This Row],[Day]],"dddd")</f>
        <v>Thursday</v>
      </c>
      <c r="F225">
        <v>28</v>
      </c>
      <c r="G225">
        <v>35</v>
      </c>
      <c r="H225">
        <v>56</v>
      </c>
      <c r="I225">
        <f>VLOOKUP(Demand_Data___Hourly_OverviewSearch_1_csv[[#This Row],[Date]],Supply_Data___Hourly_DriverActivity_1_csv__3[#All],2,FALSE)</f>
        <v>61</v>
      </c>
      <c r="J225">
        <f>VLOOKUP(Demand_Data___Hourly_OverviewSearch_1_csv[[#This Row],[Date]],Supply_Data___Hourly_DriverActivity_1_csv__3[#All],3,FALSE)</f>
        <v>19</v>
      </c>
      <c r="K225">
        <f>VLOOKUP(Demand_Data___Hourly_OverviewSearch_1_csv[[#This Row],[Date]],Supply_Data___Hourly_DriverActivity_1_csv__3[#All],4,FALSE)</f>
        <v>9</v>
      </c>
      <c r="L225">
        <f>VLOOKUP(Demand_Data___Hourly_OverviewSearch_1_csv[[#This Row],[Date]],Supply_Data___Hourly_DriverActivity_1_csv__3[#All],5,FALSE)</f>
        <v>10</v>
      </c>
      <c r="M225">
        <f>VLOOKUP(Demand_Data___Hourly_OverviewSearch_1_csv[[#This Row],[Date]],Supply_Data___Hourly_DriverActivity_1_csv__3[#All],6,FALSE)</f>
        <v>0.3</v>
      </c>
      <c r="N225">
        <f>VLOOKUP(Demand_Data___Hourly_OverviewSearch_1_csv[[#This Row],[Date]],Supply_Data___Hourly_DriverActivity_1_csv__3[#All],7,FALSE)</f>
        <v>0.53</v>
      </c>
      <c r="O225">
        <f>VLOOKUP(Demand_Data___Hourly_OverviewSearch_1_csv[[#This Row],[Date]],Supply_Data___Hourly_DriverActivity_1_csv__3[#All],8,FALSE)</f>
        <v>10</v>
      </c>
      <c r="P225">
        <f>(Demand_Data___Hourly_OverviewSearch_1_csv[[#This Row],[People saw 0 cars (unique)]]+Demand_Data___Hourly_OverviewSearch_1_csv[[#This Row],[People saw +1 cars (unique)]])</f>
        <v>63</v>
      </c>
      <c r="Q225" s="143">
        <f t="shared" si="15"/>
        <v>10</v>
      </c>
    </row>
    <row r="226" spans="1:17" x14ac:dyDescent="0.3">
      <c r="A226" t="s">
        <v>232</v>
      </c>
      <c r="B226" t="str">
        <f t="shared" si="12"/>
        <v xml:space="preserve"> 15</v>
      </c>
      <c r="C226">
        <f t="shared" si="13"/>
        <v>5</v>
      </c>
      <c r="D226" t="str">
        <f t="shared" si="14"/>
        <v xml:space="preserve">2016-12-09 </v>
      </c>
      <c r="E226" t="str">
        <f>TEXT(Demand_Data___Hourly_OverviewSearch_1_csv[[#This Row],[Day]],"dddd")</f>
        <v>Thursday</v>
      </c>
      <c r="F226">
        <v>19</v>
      </c>
      <c r="G226">
        <v>53</v>
      </c>
      <c r="H226">
        <v>74</v>
      </c>
      <c r="I226">
        <f>VLOOKUP(Demand_Data___Hourly_OverviewSearch_1_csv[[#This Row],[Date]],Supply_Data___Hourly_DriverActivity_1_csv__3[#All],2,FALSE)</f>
        <v>58</v>
      </c>
      <c r="J226">
        <f>VLOOKUP(Demand_Data___Hourly_OverviewSearch_1_csv[[#This Row],[Date]],Supply_Data___Hourly_DriverActivity_1_csv__3[#All],3,FALSE)</f>
        <v>17</v>
      </c>
      <c r="K226">
        <f>VLOOKUP(Demand_Data___Hourly_OverviewSearch_1_csv[[#This Row],[Date]],Supply_Data___Hourly_DriverActivity_1_csv__3[#All],4,FALSE)</f>
        <v>7</v>
      </c>
      <c r="L226">
        <f>VLOOKUP(Demand_Data___Hourly_OverviewSearch_1_csv[[#This Row],[Date]],Supply_Data___Hourly_DriverActivity_1_csv__3[#All],5,FALSE)</f>
        <v>10</v>
      </c>
      <c r="M226">
        <f>VLOOKUP(Demand_Data___Hourly_OverviewSearch_1_csv[[#This Row],[Date]],Supply_Data___Hourly_DriverActivity_1_csv__3[#All],6,FALSE)</f>
        <v>0.3</v>
      </c>
      <c r="N226">
        <f>VLOOKUP(Demand_Data___Hourly_OverviewSearch_1_csv[[#This Row],[Date]],Supply_Data___Hourly_DriverActivity_1_csv__3[#All],7,FALSE)</f>
        <v>1.06</v>
      </c>
      <c r="O226">
        <f>VLOOKUP(Demand_Data___Hourly_OverviewSearch_1_csv[[#This Row],[Date]],Supply_Data___Hourly_DriverActivity_1_csv__3[#All],8,FALSE)</f>
        <v>18</v>
      </c>
      <c r="P226">
        <f>(Demand_Data___Hourly_OverviewSearch_1_csv[[#This Row],[People saw 0 cars (unique)]]+Demand_Data___Hourly_OverviewSearch_1_csv[[#This Row],[People saw +1 cars (unique)]])</f>
        <v>72</v>
      </c>
      <c r="Q226" s="143">
        <f t="shared" si="15"/>
        <v>10</v>
      </c>
    </row>
    <row r="227" spans="1:17" x14ac:dyDescent="0.3">
      <c r="A227" t="s">
        <v>233</v>
      </c>
      <c r="B227" t="str">
        <f t="shared" si="12"/>
        <v xml:space="preserve"> 14</v>
      </c>
      <c r="C227">
        <f t="shared" si="13"/>
        <v>5</v>
      </c>
      <c r="D227" t="str">
        <f t="shared" si="14"/>
        <v xml:space="preserve">2016-12-09 </v>
      </c>
      <c r="E227" t="str">
        <f>TEXT(Demand_Data___Hourly_OverviewSearch_1_csv[[#This Row],[Day]],"dddd")</f>
        <v>Thursday</v>
      </c>
      <c r="F227">
        <v>22</v>
      </c>
      <c r="G227">
        <v>42</v>
      </c>
      <c r="H227">
        <v>66</v>
      </c>
      <c r="I227">
        <f>VLOOKUP(Demand_Data___Hourly_OverviewSearch_1_csv[[#This Row],[Date]],Supply_Data___Hourly_DriverActivity_1_csv__3[#All],2,FALSE)</f>
        <v>51</v>
      </c>
      <c r="J227">
        <f>VLOOKUP(Demand_Data___Hourly_OverviewSearch_1_csv[[#This Row],[Date]],Supply_Data___Hourly_DriverActivity_1_csv__3[#All],3,FALSE)</f>
        <v>19</v>
      </c>
      <c r="K227">
        <f>VLOOKUP(Demand_Data___Hourly_OverviewSearch_1_csv[[#This Row],[Date]],Supply_Data___Hourly_DriverActivity_1_csv__3[#All],4,FALSE)</f>
        <v>8</v>
      </c>
      <c r="L227">
        <f>VLOOKUP(Demand_Data___Hourly_OverviewSearch_1_csv[[#This Row],[Date]],Supply_Data___Hourly_DriverActivity_1_csv__3[#All],5,FALSE)</f>
        <v>11</v>
      </c>
      <c r="M227">
        <f>VLOOKUP(Demand_Data___Hourly_OverviewSearch_1_csv[[#This Row],[Date]],Supply_Data___Hourly_DriverActivity_1_csv__3[#All],6,FALSE)</f>
        <v>0.4</v>
      </c>
      <c r="N227">
        <f>VLOOKUP(Demand_Data___Hourly_OverviewSearch_1_csv[[#This Row],[Date]],Supply_Data___Hourly_DriverActivity_1_csv__3[#All],7,FALSE)</f>
        <v>0.79</v>
      </c>
      <c r="O227">
        <f>VLOOKUP(Demand_Data___Hourly_OverviewSearch_1_csv[[#This Row],[Date]],Supply_Data___Hourly_DriverActivity_1_csv__3[#All],8,FALSE)</f>
        <v>15</v>
      </c>
      <c r="P227">
        <f>(Demand_Data___Hourly_OverviewSearch_1_csv[[#This Row],[People saw 0 cars (unique)]]+Demand_Data___Hourly_OverviewSearch_1_csv[[#This Row],[People saw +1 cars (unique)]])</f>
        <v>64</v>
      </c>
      <c r="Q227" s="143">
        <f t="shared" si="15"/>
        <v>11</v>
      </c>
    </row>
    <row r="228" spans="1:17" x14ac:dyDescent="0.3">
      <c r="A228" t="s">
        <v>234</v>
      </c>
      <c r="B228" t="str">
        <f t="shared" si="12"/>
        <v xml:space="preserve"> 13</v>
      </c>
      <c r="C228">
        <f t="shared" si="13"/>
        <v>5</v>
      </c>
      <c r="D228" t="str">
        <f t="shared" si="14"/>
        <v xml:space="preserve">2016-12-09 </v>
      </c>
      <c r="E228" t="str">
        <f>TEXT(Demand_Data___Hourly_OverviewSearch_1_csv[[#This Row],[Day]],"dddd")</f>
        <v>Thursday</v>
      </c>
      <c r="F228">
        <v>18</v>
      </c>
      <c r="G228">
        <v>33</v>
      </c>
      <c r="H228">
        <v>65</v>
      </c>
      <c r="I228">
        <f>VLOOKUP(Demand_Data___Hourly_OverviewSearch_1_csv[[#This Row],[Date]],Supply_Data___Hourly_DriverActivity_1_csv__3[#All],2,FALSE)</f>
        <v>54</v>
      </c>
      <c r="J228">
        <f>VLOOKUP(Demand_Data___Hourly_OverviewSearch_1_csv[[#This Row],[Date]],Supply_Data___Hourly_DriverActivity_1_csv__3[#All],3,FALSE)</f>
        <v>15</v>
      </c>
      <c r="K228">
        <f>VLOOKUP(Demand_Data___Hourly_OverviewSearch_1_csv[[#This Row],[Date]],Supply_Data___Hourly_DriverActivity_1_csv__3[#All],4,FALSE)</f>
        <v>5</v>
      </c>
      <c r="L228">
        <f>VLOOKUP(Demand_Data___Hourly_OverviewSearch_1_csv[[#This Row],[Date]],Supply_Data___Hourly_DriverActivity_1_csv__3[#All],5,FALSE)</f>
        <v>10</v>
      </c>
      <c r="M228">
        <f>VLOOKUP(Demand_Data___Hourly_OverviewSearch_1_csv[[#This Row],[Date]],Supply_Data___Hourly_DriverActivity_1_csv__3[#All],6,FALSE)</f>
        <v>0.3</v>
      </c>
      <c r="N228">
        <f>VLOOKUP(Demand_Data___Hourly_OverviewSearch_1_csv[[#This Row],[Date]],Supply_Data___Hourly_DriverActivity_1_csv__3[#All],7,FALSE)</f>
        <v>0.73</v>
      </c>
      <c r="O228">
        <f>VLOOKUP(Demand_Data___Hourly_OverviewSearch_1_csv[[#This Row],[Date]],Supply_Data___Hourly_DriverActivity_1_csv__3[#All],8,FALSE)</f>
        <v>11</v>
      </c>
      <c r="P228">
        <f>(Demand_Data___Hourly_OverviewSearch_1_csv[[#This Row],[People saw 0 cars (unique)]]+Demand_Data___Hourly_OverviewSearch_1_csv[[#This Row],[People saw +1 cars (unique)]])</f>
        <v>51</v>
      </c>
      <c r="Q228" s="143">
        <f t="shared" si="15"/>
        <v>10</v>
      </c>
    </row>
    <row r="229" spans="1:17" x14ac:dyDescent="0.3">
      <c r="A229" t="s">
        <v>235</v>
      </c>
      <c r="B229" t="str">
        <f t="shared" si="12"/>
        <v xml:space="preserve"> 12</v>
      </c>
      <c r="C229">
        <f t="shared" si="13"/>
        <v>5</v>
      </c>
      <c r="D229" t="str">
        <f t="shared" si="14"/>
        <v xml:space="preserve">2016-12-09 </v>
      </c>
      <c r="E229" t="str">
        <f>TEXT(Demand_Data___Hourly_OverviewSearch_1_csv[[#This Row],[Day]],"dddd")</f>
        <v>Thursday</v>
      </c>
      <c r="F229">
        <v>5</v>
      </c>
      <c r="G229">
        <v>30</v>
      </c>
      <c r="H229">
        <v>86</v>
      </c>
      <c r="I229">
        <f>VLOOKUP(Demand_Data___Hourly_OverviewSearch_1_csv[[#This Row],[Date]],Supply_Data___Hourly_DriverActivity_1_csv__3[#All],2,FALSE)</f>
        <v>65</v>
      </c>
      <c r="J229">
        <f>VLOOKUP(Demand_Data___Hourly_OverviewSearch_1_csv[[#This Row],[Date]],Supply_Data___Hourly_DriverActivity_1_csv__3[#All],3,FALSE)</f>
        <v>21</v>
      </c>
      <c r="K229">
        <f>VLOOKUP(Demand_Data___Hourly_OverviewSearch_1_csv[[#This Row],[Date]],Supply_Data___Hourly_DriverActivity_1_csv__3[#All],4,FALSE)</f>
        <v>7</v>
      </c>
      <c r="L229">
        <f>VLOOKUP(Demand_Data___Hourly_OverviewSearch_1_csv[[#This Row],[Date]],Supply_Data___Hourly_DriverActivity_1_csv__3[#All],5,FALSE)</f>
        <v>14</v>
      </c>
      <c r="M229">
        <f>VLOOKUP(Demand_Data___Hourly_OverviewSearch_1_csv[[#This Row],[Date]],Supply_Data___Hourly_DriverActivity_1_csv__3[#All],6,FALSE)</f>
        <v>0.3</v>
      </c>
      <c r="N229">
        <f>VLOOKUP(Demand_Data___Hourly_OverviewSearch_1_csv[[#This Row],[Date]],Supply_Data___Hourly_DriverActivity_1_csv__3[#All],7,FALSE)</f>
        <v>0.52</v>
      </c>
      <c r="O229">
        <f>VLOOKUP(Demand_Data___Hourly_OverviewSearch_1_csv[[#This Row],[Date]],Supply_Data___Hourly_DriverActivity_1_csv__3[#All],8,FALSE)</f>
        <v>11</v>
      </c>
      <c r="P229">
        <f>(Demand_Data___Hourly_OverviewSearch_1_csv[[#This Row],[People saw 0 cars (unique)]]+Demand_Data___Hourly_OverviewSearch_1_csv[[#This Row],[People saw +1 cars (unique)]])</f>
        <v>35</v>
      </c>
      <c r="Q229" s="143">
        <f t="shared" si="15"/>
        <v>14</v>
      </c>
    </row>
    <row r="230" spans="1:17" x14ac:dyDescent="0.3">
      <c r="A230" t="s">
        <v>236</v>
      </c>
      <c r="B230" t="str">
        <f t="shared" si="12"/>
        <v xml:space="preserve"> 11</v>
      </c>
      <c r="C230">
        <f t="shared" si="13"/>
        <v>5</v>
      </c>
      <c r="D230" t="str">
        <f t="shared" si="14"/>
        <v xml:space="preserve">2016-12-09 </v>
      </c>
      <c r="E230" t="str">
        <f>TEXT(Demand_Data___Hourly_OverviewSearch_1_csv[[#This Row],[Day]],"dddd")</f>
        <v>Thursday</v>
      </c>
      <c r="F230">
        <v>11</v>
      </c>
      <c r="G230">
        <v>38</v>
      </c>
      <c r="H230">
        <v>78</v>
      </c>
      <c r="I230">
        <f>VLOOKUP(Demand_Data___Hourly_OverviewSearch_1_csv[[#This Row],[Date]],Supply_Data___Hourly_DriverActivity_1_csv__3[#All],2,FALSE)</f>
        <v>70</v>
      </c>
      <c r="J230">
        <f>VLOOKUP(Demand_Data___Hourly_OverviewSearch_1_csv[[#This Row],[Date]],Supply_Data___Hourly_DriverActivity_1_csv__3[#All],3,FALSE)</f>
        <v>26</v>
      </c>
      <c r="K230">
        <f>VLOOKUP(Demand_Data___Hourly_OverviewSearch_1_csv[[#This Row],[Date]],Supply_Data___Hourly_DriverActivity_1_csv__3[#All],4,FALSE)</f>
        <v>5</v>
      </c>
      <c r="L230">
        <f>VLOOKUP(Demand_Data___Hourly_OverviewSearch_1_csv[[#This Row],[Date]],Supply_Data___Hourly_DriverActivity_1_csv__3[#All],5,FALSE)</f>
        <v>21</v>
      </c>
      <c r="M230">
        <f>VLOOKUP(Demand_Data___Hourly_OverviewSearch_1_csv[[#This Row],[Date]],Supply_Data___Hourly_DriverActivity_1_csv__3[#All],6,FALSE)</f>
        <v>0.4</v>
      </c>
      <c r="N230">
        <f>VLOOKUP(Demand_Data___Hourly_OverviewSearch_1_csv[[#This Row],[Date]],Supply_Data___Hourly_DriverActivity_1_csv__3[#All],7,FALSE)</f>
        <v>0.46</v>
      </c>
      <c r="O230">
        <f>VLOOKUP(Demand_Data___Hourly_OverviewSearch_1_csv[[#This Row],[Date]],Supply_Data___Hourly_DriverActivity_1_csv__3[#All],8,FALSE)</f>
        <v>12</v>
      </c>
      <c r="P230">
        <f>(Demand_Data___Hourly_OverviewSearch_1_csv[[#This Row],[People saw 0 cars (unique)]]+Demand_Data___Hourly_OverviewSearch_1_csv[[#This Row],[People saw +1 cars (unique)]])</f>
        <v>49</v>
      </c>
      <c r="Q230" s="143">
        <f t="shared" si="15"/>
        <v>21</v>
      </c>
    </row>
    <row r="231" spans="1:17" x14ac:dyDescent="0.3">
      <c r="A231" t="s">
        <v>237</v>
      </c>
      <c r="B231" t="str">
        <f t="shared" si="12"/>
        <v xml:space="preserve"> 10</v>
      </c>
      <c r="C231">
        <f t="shared" si="13"/>
        <v>5</v>
      </c>
      <c r="D231" t="str">
        <f t="shared" si="14"/>
        <v xml:space="preserve">2016-12-09 </v>
      </c>
      <c r="E231" t="str">
        <f>TEXT(Demand_Data___Hourly_OverviewSearch_1_csv[[#This Row],[Day]],"dddd")</f>
        <v>Thursday</v>
      </c>
      <c r="F231">
        <v>31</v>
      </c>
      <c r="G231">
        <v>50</v>
      </c>
      <c r="H231">
        <v>62</v>
      </c>
      <c r="I231">
        <f>VLOOKUP(Demand_Data___Hourly_OverviewSearch_1_csv[[#This Row],[Date]],Supply_Data___Hourly_DriverActivity_1_csv__3[#All],2,FALSE)</f>
        <v>72</v>
      </c>
      <c r="J231">
        <f>VLOOKUP(Demand_Data___Hourly_OverviewSearch_1_csv[[#This Row],[Date]],Supply_Data___Hourly_DriverActivity_1_csv__3[#All],3,FALSE)</f>
        <v>29</v>
      </c>
      <c r="K231">
        <f>VLOOKUP(Demand_Data___Hourly_OverviewSearch_1_csv[[#This Row],[Date]],Supply_Data___Hourly_DriverActivity_1_csv__3[#All],4,FALSE)</f>
        <v>15</v>
      </c>
      <c r="L231">
        <f>VLOOKUP(Demand_Data___Hourly_OverviewSearch_1_csv[[#This Row],[Date]],Supply_Data___Hourly_DriverActivity_1_csv__3[#All],5,FALSE)</f>
        <v>15</v>
      </c>
      <c r="M231">
        <f>VLOOKUP(Demand_Data___Hourly_OverviewSearch_1_csv[[#This Row],[Date]],Supply_Data___Hourly_DriverActivity_1_csv__3[#All],6,FALSE)</f>
        <v>0.4</v>
      </c>
      <c r="N231">
        <f>VLOOKUP(Demand_Data___Hourly_OverviewSearch_1_csv[[#This Row],[Date]],Supply_Data___Hourly_DriverActivity_1_csv__3[#All],7,FALSE)</f>
        <v>0.72</v>
      </c>
      <c r="O231">
        <f>VLOOKUP(Demand_Data___Hourly_OverviewSearch_1_csv[[#This Row],[Date]],Supply_Data___Hourly_DriverActivity_1_csv__3[#All],8,FALSE)</f>
        <v>21</v>
      </c>
      <c r="P231">
        <f>(Demand_Data___Hourly_OverviewSearch_1_csv[[#This Row],[People saw 0 cars (unique)]]+Demand_Data___Hourly_OverviewSearch_1_csv[[#This Row],[People saw +1 cars (unique)]])</f>
        <v>81</v>
      </c>
      <c r="Q231" s="143">
        <f t="shared" si="15"/>
        <v>14</v>
      </c>
    </row>
    <row r="232" spans="1:17" x14ac:dyDescent="0.3">
      <c r="A232" t="s">
        <v>238</v>
      </c>
      <c r="B232" t="str">
        <f t="shared" si="12"/>
        <v xml:space="preserve"> 09</v>
      </c>
      <c r="C232">
        <f t="shared" si="13"/>
        <v>5</v>
      </c>
      <c r="D232" t="str">
        <f t="shared" si="14"/>
        <v xml:space="preserve">2016-12-09 </v>
      </c>
      <c r="E232" t="str">
        <f>TEXT(Demand_Data___Hourly_OverviewSearch_1_csv[[#This Row],[Day]],"dddd")</f>
        <v>Thursday</v>
      </c>
      <c r="F232">
        <v>62</v>
      </c>
      <c r="G232">
        <v>73</v>
      </c>
      <c r="H232">
        <v>54</v>
      </c>
      <c r="I232">
        <f>VLOOKUP(Demand_Data___Hourly_OverviewSearch_1_csv[[#This Row],[Date]],Supply_Data___Hourly_DriverActivity_1_csv__3[#All],2,FALSE)</f>
        <v>59</v>
      </c>
      <c r="J232">
        <f>VLOOKUP(Demand_Data___Hourly_OverviewSearch_1_csv[[#This Row],[Date]],Supply_Data___Hourly_DriverActivity_1_csv__3[#All],3,FALSE)</f>
        <v>22</v>
      </c>
      <c r="K232">
        <f>VLOOKUP(Demand_Data___Hourly_OverviewSearch_1_csv[[#This Row],[Date]],Supply_Data___Hourly_DriverActivity_1_csv__3[#All],4,FALSE)</f>
        <v>17</v>
      </c>
      <c r="L232">
        <f>VLOOKUP(Demand_Data___Hourly_OverviewSearch_1_csv[[#This Row],[Date]],Supply_Data___Hourly_DriverActivity_1_csv__3[#All],5,FALSE)</f>
        <v>5</v>
      </c>
      <c r="M232">
        <f>VLOOKUP(Demand_Data___Hourly_OverviewSearch_1_csv[[#This Row],[Date]],Supply_Data___Hourly_DriverActivity_1_csv__3[#All],6,FALSE)</f>
        <v>0.4</v>
      </c>
      <c r="N232">
        <f>VLOOKUP(Demand_Data___Hourly_OverviewSearch_1_csv[[#This Row],[Date]],Supply_Data___Hourly_DriverActivity_1_csv__3[#All],7,FALSE)</f>
        <v>1.68</v>
      </c>
      <c r="O232">
        <f>VLOOKUP(Demand_Data___Hourly_OverviewSearch_1_csv[[#This Row],[Date]],Supply_Data___Hourly_DriverActivity_1_csv__3[#All],8,FALSE)</f>
        <v>37</v>
      </c>
      <c r="P232">
        <f>(Demand_Data___Hourly_OverviewSearch_1_csv[[#This Row],[People saw 0 cars (unique)]]+Demand_Data___Hourly_OverviewSearch_1_csv[[#This Row],[People saw +1 cars (unique)]])</f>
        <v>135</v>
      </c>
      <c r="Q232" s="143">
        <f t="shared" si="15"/>
        <v>5</v>
      </c>
    </row>
    <row r="233" spans="1:17" x14ac:dyDescent="0.3">
      <c r="A233" t="s">
        <v>239</v>
      </c>
      <c r="B233" t="str">
        <f t="shared" si="12"/>
        <v xml:space="preserve"> 08</v>
      </c>
      <c r="C233">
        <f t="shared" si="13"/>
        <v>5</v>
      </c>
      <c r="D233" t="str">
        <f t="shared" si="14"/>
        <v xml:space="preserve">2016-12-09 </v>
      </c>
      <c r="E233" t="str">
        <f>TEXT(Demand_Data___Hourly_OverviewSearch_1_csv[[#This Row],[Day]],"dddd")</f>
        <v>Thursday</v>
      </c>
      <c r="F233">
        <v>38</v>
      </c>
      <c r="G233">
        <v>44</v>
      </c>
      <c r="H233">
        <v>54</v>
      </c>
      <c r="I233">
        <f>VLOOKUP(Demand_Data___Hourly_OverviewSearch_1_csv[[#This Row],[Date]],Supply_Data___Hourly_DriverActivity_1_csv__3[#All],2,FALSE)</f>
        <v>51</v>
      </c>
      <c r="J233">
        <f>VLOOKUP(Demand_Data___Hourly_OverviewSearch_1_csv[[#This Row],[Date]],Supply_Data___Hourly_DriverActivity_1_csv__3[#All],3,FALSE)</f>
        <v>19</v>
      </c>
      <c r="K233">
        <f>VLOOKUP(Demand_Data___Hourly_OverviewSearch_1_csv[[#This Row],[Date]],Supply_Data___Hourly_DriverActivity_1_csv__3[#All],4,FALSE)</f>
        <v>13</v>
      </c>
      <c r="L233">
        <f>VLOOKUP(Demand_Data___Hourly_OverviewSearch_1_csv[[#This Row],[Date]],Supply_Data___Hourly_DriverActivity_1_csv__3[#All],5,FALSE)</f>
        <v>7</v>
      </c>
      <c r="M233">
        <f>VLOOKUP(Demand_Data___Hourly_OverviewSearch_1_csv[[#This Row],[Date]],Supply_Data___Hourly_DriverActivity_1_csv__3[#All],6,FALSE)</f>
        <v>0.4</v>
      </c>
      <c r="N233">
        <f>VLOOKUP(Demand_Data___Hourly_OverviewSearch_1_csv[[#This Row],[Date]],Supply_Data___Hourly_DriverActivity_1_csv__3[#All],7,FALSE)</f>
        <v>1.26</v>
      </c>
      <c r="O233">
        <f>VLOOKUP(Demand_Data___Hourly_OverviewSearch_1_csv[[#This Row],[Date]],Supply_Data___Hourly_DriverActivity_1_csv__3[#All],8,FALSE)</f>
        <v>24</v>
      </c>
      <c r="P233">
        <f>(Demand_Data___Hourly_OverviewSearch_1_csv[[#This Row],[People saw 0 cars (unique)]]+Demand_Data___Hourly_OverviewSearch_1_csv[[#This Row],[People saw +1 cars (unique)]])</f>
        <v>82</v>
      </c>
      <c r="Q233" s="143">
        <f t="shared" si="15"/>
        <v>6</v>
      </c>
    </row>
    <row r="234" spans="1:17" x14ac:dyDescent="0.3">
      <c r="A234" t="s">
        <v>240</v>
      </c>
      <c r="B234" t="str">
        <f t="shared" si="12"/>
        <v xml:space="preserve"> 07</v>
      </c>
      <c r="C234">
        <f t="shared" si="13"/>
        <v>5</v>
      </c>
      <c r="D234" t="str">
        <f t="shared" si="14"/>
        <v xml:space="preserve">2016-12-09 </v>
      </c>
      <c r="E234" t="str">
        <f>TEXT(Demand_Data___Hourly_OverviewSearch_1_csv[[#This Row],[Day]],"dddd")</f>
        <v>Thursday</v>
      </c>
      <c r="F234">
        <v>21</v>
      </c>
      <c r="G234">
        <v>17</v>
      </c>
      <c r="H234">
        <v>45</v>
      </c>
      <c r="I234">
        <f>VLOOKUP(Demand_Data___Hourly_OverviewSearch_1_csv[[#This Row],[Date]],Supply_Data___Hourly_DriverActivity_1_csv__3[#All],2,FALSE)</f>
        <v>41</v>
      </c>
      <c r="J234">
        <f>VLOOKUP(Demand_Data___Hourly_OverviewSearch_1_csv[[#This Row],[Date]],Supply_Data___Hourly_DriverActivity_1_csv__3[#All],3,FALSE)</f>
        <v>11</v>
      </c>
      <c r="K234">
        <f>VLOOKUP(Demand_Data___Hourly_OverviewSearch_1_csv[[#This Row],[Date]],Supply_Data___Hourly_DriverActivity_1_csv__3[#All],4,FALSE)</f>
        <v>4</v>
      </c>
      <c r="L234">
        <f>VLOOKUP(Demand_Data___Hourly_OverviewSearch_1_csv[[#This Row],[Date]],Supply_Data___Hourly_DriverActivity_1_csv__3[#All],5,FALSE)</f>
        <v>7</v>
      </c>
      <c r="M234">
        <f>VLOOKUP(Demand_Data___Hourly_OverviewSearch_1_csv[[#This Row],[Date]],Supply_Data___Hourly_DriverActivity_1_csv__3[#All],6,FALSE)</f>
        <v>0.3</v>
      </c>
      <c r="N234">
        <f>VLOOKUP(Demand_Data___Hourly_OverviewSearch_1_csv[[#This Row],[Date]],Supply_Data___Hourly_DriverActivity_1_csv__3[#All],7,FALSE)</f>
        <v>1.27</v>
      </c>
      <c r="O234">
        <f>VLOOKUP(Demand_Data___Hourly_OverviewSearch_1_csv[[#This Row],[Date]],Supply_Data___Hourly_DriverActivity_1_csv__3[#All],8,FALSE)</f>
        <v>14</v>
      </c>
      <c r="P234">
        <f>(Demand_Data___Hourly_OverviewSearch_1_csv[[#This Row],[People saw 0 cars (unique)]]+Demand_Data___Hourly_OverviewSearch_1_csv[[#This Row],[People saw +1 cars (unique)]])</f>
        <v>38</v>
      </c>
      <c r="Q234" s="143">
        <f t="shared" si="15"/>
        <v>7</v>
      </c>
    </row>
    <row r="235" spans="1:17" x14ac:dyDescent="0.3">
      <c r="A235" t="s">
        <v>241</v>
      </c>
      <c r="B235" t="str">
        <f t="shared" si="12"/>
        <v xml:space="preserve"> 06</v>
      </c>
      <c r="C235">
        <f t="shared" si="13"/>
        <v>5</v>
      </c>
      <c r="D235" t="str">
        <f t="shared" si="14"/>
        <v xml:space="preserve">2016-12-09 </v>
      </c>
      <c r="E235" t="str">
        <f>TEXT(Demand_Data___Hourly_OverviewSearch_1_csv[[#This Row],[Day]],"dddd")</f>
        <v>Thursday</v>
      </c>
      <c r="F235">
        <v>6</v>
      </c>
      <c r="G235">
        <v>3</v>
      </c>
      <c r="H235">
        <v>33</v>
      </c>
      <c r="I235">
        <f>VLOOKUP(Demand_Data___Hourly_OverviewSearch_1_csv[[#This Row],[Date]],Supply_Data___Hourly_DriverActivity_1_csv__3[#All],2,FALSE)</f>
        <v>32</v>
      </c>
      <c r="J235">
        <f>VLOOKUP(Demand_Data___Hourly_OverviewSearch_1_csv[[#This Row],[Date]],Supply_Data___Hourly_DriverActivity_1_csv__3[#All],3,FALSE)</f>
        <v>8</v>
      </c>
      <c r="K235">
        <f>VLOOKUP(Demand_Data___Hourly_OverviewSearch_1_csv[[#This Row],[Date]],Supply_Data___Hourly_DriverActivity_1_csv__3[#All],4,FALSE)</f>
        <v>0</v>
      </c>
      <c r="L235">
        <f>VLOOKUP(Demand_Data___Hourly_OverviewSearch_1_csv[[#This Row],[Date]],Supply_Data___Hourly_DriverActivity_1_csv__3[#All],5,FALSE)</f>
        <v>8</v>
      </c>
      <c r="M235">
        <f>VLOOKUP(Demand_Data___Hourly_OverviewSearch_1_csv[[#This Row],[Date]],Supply_Data___Hourly_DriverActivity_1_csv__3[#All],6,FALSE)</f>
        <v>0.3</v>
      </c>
      <c r="N235">
        <f>VLOOKUP(Demand_Data___Hourly_OverviewSearch_1_csv[[#This Row],[Date]],Supply_Data___Hourly_DriverActivity_1_csv__3[#All],7,FALSE)</f>
        <v>0.13</v>
      </c>
      <c r="O235">
        <f>VLOOKUP(Demand_Data___Hourly_OverviewSearch_1_csv[[#This Row],[Date]],Supply_Data___Hourly_DriverActivity_1_csv__3[#All],8,FALSE)</f>
        <v>1</v>
      </c>
      <c r="P235">
        <f>(Demand_Data___Hourly_OverviewSearch_1_csv[[#This Row],[People saw 0 cars (unique)]]+Demand_Data___Hourly_OverviewSearch_1_csv[[#This Row],[People saw +1 cars (unique)]])</f>
        <v>9</v>
      </c>
      <c r="Q235" s="143">
        <f t="shared" si="15"/>
        <v>8</v>
      </c>
    </row>
    <row r="236" spans="1:17" x14ac:dyDescent="0.3">
      <c r="A236" t="s">
        <v>242</v>
      </c>
      <c r="B236" t="str">
        <f t="shared" si="12"/>
        <v xml:space="preserve"> 05</v>
      </c>
      <c r="C236">
        <f t="shared" si="13"/>
        <v>5</v>
      </c>
      <c r="D236" t="str">
        <f t="shared" si="14"/>
        <v xml:space="preserve">2016-12-09 </v>
      </c>
      <c r="E236" t="str">
        <f>TEXT(Demand_Data___Hourly_OverviewSearch_1_csv[[#This Row],[Day]],"dddd")</f>
        <v>Thursday</v>
      </c>
      <c r="F236">
        <v>3</v>
      </c>
      <c r="G236">
        <v>5</v>
      </c>
      <c r="H236">
        <v>63</v>
      </c>
      <c r="I236">
        <f>VLOOKUP(Demand_Data___Hourly_OverviewSearch_1_csv[[#This Row],[Date]],Supply_Data___Hourly_DriverActivity_1_csv__3[#All],2,FALSE)</f>
        <v>27</v>
      </c>
      <c r="J236">
        <f>VLOOKUP(Demand_Data___Hourly_OverviewSearch_1_csv[[#This Row],[Date]],Supply_Data___Hourly_DriverActivity_1_csv__3[#All],3,FALSE)</f>
        <v>10</v>
      </c>
      <c r="K236">
        <f>VLOOKUP(Demand_Data___Hourly_OverviewSearch_1_csv[[#This Row],[Date]],Supply_Data___Hourly_DriverActivity_1_csv__3[#All],4,FALSE)</f>
        <v>0</v>
      </c>
      <c r="L236">
        <f>VLOOKUP(Demand_Data___Hourly_OverviewSearch_1_csv[[#This Row],[Date]],Supply_Data___Hourly_DriverActivity_1_csv__3[#All],5,FALSE)</f>
        <v>9</v>
      </c>
      <c r="M236">
        <f>VLOOKUP(Demand_Data___Hourly_OverviewSearch_1_csv[[#This Row],[Date]],Supply_Data___Hourly_DriverActivity_1_csv__3[#All],6,FALSE)</f>
        <v>0.4</v>
      </c>
      <c r="N236">
        <f>VLOOKUP(Demand_Data___Hourly_OverviewSearch_1_csv[[#This Row],[Date]],Supply_Data___Hourly_DriverActivity_1_csv__3[#All],7,FALSE)</f>
        <v>0.1</v>
      </c>
      <c r="O236">
        <f>VLOOKUP(Demand_Data___Hourly_OverviewSearch_1_csv[[#This Row],[Date]],Supply_Data___Hourly_DriverActivity_1_csv__3[#All],8,FALSE)</f>
        <v>1</v>
      </c>
      <c r="P236">
        <f>(Demand_Data___Hourly_OverviewSearch_1_csv[[#This Row],[People saw 0 cars (unique)]]+Demand_Data___Hourly_OverviewSearch_1_csv[[#This Row],[People saw +1 cars (unique)]])</f>
        <v>8</v>
      </c>
      <c r="Q236" s="143">
        <f t="shared" si="15"/>
        <v>10</v>
      </c>
    </row>
    <row r="237" spans="1:17" x14ac:dyDescent="0.3">
      <c r="A237" t="s">
        <v>243</v>
      </c>
      <c r="B237" t="str">
        <f t="shared" si="12"/>
        <v xml:space="preserve"> 04</v>
      </c>
      <c r="C237">
        <f t="shared" si="13"/>
        <v>5</v>
      </c>
      <c r="D237" t="str">
        <f t="shared" si="14"/>
        <v xml:space="preserve">2016-12-09 </v>
      </c>
      <c r="E237" t="str">
        <f>TEXT(Demand_Data___Hourly_OverviewSearch_1_csv[[#This Row],[Day]],"dddd")</f>
        <v>Thursday</v>
      </c>
      <c r="F237">
        <v>16</v>
      </c>
      <c r="G237">
        <v>4</v>
      </c>
      <c r="H237">
        <v>20</v>
      </c>
      <c r="I237">
        <f>VLOOKUP(Demand_Data___Hourly_OverviewSearch_1_csv[[#This Row],[Date]],Supply_Data___Hourly_DriverActivity_1_csv__3[#All],2,FALSE)</f>
        <v>25</v>
      </c>
      <c r="J237">
        <f>VLOOKUP(Demand_Data___Hourly_OverviewSearch_1_csv[[#This Row],[Date]],Supply_Data___Hourly_DriverActivity_1_csv__3[#All],3,FALSE)</f>
        <v>7</v>
      </c>
      <c r="K237">
        <f>VLOOKUP(Demand_Data___Hourly_OverviewSearch_1_csv[[#This Row],[Date]],Supply_Data___Hourly_DriverActivity_1_csv__3[#All],4,FALSE)</f>
        <v>1</v>
      </c>
      <c r="L237">
        <f>VLOOKUP(Demand_Data___Hourly_OverviewSearch_1_csv[[#This Row],[Date]],Supply_Data___Hourly_DriverActivity_1_csv__3[#All],5,FALSE)</f>
        <v>6</v>
      </c>
      <c r="M237">
        <f>VLOOKUP(Demand_Data___Hourly_OverviewSearch_1_csv[[#This Row],[Date]],Supply_Data___Hourly_DriverActivity_1_csv__3[#All],6,FALSE)</f>
        <v>0.3</v>
      </c>
      <c r="N237">
        <f>VLOOKUP(Demand_Data___Hourly_OverviewSearch_1_csv[[#This Row],[Date]],Supply_Data___Hourly_DriverActivity_1_csv__3[#All],7,FALSE)</f>
        <v>0.14000000000000001</v>
      </c>
      <c r="O237">
        <f>VLOOKUP(Demand_Data___Hourly_OverviewSearch_1_csv[[#This Row],[Date]],Supply_Data___Hourly_DriverActivity_1_csv__3[#All],8,FALSE)</f>
        <v>1</v>
      </c>
      <c r="P237">
        <f>(Demand_Data___Hourly_OverviewSearch_1_csv[[#This Row],[People saw 0 cars (unique)]]+Demand_Data___Hourly_OverviewSearch_1_csv[[#This Row],[People saw +1 cars (unique)]])</f>
        <v>20</v>
      </c>
      <c r="Q237" s="143">
        <f t="shared" si="15"/>
        <v>6</v>
      </c>
    </row>
    <row r="238" spans="1:17" x14ac:dyDescent="0.3">
      <c r="A238" t="s">
        <v>244</v>
      </c>
      <c r="B238" t="str">
        <f t="shared" si="12"/>
        <v xml:space="preserve"> 03</v>
      </c>
      <c r="C238">
        <f t="shared" si="13"/>
        <v>5</v>
      </c>
      <c r="D238" t="str">
        <f t="shared" si="14"/>
        <v xml:space="preserve">2016-12-09 </v>
      </c>
      <c r="E238" t="str">
        <f>TEXT(Demand_Data___Hourly_OverviewSearch_1_csv[[#This Row],[Day]],"dddd")</f>
        <v>Thursday</v>
      </c>
      <c r="F238">
        <v>12</v>
      </c>
      <c r="G238">
        <v>17</v>
      </c>
      <c r="H238">
        <v>59</v>
      </c>
      <c r="I238">
        <f>VLOOKUP(Demand_Data___Hourly_OverviewSearch_1_csv[[#This Row],[Date]],Supply_Data___Hourly_DriverActivity_1_csv__3[#All],2,FALSE)</f>
        <v>28</v>
      </c>
      <c r="J238">
        <f>VLOOKUP(Demand_Data___Hourly_OverviewSearch_1_csv[[#This Row],[Date]],Supply_Data___Hourly_DriverActivity_1_csv__3[#All],3,FALSE)</f>
        <v>11</v>
      </c>
      <c r="K238">
        <f>VLOOKUP(Demand_Data___Hourly_OverviewSearch_1_csv[[#This Row],[Date]],Supply_Data___Hourly_DriverActivity_1_csv__3[#All],4,FALSE)</f>
        <v>4</v>
      </c>
      <c r="L238">
        <f>VLOOKUP(Demand_Data___Hourly_OverviewSearch_1_csv[[#This Row],[Date]],Supply_Data___Hourly_DriverActivity_1_csv__3[#All],5,FALSE)</f>
        <v>7</v>
      </c>
      <c r="M238">
        <f>VLOOKUP(Demand_Data___Hourly_OverviewSearch_1_csv[[#This Row],[Date]],Supply_Data___Hourly_DriverActivity_1_csv__3[#All],6,FALSE)</f>
        <v>0.4</v>
      </c>
      <c r="N238">
        <f>VLOOKUP(Demand_Data___Hourly_OverviewSearch_1_csv[[#This Row],[Date]],Supply_Data___Hourly_DriverActivity_1_csv__3[#All],7,FALSE)</f>
        <v>1.0900000000000001</v>
      </c>
      <c r="O238">
        <f>VLOOKUP(Demand_Data___Hourly_OverviewSearch_1_csv[[#This Row],[Date]],Supply_Data___Hourly_DriverActivity_1_csv__3[#All],8,FALSE)</f>
        <v>12</v>
      </c>
      <c r="P238">
        <f>(Demand_Data___Hourly_OverviewSearch_1_csv[[#This Row],[People saw 0 cars (unique)]]+Demand_Data___Hourly_OverviewSearch_1_csv[[#This Row],[People saw +1 cars (unique)]])</f>
        <v>29</v>
      </c>
      <c r="Q238" s="143">
        <f t="shared" si="15"/>
        <v>7</v>
      </c>
    </row>
    <row r="239" spans="1:17" x14ac:dyDescent="0.3">
      <c r="A239" t="s">
        <v>245</v>
      </c>
      <c r="B239" t="str">
        <f t="shared" si="12"/>
        <v xml:space="preserve"> 02</v>
      </c>
      <c r="C239">
        <f t="shared" si="13"/>
        <v>5</v>
      </c>
      <c r="D239" t="str">
        <f t="shared" si="14"/>
        <v xml:space="preserve">2016-12-09 </v>
      </c>
      <c r="E239" t="str">
        <f>TEXT(Demand_Data___Hourly_OverviewSearch_1_csv[[#This Row],[Day]],"dddd")</f>
        <v>Thursday</v>
      </c>
      <c r="F239">
        <v>8</v>
      </c>
      <c r="G239">
        <v>25</v>
      </c>
      <c r="H239">
        <v>76</v>
      </c>
      <c r="I239">
        <f>VLOOKUP(Demand_Data___Hourly_OverviewSearch_1_csv[[#This Row],[Date]],Supply_Data___Hourly_DriverActivity_1_csv__3[#All],2,FALSE)</f>
        <v>38</v>
      </c>
      <c r="J239">
        <f>VLOOKUP(Demand_Data___Hourly_OverviewSearch_1_csv[[#This Row],[Date]],Supply_Data___Hourly_DriverActivity_1_csv__3[#All],3,FALSE)</f>
        <v>14</v>
      </c>
      <c r="K239">
        <f>VLOOKUP(Demand_Data___Hourly_OverviewSearch_1_csv[[#This Row],[Date]],Supply_Data___Hourly_DriverActivity_1_csv__3[#All],4,FALSE)</f>
        <v>5</v>
      </c>
      <c r="L239">
        <f>VLOOKUP(Demand_Data___Hourly_OverviewSearch_1_csv[[#This Row],[Date]],Supply_Data___Hourly_DriverActivity_1_csv__3[#All],5,FALSE)</f>
        <v>9</v>
      </c>
      <c r="M239">
        <f>VLOOKUP(Demand_Data___Hourly_OverviewSearch_1_csv[[#This Row],[Date]],Supply_Data___Hourly_DriverActivity_1_csv__3[#All],6,FALSE)</f>
        <v>0.4</v>
      </c>
      <c r="N239">
        <f>VLOOKUP(Demand_Data___Hourly_OverviewSearch_1_csv[[#This Row],[Date]],Supply_Data___Hourly_DriverActivity_1_csv__3[#All],7,FALSE)</f>
        <v>1.07</v>
      </c>
      <c r="O239">
        <f>VLOOKUP(Demand_Data___Hourly_OverviewSearch_1_csv[[#This Row],[Date]],Supply_Data___Hourly_DriverActivity_1_csv__3[#All],8,FALSE)</f>
        <v>15</v>
      </c>
      <c r="P239">
        <f>(Demand_Data___Hourly_OverviewSearch_1_csv[[#This Row],[People saw 0 cars (unique)]]+Demand_Data___Hourly_OverviewSearch_1_csv[[#This Row],[People saw +1 cars (unique)]])</f>
        <v>33</v>
      </c>
      <c r="Q239" s="143">
        <f t="shared" si="15"/>
        <v>9</v>
      </c>
    </row>
    <row r="240" spans="1:17" x14ac:dyDescent="0.3">
      <c r="A240" t="s">
        <v>246</v>
      </c>
      <c r="B240" t="str">
        <f t="shared" si="12"/>
        <v xml:space="preserve"> 01</v>
      </c>
      <c r="C240">
        <f t="shared" si="13"/>
        <v>5</v>
      </c>
      <c r="D240" t="str">
        <f t="shared" si="14"/>
        <v xml:space="preserve">2016-12-09 </v>
      </c>
      <c r="E240" t="str">
        <f>TEXT(Demand_Data___Hourly_OverviewSearch_1_csv[[#This Row],[Day]],"dddd")</f>
        <v>Thursday</v>
      </c>
      <c r="F240">
        <v>3</v>
      </c>
      <c r="G240">
        <v>25</v>
      </c>
      <c r="H240">
        <v>89</v>
      </c>
      <c r="I240">
        <f>VLOOKUP(Demand_Data___Hourly_OverviewSearch_1_csv[[#This Row],[Date]],Supply_Data___Hourly_DriverActivity_1_csv__3[#All],2,FALSE)</f>
        <v>50</v>
      </c>
      <c r="J240">
        <f>VLOOKUP(Demand_Data___Hourly_OverviewSearch_1_csv[[#This Row],[Date]],Supply_Data___Hourly_DriverActivity_1_csv__3[#All],3,FALSE)</f>
        <v>18</v>
      </c>
      <c r="K240">
        <f>VLOOKUP(Demand_Data___Hourly_OverviewSearch_1_csv[[#This Row],[Date]],Supply_Data___Hourly_DriverActivity_1_csv__3[#All],4,FALSE)</f>
        <v>5</v>
      </c>
      <c r="L240">
        <f>VLOOKUP(Demand_Data___Hourly_OverviewSearch_1_csv[[#This Row],[Date]],Supply_Data___Hourly_DriverActivity_1_csv__3[#All],5,FALSE)</f>
        <v>13</v>
      </c>
      <c r="M240">
        <f>VLOOKUP(Demand_Data___Hourly_OverviewSearch_1_csv[[#This Row],[Date]],Supply_Data___Hourly_DriverActivity_1_csv__3[#All],6,FALSE)</f>
        <v>0.4</v>
      </c>
      <c r="N240">
        <f>VLOOKUP(Demand_Data___Hourly_OverviewSearch_1_csv[[#This Row],[Date]],Supply_Data___Hourly_DriverActivity_1_csv__3[#All],7,FALSE)</f>
        <v>0.61</v>
      </c>
      <c r="O240">
        <f>VLOOKUP(Demand_Data___Hourly_OverviewSearch_1_csv[[#This Row],[Date]],Supply_Data___Hourly_DriverActivity_1_csv__3[#All],8,FALSE)</f>
        <v>11</v>
      </c>
      <c r="P240">
        <f>(Demand_Data___Hourly_OverviewSearch_1_csv[[#This Row],[People saw 0 cars (unique)]]+Demand_Data___Hourly_OverviewSearch_1_csv[[#This Row],[People saw +1 cars (unique)]])</f>
        <v>28</v>
      </c>
      <c r="Q240" s="143">
        <f t="shared" si="15"/>
        <v>13</v>
      </c>
    </row>
    <row r="241" spans="1:17" x14ac:dyDescent="0.3">
      <c r="A241" t="s">
        <v>247</v>
      </c>
      <c r="B241" t="str">
        <f t="shared" si="12"/>
        <v xml:space="preserve"> 00</v>
      </c>
      <c r="C241">
        <f t="shared" si="13"/>
        <v>5</v>
      </c>
      <c r="D241" t="str">
        <f t="shared" si="14"/>
        <v xml:space="preserve">2016-12-09 </v>
      </c>
      <c r="E241" t="str">
        <f>TEXT(Demand_Data___Hourly_OverviewSearch_1_csv[[#This Row],[Day]],"dddd")</f>
        <v>Thursday</v>
      </c>
      <c r="F241">
        <v>14</v>
      </c>
      <c r="G241">
        <v>60</v>
      </c>
      <c r="H241">
        <v>81</v>
      </c>
      <c r="I241">
        <f>VLOOKUP(Demand_Data___Hourly_OverviewSearch_1_csv[[#This Row],[Date]],Supply_Data___Hourly_DriverActivity_1_csv__3[#All],2,FALSE)</f>
        <v>65</v>
      </c>
      <c r="J241">
        <f>VLOOKUP(Demand_Data___Hourly_OverviewSearch_1_csv[[#This Row],[Date]],Supply_Data___Hourly_DriverActivity_1_csv__3[#All],3,FALSE)</f>
        <v>25</v>
      </c>
      <c r="K241">
        <f>VLOOKUP(Demand_Data___Hourly_OverviewSearch_1_csv[[#This Row],[Date]],Supply_Data___Hourly_DriverActivity_1_csv__3[#All],4,FALSE)</f>
        <v>8</v>
      </c>
      <c r="L241">
        <f>VLOOKUP(Demand_Data___Hourly_OverviewSearch_1_csv[[#This Row],[Date]],Supply_Data___Hourly_DriverActivity_1_csv__3[#All],5,FALSE)</f>
        <v>18</v>
      </c>
      <c r="M241">
        <f>VLOOKUP(Demand_Data___Hourly_OverviewSearch_1_csv[[#This Row],[Date]],Supply_Data___Hourly_DriverActivity_1_csv__3[#All],6,FALSE)</f>
        <v>0.4</v>
      </c>
      <c r="N241">
        <f>VLOOKUP(Demand_Data___Hourly_OverviewSearch_1_csv[[#This Row],[Date]],Supply_Data___Hourly_DriverActivity_1_csv__3[#All],7,FALSE)</f>
        <v>0.88</v>
      </c>
      <c r="O241">
        <f>VLOOKUP(Demand_Data___Hourly_OverviewSearch_1_csv[[#This Row],[Date]],Supply_Data___Hourly_DriverActivity_1_csv__3[#All],8,FALSE)</f>
        <v>22</v>
      </c>
      <c r="P241">
        <f>(Demand_Data___Hourly_OverviewSearch_1_csv[[#This Row],[People saw 0 cars (unique)]]+Demand_Data___Hourly_OverviewSearch_1_csv[[#This Row],[People saw +1 cars (unique)]])</f>
        <v>74</v>
      </c>
      <c r="Q241" s="143">
        <f t="shared" si="15"/>
        <v>17</v>
      </c>
    </row>
    <row r="242" spans="1:17" x14ac:dyDescent="0.3">
      <c r="A242" t="s">
        <v>248</v>
      </c>
      <c r="B242" t="str">
        <f t="shared" si="12"/>
        <v xml:space="preserve"> 23</v>
      </c>
      <c r="C242">
        <f t="shared" si="13"/>
        <v>4</v>
      </c>
      <c r="D242" t="str">
        <f t="shared" si="14"/>
        <v xml:space="preserve">2016-12-08 </v>
      </c>
      <c r="E242" t="str">
        <f>TEXT(Demand_Data___Hourly_OverviewSearch_1_csv[[#This Row],[Day]],"dddd")</f>
        <v>Wednesday</v>
      </c>
      <c r="F242">
        <v>7</v>
      </c>
      <c r="G242">
        <v>49</v>
      </c>
      <c r="H242">
        <v>88</v>
      </c>
      <c r="I242">
        <f>VLOOKUP(Demand_Data___Hourly_OverviewSearch_1_csv[[#This Row],[Date]],Supply_Data___Hourly_DriverActivity_1_csv__3[#All],2,FALSE)</f>
        <v>85</v>
      </c>
      <c r="J242">
        <f>VLOOKUP(Demand_Data___Hourly_OverviewSearch_1_csv[[#This Row],[Date]],Supply_Data___Hourly_DriverActivity_1_csv__3[#All],3,FALSE)</f>
        <v>29</v>
      </c>
      <c r="K242">
        <f>VLOOKUP(Demand_Data___Hourly_OverviewSearch_1_csv[[#This Row],[Date]],Supply_Data___Hourly_DriverActivity_1_csv__3[#All],4,FALSE)</f>
        <v>8</v>
      </c>
      <c r="L242">
        <f>VLOOKUP(Demand_Data___Hourly_OverviewSearch_1_csv[[#This Row],[Date]],Supply_Data___Hourly_DriverActivity_1_csv__3[#All],5,FALSE)</f>
        <v>21</v>
      </c>
      <c r="M242">
        <f>VLOOKUP(Demand_Data___Hourly_OverviewSearch_1_csv[[#This Row],[Date]],Supply_Data___Hourly_DriverActivity_1_csv__3[#All],6,FALSE)</f>
        <v>0.3</v>
      </c>
      <c r="N242">
        <f>VLOOKUP(Demand_Data___Hourly_OverviewSearch_1_csv[[#This Row],[Date]],Supply_Data___Hourly_DriverActivity_1_csv__3[#All],7,FALSE)</f>
        <v>0.76</v>
      </c>
      <c r="O242">
        <f>VLOOKUP(Demand_Data___Hourly_OverviewSearch_1_csv[[#This Row],[Date]],Supply_Data___Hourly_DriverActivity_1_csv__3[#All],8,FALSE)</f>
        <v>22</v>
      </c>
      <c r="P242">
        <f>(Demand_Data___Hourly_OverviewSearch_1_csv[[#This Row],[People saw 0 cars (unique)]]+Demand_Data___Hourly_OverviewSearch_1_csv[[#This Row],[People saw +1 cars (unique)]])</f>
        <v>56</v>
      </c>
      <c r="Q242" s="143">
        <f t="shared" si="15"/>
        <v>21</v>
      </c>
    </row>
    <row r="243" spans="1:17" x14ac:dyDescent="0.3">
      <c r="A243" t="s">
        <v>249</v>
      </c>
      <c r="B243" t="str">
        <f t="shared" si="12"/>
        <v xml:space="preserve"> 22</v>
      </c>
      <c r="C243">
        <f t="shared" si="13"/>
        <v>4</v>
      </c>
      <c r="D243" t="str">
        <f t="shared" si="14"/>
        <v xml:space="preserve">2016-12-08 </v>
      </c>
      <c r="E243" t="str">
        <f>TEXT(Demand_Data___Hourly_OverviewSearch_1_csv[[#This Row],[Day]],"dddd")</f>
        <v>Wednesday</v>
      </c>
      <c r="F243">
        <v>9</v>
      </c>
      <c r="G243">
        <v>62</v>
      </c>
      <c r="H243">
        <v>87</v>
      </c>
      <c r="I243">
        <f>VLOOKUP(Demand_Data___Hourly_OverviewSearch_1_csv[[#This Row],[Date]],Supply_Data___Hourly_DriverActivity_1_csv__3[#All],2,FALSE)</f>
        <v>98</v>
      </c>
      <c r="J243">
        <f>VLOOKUP(Demand_Data___Hourly_OverviewSearch_1_csv[[#This Row],[Date]],Supply_Data___Hourly_DriverActivity_1_csv__3[#All],3,FALSE)</f>
        <v>35</v>
      </c>
      <c r="K243">
        <f>VLOOKUP(Demand_Data___Hourly_OverviewSearch_1_csv[[#This Row],[Date]],Supply_Data___Hourly_DriverActivity_1_csv__3[#All],4,FALSE)</f>
        <v>14</v>
      </c>
      <c r="L243">
        <f>VLOOKUP(Demand_Data___Hourly_OverviewSearch_1_csv[[#This Row],[Date]],Supply_Data___Hourly_DriverActivity_1_csv__3[#All],5,FALSE)</f>
        <v>21</v>
      </c>
      <c r="M243">
        <f>VLOOKUP(Demand_Data___Hourly_OverviewSearch_1_csv[[#This Row],[Date]],Supply_Data___Hourly_DriverActivity_1_csv__3[#All],6,FALSE)</f>
        <v>0.4</v>
      </c>
      <c r="N243">
        <f>VLOOKUP(Demand_Data___Hourly_OverviewSearch_1_csv[[#This Row],[Date]],Supply_Data___Hourly_DriverActivity_1_csv__3[#All],7,FALSE)</f>
        <v>0.86</v>
      </c>
      <c r="O243">
        <f>VLOOKUP(Demand_Data___Hourly_OverviewSearch_1_csv[[#This Row],[Date]],Supply_Data___Hourly_DriverActivity_1_csv__3[#All],8,FALSE)</f>
        <v>30</v>
      </c>
      <c r="P243">
        <f>(Demand_Data___Hourly_OverviewSearch_1_csv[[#This Row],[People saw 0 cars (unique)]]+Demand_Data___Hourly_OverviewSearch_1_csv[[#This Row],[People saw +1 cars (unique)]])</f>
        <v>71</v>
      </c>
      <c r="Q243" s="143">
        <f t="shared" si="15"/>
        <v>21</v>
      </c>
    </row>
    <row r="244" spans="1:17" x14ac:dyDescent="0.3">
      <c r="A244" t="s">
        <v>250</v>
      </c>
      <c r="B244" t="str">
        <f t="shared" si="12"/>
        <v xml:space="preserve"> 21</v>
      </c>
      <c r="C244">
        <f t="shared" si="13"/>
        <v>4</v>
      </c>
      <c r="D244" t="str">
        <f t="shared" si="14"/>
        <v xml:space="preserve">2016-12-08 </v>
      </c>
      <c r="E244" t="str">
        <f>TEXT(Demand_Data___Hourly_OverviewSearch_1_csv[[#This Row],[Day]],"dddd")</f>
        <v>Wednesday</v>
      </c>
      <c r="F244">
        <v>25</v>
      </c>
      <c r="G244">
        <v>76</v>
      </c>
      <c r="H244">
        <v>75</v>
      </c>
      <c r="I244">
        <f>VLOOKUP(Demand_Data___Hourly_OverviewSearch_1_csv[[#This Row],[Date]],Supply_Data___Hourly_DriverActivity_1_csv__3[#All],2,FALSE)</f>
        <v>108</v>
      </c>
      <c r="J244">
        <f>VLOOKUP(Demand_Data___Hourly_OverviewSearch_1_csv[[#This Row],[Date]],Supply_Data___Hourly_DriverActivity_1_csv__3[#All],3,FALSE)</f>
        <v>36</v>
      </c>
      <c r="K244">
        <f>VLOOKUP(Demand_Data___Hourly_OverviewSearch_1_csv[[#This Row],[Date]],Supply_Data___Hourly_DriverActivity_1_csv__3[#All],4,FALSE)</f>
        <v>18</v>
      </c>
      <c r="L244">
        <f>VLOOKUP(Demand_Data___Hourly_OverviewSearch_1_csv[[#This Row],[Date]],Supply_Data___Hourly_DriverActivity_1_csv__3[#All],5,FALSE)</f>
        <v>18</v>
      </c>
      <c r="M244">
        <f>VLOOKUP(Demand_Data___Hourly_OverviewSearch_1_csv[[#This Row],[Date]],Supply_Data___Hourly_DriverActivity_1_csv__3[#All],6,FALSE)</f>
        <v>0.3</v>
      </c>
      <c r="N244">
        <f>VLOOKUP(Demand_Data___Hourly_OverviewSearch_1_csv[[#This Row],[Date]],Supply_Data___Hourly_DriverActivity_1_csv__3[#All],7,FALSE)</f>
        <v>1.39</v>
      </c>
      <c r="O244">
        <f>VLOOKUP(Demand_Data___Hourly_OverviewSearch_1_csv[[#This Row],[Date]],Supply_Data___Hourly_DriverActivity_1_csv__3[#All],8,FALSE)</f>
        <v>50</v>
      </c>
      <c r="P244">
        <f>(Demand_Data___Hourly_OverviewSearch_1_csv[[#This Row],[People saw 0 cars (unique)]]+Demand_Data___Hourly_OverviewSearch_1_csv[[#This Row],[People saw +1 cars (unique)]])</f>
        <v>101</v>
      </c>
      <c r="Q244" s="143">
        <f t="shared" si="15"/>
        <v>18</v>
      </c>
    </row>
    <row r="245" spans="1:17" x14ac:dyDescent="0.3">
      <c r="A245" t="s">
        <v>251</v>
      </c>
      <c r="B245" t="str">
        <f t="shared" si="12"/>
        <v xml:space="preserve"> 20</v>
      </c>
      <c r="C245">
        <f t="shared" si="13"/>
        <v>4</v>
      </c>
      <c r="D245" t="str">
        <f t="shared" si="14"/>
        <v xml:space="preserve">2016-12-08 </v>
      </c>
      <c r="E245" t="str">
        <f>TEXT(Demand_Data___Hourly_OverviewSearch_1_csv[[#This Row],[Day]],"dddd")</f>
        <v>Wednesday</v>
      </c>
      <c r="F245">
        <v>12</v>
      </c>
      <c r="G245">
        <v>90</v>
      </c>
      <c r="H245">
        <v>88</v>
      </c>
      <c r="I245">
        <f>VLOOKUP(Demand_Data___Hourly_OverviewSearch_1_csv[[#This Row],[Date]],Supply_Data___Hourly_DriverActivity_1_csv__3[#All],2,FALSE)</f>
        <v>116</v>
      </c>
      <c r="J245">
        <f>VLOOKUP(Demand_Data___Hourly_OverviewSearch_1_csv[[#This Row],[Date]],Supply_Data___Hourly_DriverActivity_1_csv__3[#All],3,FALSE)</f>
        <v>42</v>
      </c>
      <c r="K245">
        <f>VLOOKUP(Demand_Data___Hourly_OverviewSearch_1_csv[[#This Row],[Date]],Supply_Data___Hourly_DriverActivity_1_csv__3[#All],4,FALSE)</f>
        <v>21</v>
      </c>
      <c r="L245">
        <f>VLOOKUP(Demand_Data___Hourly_OverviewSearch_1_csv[[#This Row],[Date]],Supply_Data___Hourly_DriverActivity_1_csv__3[#All],5,FALSE)</f>
        <v>21</v>
      </c>
      <c r="M245">
        <f>VLOOKUP(Demand_Data___Hourly_OverviewSearch_1_csv[[#This Row],[Date]],Supply_Data___Hourly_DriverActivity_1_csv__3[#All],6,FALSE)</f>
        <v>0.4</v>
      </c>
      <c r="N245">
        <f>VLOOKUP(Demand_Data___Hourly_OverviewSearch_1_csv[[#This Row],[Date]],Supply_Data___Hourly_DriverActivity_1_csv__3[#All],7,FALSE)</f>
        <v>0.86</v>
      </c>
      <c r="O245">
        <f>VLOOKUP(Demand_Data___Hourly_OverviewSearch_1_csv[[#This Row],[Date]],Supply_Data___Hourly_DriverActivity_1_csv__3[#All],8,FALSE)</f>
        <v>36</v>
      </c>
      <c r="P245">
        <f>(Demand_Data___Hourly_OverviewSearch_1_csv[[#This Row],[People saw 0 cars (unique)]]+Demand_Data___Hourly_OverviewSearch_1_csv[[#This Row],[People saw +1 cars (unique)]])</f>
        <v>102</v>
      </c>
      <c r="Q245" s="143">
        <f t="shared" si="15"/>
        <v>21</v>
      </c>
    </row>
    <row r="246" spans="1:17" x14ac:dyDescent="0.3">
      <c r="A246" t="s">
        <v>252</v>
      </c>
      <c r="B246" t="str">
        <f t="shared" si="12"/>
        <v xml:space="preserve"> 19</v>
      </c>
      <c r="C246">
        <f t="shared" si="13"/>
        <v>4</v>
      </c>
      <c r="D246" t="str">
        <f t="shared" si="14"/>
        <v xml:space="preserve">2016-12-08 </v>
      </c>
      <c r="E246" t="str">
        <f>TEXT(Demand_Data___Hourly_OverviewSearch_1_csv[[#This Row],[Day]],"dddd")</f>
        <v>Wednesday</v>
      </c>
      <c r="F246">
        <v>46</v>
      </c>
      <c r="G246">
        <v>107</v>
      </c>
      <c r="H246">
        <v>70</v>
      </c>
      <c r="I246">
        <f>VLOOKUP(Demand_Data___Hourly_OverviewSearch_1_csv[[#This Row],[Date]],Supply_Data___Hourly_DriverActivity_1_csv__3[#All],2,FALSE)</f>
        <v>103</v>
      </c>
      <c r="J246">
        <f>VLOOKUP(Demand_Data___Hourly_OverviewSearch_1_csv[[#This Row],[Date]],Supply_Data___Hourly_DriverActivity_1_csv__3[#All],3,FALSE)</f>
        <v>40</v>
      </c>
      <c r="K246">
        <f>VLOOKUP(Demand_Data___Hourly_OverviewSearch_1_csv[[#This Row],[Date]],Supply_Data___Hourly_DriverActivity_1_csv__3[#All],4,FALSE)</f>
        <v>27</v>
      </c>
      <c r="L246">
        <f>VLOOKUP(Demand_Data___Hourly_OverviewSearch_1_csv[[#This Row],[Date]],Supply_Data___Hourly_DriverActivity_1_csv__3[#All],5,FALSE)</f>
        <v>14</v>
      </c>
      <c r="M246">
        <f>VLOOKUP(Demand_Data___Hourly_OverviewSearch_1_csv[[#This Row],[Date]],Supply_Data___Hourly_DriverActivity_1_csv__3[#All],6,FALSE)</f>
        <v>0.4</v>
      </c>
      <c r="N246">
        <f>VLOOKUP(Demand_Data___Hourly_OverviewSearch_1_csv[[#This Row],[Date]],Supply_Data___Hourly_DriverActivity_1_csv__3[#All],7,FALSE)</f>
        <v>1.32</v>
      </c>
      <c r="O246">
        <f>VLOOKUP(Demand_Data___Hourly_OverviewSearch_1_csv[[#This Row],[Date]],Supply_Data___Hourly_DriverActivity_1_csv__3[#All],8,FALSE)</f>
        <v>53</v>
      </c>
      <c r="P246">
        <f>(Demand_Data___Hourly_OverviewSearch_1_csv[[#This Row],[People saw 0 cars (unique)]]+Demand_Data___Hourly_OverviewSearch_1_csv[[#This Row],[People saw +1 cars (unique)]])</f>
        <v>153</v>
      </c>
      <c r="Q246" s="143">
        <f t="shared" si="15"/>
        <v>13</v>
      </c>
    </row>
    <row r="247" spans="1:17" x14ac:dyDescent="0.3">
      <c r="A247" t="s">
        <v>253</v>
      </c>
      <c r="B247" t="str">
        <f t="shared" si="12"/>
        <v xml:space="preserve"> 18</v>
      </c>
      <c r="C247">
        <f t="shared" si="13"/>
        <v>4</v>
      </c>
      <c r="D247" t="str">
        <f t="shared" si="14"/>
        <v xml:space="preserve">2016-12-08 </v>
      </c>
      <c r="E247" t="str">
        <f>TEXT(Demand_Data___Hourly_OverviewSearch_1_csv[[#This Row],[Day]],"dddd")</f>
        <v>Wednesday</v>
      </c>
      <c r="F247">
        <v>83</v>
      </c>
      <c r="G247">
        <v>91</v>
      </c>
      <c r="H247">
        <v>52</v>
      </c>
      <c r="I247">
        <f>VLOOKUP(Demand_Data___Hourly_OverviewSearch_1_csv[[#This Row],[Date]],Supply_Data___Hourly_DriverActivity_1_csv__3[#All],2,FALSE)</f>
        <v>104</v>
      </c>
      <c r="J247">
        <f>VLOOKUP(Demand_Data___Hourly_OverviewSearch_1_csv[[#This Row],[Date]],Supply_Data___Hourly_DriverActivity_1_csv__3[#All],3,FALSE)</f>
        <v>40</v>
      </c>
      <c r="K247">
        <f>VLOOKUP(Demand_Data___Hourly_OverviewSearch_1_csv[[#This Row],[Date]],Supply_Data___Hourly_DriverActivity_1_csv__3[#All],4,FALSE)</f>
        <v>26</v>
      </c>
      <c r="L247">
        <f>VLOOKUP(Demand_Data___Hourly_OverviewSearch_1_csv[[#This Row],[Date]],Supply_Data___Hourly_DriverActivity_1_csv__3[#All],5,FALSE)</f>
        <v>14</v>
      </c>
      <c r="M247">
        <f>VLOOKUP(Demand_Data___Hourly_OverviewSearch_1_csv[[#This Row],[Date]],Supply_Data___Hourly_DriverActivity_1_csv__3[#All],6,FALSE)</f>
        <v>0.4</v>
      </c>
      <c r="N247">
        <f>VLOOKUP(Demand_Data___Hourly_OverviewSearch_1_csv[[#This Row],[Date]],Supply_Data___Hourly_DriverActivity_1_csv__3[#All],7,FALSE)</f>
        <v>1.05</v>
      </c>
      <c r="O247">
        <f>VLOOKUP(Demand_Data___Hourly_OverviewSearch_1_csv[[#This Row],[Date]],Supply_Data___Hourly_DriverActivity_1_csv__3[#All],8,FALSE)</f>
        <v>42</v>
      </c>
      <c r="P247">
        <f>(Demand_Data___Hourly_OverviewSearch_1_csv[[#This Row],[People saw 0 cars (unique)]]+Demand_Data___Hourly_OverviewSearch_1_csv[[#This Row],[People saw +1 cars (unique)]])</f>
        <v>174</v>
      </c>
      <c r="Q247" s="143">
        <f t="shared" si="15"/>
        <v>14</v>
      </c>
    </row>
    <row r="248" spans="1:17" x14ac:dyDescent="0.3">
      <c r="A248" t="s">
        <v>254</v>
      </c>
      <c r="B248" t="str">
        <f t="shared" si="12"/>
        <v xml:space="preserve"> 17</v>
      </c>
      <c r="C248">
        <f t="shared" si="13"/>
        <v>4</v>
      </c>
      <c r="D248" t="str">
        <f t="shared" si="14"/>
        <v xml:space="preserve">2016-12-08 </v>
      </c>
      <c r="E248" t="str">
        <f>TEXT(Demand_Data___Hourly_OverviewSearch_1_csv[[#This Row],[Day]],"dddd")</f>
        <v>Wednesday</v>
      </c>
      <c r="F248">
        <v>39</v>
      </c>
      <c r="G248">
        <v>71</v>
      </c>
      <c r="H248">
        <v>65</v>
      </c>
      <c r="I248">
        <f>VLOOKUP(Demand_Data___Hourly_OverviewSearch_1_csv[[#This Row],[Date]],Supply_Data___Hourly_DriverActivity_1_csv__3[#All],2,FALSE)</f>
        <v>104</v>
      </c>
      <c r="J248">
        <f>VLOOKUP(Demand_Data___Hourly_OverviewSearch_1_csv[[#This Row],[Date]],Supply_Data___Hourly_DriverActivity_1_csv__3[#All],3,FALSE)</f>
        <v>32</v>
      </c>
      <c r="K248">
        <f>VLOOKUP(Demand_Data___Hourly_OverviewSearch_1_csv[[#This Row],[Date]],Supply_Data___Hourly_DriverActivity_1_csv__3[#All],4,FALSE)</f>
        <v>17</v>
      </c>
      <c r="L248">
        <f>VLOOKUP(Demand_Data___Hourly_OverviewSearch_1_csv[[#This Row],[Date]],Supply_Data___Hourly_DriverActivity_1_csv__3[#All],5,FALSE)</f>
        <v>16</v>
      </c>
      <c r="M248">
        <f>VLOOKUP(Demand_Data___Hourly_OverviewSearch_1_csv[[#This Row],[Date]],Supply_Data___Hourly_DriverActivity_1_csv__3[#All],6,FALSE)</f>
        <v>0.3</v>
      </c>
      <c r="N248">
        <f>VLOOKUP(Demand_Data___Hourly_OverviewSearch_1_csv[[#This Row],[Date]],Supply_Data___Hourly_DriverActivity_1_csv__3[#All],7,FALSE)</f>
        <v>0.91</v>
      </c>
      <c r="O248">
        <f>VLOOKUP(Demand_Data___Hourly_OverviewSearch_1_csv[[#This Row],[Date]],Supply_Data___Hourly_DriverActivity_1_csv__3[#All],8,FALSE)</f>
        <v>29</v>
      </c>
      <c r="P248">
        <f>(Demand_Data___Hourly_OverviewSearch_1_csv[[#This Row],[People saw 0 cars (unique)]]+Demand_Data___Hourly_OverviewSearch_1_csv[[#This Row],[People saw +1 cars (unique)]])</f>
        <v>110</v>
      </c>
      <c r="Q248" s="143">
        <f t="shared" si="15"/>
        <v>15</v>
      </c>
    </row>
    <row r="249" spans="1:17" x14ac:dyDescent="0.3">
      <c r="A249" t="s">
        <v>255</v>
      </c>
      <c r="B249" t="str">
        <f t="shared" si="12"/>
        <v xml:space="preserve"> 16</v>
      </c>
      <c r="C249">
        <f t="shared" si="13"/>
        <v>4</v>
      </c>
      <c r="D249" t="str">
        <f t="shared" si="14"/>
        <v xml:space="preserve">2016-12-08 </v>
      </c>
      <c r="E249" t="str">
        <f>TEXT(Demand_Data___Hourly_OverviewSearch_1_csv[[#This Row],[Day]],"dddd")</f>
        <v>Wednesday</v>
      </c>
      <c r="F249">
        <v>5</v>
      </c>
      <c r="G249">
        <v>46</v>
      </c>
      <c r="H249">
        <v>90</v>
      </c>
      <c r="I249">
        <f>VLOOKUP(Demand_Data___Hourly_OverviewSearch_1_csv[[#This Row],[Date]],Supply_Data___Hourly_DriverActivity_1_csv__3[#All],2,FALSE)</f>
        <v>95</v>
      </c>
      <c r="J249">
        <f>VLOOKUP(Demand_Data___Hourly_OverviewSearch_1_csv[[#This Row],[Date]],Supply_Data___Hourly_DriverActivity_1_csv__3[#All],3,FALSE)</f>
        <v>27</v>
      </c>
      <c r="K249">
        <f>VLOOKUP(Demand_Data___Hourly_OverviewSearch_1_csv[[#This Row],[Date]],Supply_Data___Hourly_DriverActivity_1_csv__3[#All],4,FALSE)</f>
        <v>8</v>
      </c>
      <c r="L249">
        <f>VLOOKUP(Demand_Data___Hourly_OverviewSearch_1_csv[[#This Row],[Date]],Supply_Data___Hourly_DriverActivity_1_csv__3[#All],5,FALSE)</f>
        <v>19</v>
      </c>
      <c r="M249">
        <f>VLOOKUP(Demand_Data___Hourly_OverviewSearch_1_csv[[#This Row],[Date]],Supply_Data___Hourly_DriverActivity_1_csv__3[#All],6,FALSE)</f>
        <v>0.3</v>
      </c>
      <c r="N249">
        <f>VLOOKUP(Demand_Data___Hourly_OverviewSearch_1_csv[[#This Row],[Date]],Supply_Data___Hourly_DriverActivity_1_csv__3[#All],7,FALSE)</f>
        <v>0.7</v>
      </c>
      <c r="O249">
        <f>VLOOKUP(Demand_Data___Hourly_OverviewSearch_1_csv[[#This Row],[Date]],Supply_Data___Hourly_DriverActivity_1_csv__3[#All],8,FALSE)</f>
        <v>19</v>
      </c>
      <c r="P249">
        <f>(Demand_Data___Hourly_OverviewSearch_1_csv[[#This Row],[People saw 0 cars (unique)]]+Demand_Data___Hourly_OverviewSearch_1_csv[[#This Row],[People saw +1 cars (unique)]])</f>
        <v>51</v>
      </c>
      <c r="Q249" s="143">
        <f t="shared" si="15"/>
        <v>19</v>
      </c>
    </row>
    <row r="250" spans="1:17" x14ac:dyDescent="0.3">
      <c r="A250" t="s">
        <v>256</v>
      </c>
      <c r="B250" t="str">
        <f t="shared" si="12"/>
        <v xml:space="preserve"> 15</v>
      </c>
      <c r="C250">
        <f t="shared" si="13"/>
        <v>4</v>
      </c>
      <c r="D250" t="str">
        <f t="shared" si="14"/>
        <v xml:space="preserve">2016-12-08 </v>
      </c>
      <c r="E250" t="str">
        <f>TEXT(Demand_Data___Hourly_OverviewSearch_1_csv[[#This Row],[Day]],"dddd")</f>
        <v>Wednesday</v>
      </c>
      <c r="F250">
        <v>5</v>
      </c>
      <c r="G250">
        <v>39</v>
      </c>
      <c r="H250">
        <v>89</v>
      </c>
      <c r="I250">
        <f>VLOOKUP(Demand_Data___Hourly_OverviewSearch_1_csv[[#This Row],[Date]],Supply_Data___Hourly_DriverActivity_1_csv__3[#All],2,FALSE)</f>
        <v>76</v>
      </c>
      <c r="J250">
        <f>VLOOKUP(Demand_Data___Hourly_OverviewSearch_1_csv[[#This Row],[Date]],Supply_Data___Hourly_DriverActivity_1_csv__3[#All],3,FALSE)</f>
        <v>26</v>
      </c>
      <c r="K250">
        <f>VLOOKUP(Demand_Data___Hourly_OverviewSearch_1_csv[[#This Row],[Date]],Supply_Data___Hourly_DriverActivity_1_csv__3[#All],4,FALSE)</f>
        <v>6</v>
      </c>
      <c r="L250">
        <f>VLOOKUP(Demand_Data___Hourly_OverviewSearch_1_csv[[#This Row],[Date]],Supply_Data___Hourly_DriverActivity_1_csv__3[#All],5,FALSE)</f>
        <v>20</v>
      </c>
      <c r="M250">
        <f>VLOOKUP(Demand_Data___Hourly_OverviewSearch_1_csv[[#This Row],[Date]],Supply_Data___Hourly_DriverActivity_1_csv__3[#All],6,FALSE)</f>
        <v>0.3</v>
      </c>
      <c r="N250">
        <f>VLOOKUP(Demand_Data___Hourly_OverviewSearch_1_csv[[#This Row],[Date]],Supply_Data___Hourly_DriverActivity_1_csv__3[#All],7,FALSE)</f>
        <v>0.62</v>
      </c>
      <c r="O250">
        <f>VLOOKUP(Demand_Data___Hourly_OverviewSearch_1_csv[[#This Row],[Date]],Supply_Data___Hourly_DriverActivity_1_csv__3[#All],8,FALSE)</f>
        <v>16</v>
      </c>
      <c r="P250">
        <f>(Demand_Data___Hourly_OverviewSearch_1_csv[[#This Row],[People saw 0 cars (unique)]]+Demand_Data___Hourly_OverviewSearch_1_csv[[#This Row],[People saw +1 cars (unique)]])</f>
        <v>44</v>
      </c>
      <c r="Q250" s="143">
        <f t="shared" si="15"/>
        <v>20</v>
      </c>
    </row>
    <row r="251" spans="1:17" x14ac:dyDescent="0.3">
      <c r="A251" t="s">
        <v>257</v>
      </c>
      <c r="B251" t="str">
        <f t="shared" si="12"/>
        <v xml:space="preserve"> 14</v>
      </c>
      <c r="C251">
        <f t="shared" si="13"/>
        <v>4</v>
      </c>
      <c r="D251" t="str">
        <f t="shared" si="14"/>
        <v xml:space="preserve">2016-12-08 </v>
      </c>
      <c r="E251" t="str">
        <f>TEXT(Demand_Data___Hourly_OverviewSearch_1_csv[[#This Row],[Day]],"dddd")</f>
        <v>Wednesday</v>
      </c>
      <c r="F251">
        <v>5</v>
      </c>
      <c r="G251">
        <v>33</v>
      </c>
      <c r="H251">
        <v>87</v>
      </c>
      <c r="I251">
        <f>VLOOKUP(Demand_Data___Hourly_OverviewSearch_1_csv[[#This Row],[Date]],Supply_Data___Hourly_DriverActivity_1_csv__3[#All],2,FALSE)</f>
        <v>77</v>
      </c>
      <c r="J251">
        <f>VLOOKUP(Demand_Data___Hourly_OverviewSearch_1_csv[[#This Row],[Date]],Supply_Data___Hourly_DriverActivity_1_csv__3[#All],3,FALSE)</f>
        <v>23</v>
      </c>
      <c r="K251">
        <f>VLOOKUP(Demand_Data___Hourly_OverviewSearch_1_csv[[#This Row],[Date]],Supply_Data___Hourly_DriverActivity_1_csv__3[#All],4,FALSE)</f>
        <v>4</v>
      </c>
      <c r="L251">
        <f>VLOOKUP(Demand_Data___Hourly_OverviewSearch_1_csv[[#This Row],[Date]],Supply_Data___Hourly_DriverActivity_1_csv__3[#All],5,FALSE)</f>
        <v>19</v>
      </c>
      <c r="M251">
        <f>VLOOKUP(Demand_Data___Hourly_OverviewSearch_1_csv[[#This Row],[Date]],Supply_Data___Hourly_DriverActivity_1_csv__3[#All],6,FALSE)</f>
        <v>0.3</v>
      </c>
      <c r="N251">
        <f>VLOOKUP(Demand_Data___Hourly_OverviewSearch_1_csv[[#This Row],[Date]],Supply_Data___Hourly_DriverActivity_1_csv__3[#All],7,FALSE)</f>
        <v>0.35</v>
      </c>
      <c r="O251">
        <f>VLOOKUP(Demand_Data___Hourly_OverviewSearch_1_csv[[#This Row],[Date]],Supply_Data___Hourly_DriverActivity_1_csv__3[#All],8,FALSE)</f>
        <v>8</v>
      </c>
      <c r="P251">
        <f>(Demand_Data___Hourly_OverviewSearch_1_csv[[#This Row],[People saw 0 cars (unique)]]+Demand_Data___Hourly_OverviewSearch_1_csv[[#This Row],[People saw +1 cars (unique)]])</f>
        <v>38</v>
      </c>
      <c r="Q251" s="143">
        <f t="shared" si="15"/>
        <v>19</v>
      </c>
    </row>
    <row r="252" spans="1:17" x14ac:dyDescent="0.3">
      <c r="A252" t="s">
        <v>258</v>
      </c>
      <c r="B252" t="str">
        <f t="shared" si="12"/>
        <v xml:space="preserve"> 13</v>
      </c>
      <c r="C252">
        <f t="shared" si="13"/>
        <v>4</v>
      </c>
      <c r="D252" t="str">
        <f t="shared" si="14"/>
        <v xml:space="preserve">2016-12-08 </v>
      </c>
      <c r="E252" t="str">
        <f>TEXT(Demand_Data___Hourly_OverviewSearch_1_csv[[#This Row],[Day]],"dddd")</f>
        <v>Wednesday</v>
      </c>
      <c r="F252">
        <v>5</v>
      </c>
      <c r="G252">
        <v>30</v>
      </c>
      <c r="H252">
        <v>86</v>
      </c>
      <c r="I252">
        <f>VLOOKUP(Demand_Data___Hourly_OverviewSearch_1_csv[[#This Row],[Date]],Supply_Data___Hourly_DriverActivity_1_csv__3[#All],2,FALSE)</f>
        <v>80</v>
      </c>
      <c r="J252">
        <f>VLOOKUP(Demand_Data___Hourly_OverviewSearch_1_csv[[#This Row],[Date]],Supply_Data___Hourly_DriverActivity_1_csv__3[#All],3,FALSE)</f>
        <v>26</v>
      </c>
      <c r="K252">
        <f>VLOOKUP(Demand_Data___Hourly_OverviewSearch_1_csv[[#This Row],[Date]],Supply_Data___Hourly_DriverActivity_1_csv__3[#All],4,FALSE)</f>
        <v>3</v>
      </c>
      <c r="L252">
        <f>VLOOKUP(Demand_Data___Hourly_OverviewSearch_1_csv[[#This Row],[Date]],Supply_Data___Hourly_DriverActivity_1_csv__3[#All],5,FALSE)</f>
        <v>22</v>
      </c>
      <c r="M252">
        <f>VLOOKUP(Demand_Data___Hourly_OverviewSearch_1_csv[[#This Row],[Date]],Supply_Data___Hourly_DriverActivity_1_csv__3[#All],6,FALSE)</f>
        <v>0.3</v>
      </c>
      <c r="N252">
        <f>VLOOKUP(Demand_Data___Hourly_OverviewSearch_1_csv[[#This Row],[Date]],Supply_Data___Hourly_DriverActivity_1_csv__3[#All],7,FALSE)</f>
        <v>0.38</v>
      </c>
      <c r="O252">
        <f>VLOOKUP(Demand_Data___Hourly_OverviewSearch_1_csv[[#This Row],[Date]],Supply_Data___Hourly_DriverActivity_1_csv__3[#All],8,FALSE)</f>
        <v>10</v>
      </c>
      <c r="P252">
        <f>(Demand_Data___Hourly_OverviewSearch_1_csv[[#This Row],[People saw 0 cars (unique)]]+Demand_Data___Hourly_OverviewSearch_1_csv[[#This Row],[People saw +1 cars (unique)]])</f>
        <v>35</v>
      </c>
      <c r="Q252" s="143">
        <f t="shared" si="15"/>
        <v>23</v>
      </c>
    </row>
    <row r="253" spans="1:17" x14ac:dyDescent="0.3">
      <c r="A253" t="s">
        <v>259</v>
      </c>
      <c r="B253" t="str">
        <f t="shared" si="12"/>
        <v xml:space="preserve"> 12</v>
      </c>
      <c r="C253">
        <f t="shared" si="13"/>
        <v>4</v>
      </c>
      <c r="D253" t="str">
        <f t="shared" si="14"/>
        <v xml:space="preserve">2016-12-08 </v>
      </c>
      <c r="E253" t="str">
        <f>TEXT(Demand_Data___Hourly_OverviewSearch_1_csv[[#This Row],[Day]],"dddd")</f>
        <v>Wednesday</v>
      </c>
      <c r="F253">
        <v>5</v>
      </c>
      <c r="G253">
        <v>23</v>
      </c>
      <c r="H253">
        <v>82</v>
      </c>
      <c r="I253">
        <f>VLOOKUP(Demand_Data___Hourly_OverviewSearch_1_csv[[#This Row],[Date]],Supply_Data___Hourly_DriverActivity_1_csv__3[#All],2,FALSE)</f>
        <v>75</v>
      </c>
      <c r="J253">
        <f>VLOOKUP(Demand_Data___Hourly_OverviewSearch_1_csv[[#This Row],[Date]],Supply_Data___Hourly_DriverActivity_1_csv__3[#All],3,FALSE)</f>
        <v>26</v>
      </c>
      <c r="K253">
        <f>VLOOKUP(Demand_Data___Hourly_OverviewSearch_1_csv[[#This Row],[Date]],Supply_Data___Hourly_DriverActivity_1_csv__3[#All],4,FALSE)</f>
        <v>3</v>
      </c>
      <c r="L253">
        <f>VLOOKUP(Demand_Data___Hourly_OverviewSearch_1_csv[[#This Row],[Date]],Supply_Data___Hourly_DriverActivity_1_csv__3[#All],5,FALSE)</f>
        <v>22</v>
      </c>
      <c r="M253">
        <f>VLOOKUP(Demand_Data___Hourly_OverviewSearch_1_csv[[#This Row],[Date]],Supply_Data___Hourly_DriverActivity_1_csv__3[#All],6,FALSE)</f>
        <v>0.3</v>
      </c>
      <c r="N253">
        <f>VLOOKUP(Demand_Data___Hourly_OverviewSearch_1_csv[[#This Row],[Date]],Supply_Data___Hourly_DriverActivity_1_csv__3[#All],7,FALSE)</f>
        <v>0.19</v>
      </c>
      <c r="O253">
        <f>VLOOKUP(Demand_Data___Hourly_OverviewSearch_1_csv[[#This Row],[Date]],Supply_Data___Hourly_DriverActivity_1_csv__3[#All],8,FALSE)</f>
        <v>5</v>
      </c>
      <c r="P253">
        <f>(Demand_Data___Hourly_OverviewSearch_1_csv[[#This Row],[People saw 0 cars (unique)]]+Demand_Data___Hourly_OverviewSearch_1_csv[[#This Row],[People saw +1 cars (unique)]])</f>
        <v>28</v>
      </c>
      <c r="Q253" s="143">
        <f t="shared" si="15"/>
        <v>23</v>
      </c>
    </row>
    <row r="254" spans="1:17" x14ac:dyDescent="0.3">
      <c r="A254" t="s">
        <v>260</v>
      </c>
      <c r="B254" t="str">
        <f t="shared" si="12"/>
        <v xml:space="preserve"> 11</v>
      </c>
      <c r="C254">
        <f t="shared" si="13"/>
        <v>4</v>
      </c>
      <c r="D254" t="str">
        <f t="shared" si="14"/>
        <v xml:space="preserve">2016-12-08 </v>
      </c>
      <c r="E254" t="str">
        <f>TEXT(Demand_Data___Hourly_OverviewSearch_1_csv[[#This Row],[Day]],"dddd")</f>
        <v>Wednesday</v>
      </c>
      <c r="F254">
        <v>4</v>
      </c>
      <c r="G254">
        <v>26</v>
      </c>
      <c r="H254">
        <v>87</v>
      </c>
      <c r="I254">
        <f>VLOOKUP(Demand_Data___Hourly_OverviewSearch_1_csv[[#This Row],[Date]],Supply_Data___Hourly_DriverActivity_1_csv__3[#All],2,FALSE)</f>
        <v>84</v>
      </c>
      <c r="J254">
        <f>VLOOKUP(Demand_Data___Hourly_OverviewSearch_1_csv[[#This Row],[Date]],Supply_Data___Hourly_DriverActivity_1_csv__3[#All],3,FALSE)</f>
        <v>28</v>
      </c>
      <c r="K254">
        <f>VLOOKUP(Demand_Data___Hourly_OverviewSearch_1_csv[[#This Row],[Date]],Supply_Data___Hourly_DriverActivity_1_csv__3[#All],4,FALSE)</f>
        <v>6</v>
      </c>
      <c r="L254">
        <f>VLOOKUP(Demand_Data___Hourly_OverviewSearch_1_csv[[#This Row],[Date]],Supply_Data___Hourly_DriverActivity_1_csv__3[#All],5,FALSE)</f>
        <v>22</v>
      </c>
      <c r="M254">
        <f>VLOOKUP(Demand_Data___Hourly_OverviewSearch_1_csv[[#This Row],[Date]],Supply_Data___Hourly_DriverActivity_1_csv__3[#All],6,FALSE)</f>
        <v>0.3</v>
      </c>
      <c r="N254">
        <f>VLOOKUP(Demand_Data___Hourly_OverviewSearch_1_csv[[#This Row],[Date]],Supply_Data___Hourly_DriverActivity_1_csv__3[#All],7,FALSE)</f>
        <v>0.43</v>
      </c>
      <c r="O254">
        <f>VLOOKUP(Demand_Data___Hourly_OverviewSearch_1_csv[[#This Row],[Date]],Supply_Data___Hourly_DriverActivity_1_csv__3[#All],8,FALSE)</f>
        <v>12</v>
      </c>
      <c r="P254">
        <f>(Demand_Data___Hourly_OverviewSearch_1_csv[[#This Row],[People saw 0 cars (unique)]]+Demand_Data___Hourly_OverviewSearch_1_csv[[#This Row],[People saw +1 cars (unique)]])</f>
        <v>30</v>
      </c>
      <c r="Q254" s="143">
        <f t="shared" si="15"/>
        <v>22</v>
      </c>
    </row>
    <row r="255" spans="1:17" x14ac:dyDescent="0.3">
      <c r="A255" t="s">
        <v>261</v>
      </c>
      <c r="B255" t="str">
        <f t="shared" si="12"/>
        <v xml:space="preserve"> 10</v>
      </c>
      <c r="C255">
        <f t="shared" si="13"/>
        <v>4</v>
      </c>
      <c r="D255" t="str">
        <f t="shared" si="14"/>
        <v xml:space="preserve">2016-12-08 </v>
      </c>
      <c r="E255" t="str">
        <f>TEXT(Demand_Data___Hourly_OverviewSearch_1_csv[[#This Row],[Day]],"dddd")</f>
        <v>Wednesday</v>
      </c>
      <c r="F255">
        <v>5</v>
      </c>
      <c r="G255">
        <v>47</v>
      </c>
      <c r="H255">
        <v>90</v>
      </c>
      <c r="I255">
        <f>VLOOKUP(Demand_Data___Hourly_OverviewSearch_1_csv[[#This Row],[Date]],Supply_Data___Hourly_DriverActivity_1_csv__3[#All],2,FALSE)</f>
        <v>92</v>
      </c>
      <c r="J255">
        <f>VLOOKUP(Demand_Data___Hourly_OverviewSearch_1_csv[[#This Row],[Date]],Supply_Data___Hourly_DriverActivity_1_csv__3[#All],3,FALSE)</f>
        <v>37</v>
      </c>
      <c r="K255">
        <f>VLOOKUP(Demand_Data___Hourly_OverviewSearch_1_csv[[#This Row],[Date]],Supply_Data___Hourly_DriverActivity_1_csv__3[#All],4,FALSE)</f>
        <v>11</v>
      </c>
      <c r="L255">
        <f>VLOOKUP(Demand_Data___Hourly_OverviewSearch_1_csv[[#This Row],[Date]],Supply_Data___Hourly_DriverActivity_1_csv__3[#All],5,FALSE)</f>
        <v>26</v>
      </c>
      <c r="M255">
        <f>VLOOKUP(Demand_Data___Hourly_OverviewSearch_1_csv[[#This Row],[Date]],Supply_Data___Hourly_DriverActivity_1_csv__3[#All],6,FALSE)</f>
        <v>0.4</v>
      </c>
      <c r="N255">
        <f>VLOOKUP(Demand_Data___Hourly_OverviewSearch_1_csv[[#This Row],[Date]],Supply_Data___Hourly_DriverActivity_1_csv__3[#All],7,FALSE)</f>
        <v>0.54</v>
      </c>
      <c r="O255">
        <f>VLOOKUP(Demand_Data___Hourly_OverviewSearch_1_csv[[#This Row],[Date]],Supply_Data___Hourly_DriverActivity_1_csv__3[#All],8,FALSE)</f>
        <v>20</v>
      </c>
      <c r="P255">
        <f>(Demand_Data___Hourly_OverviewSearch_1_csv[[#This Row],[People saw 0 cars (unique)]]+Demand_Data___Hourly_OverviewSearch_1_csv[[#This Row],[People saw +1 cars (unique)]])</f>
        <v>52</v>
      </c>
      <c r="Q255" s="143">
        <f t="shared" si="15"/>
        <v>26</v>
      </c>
    </row>
    <row r="256" spans="1:17" x14ac:dyDescent="0.3">
      <c r="A256" t="s">
        <v>262</v>
      </c>
      <c r="B256" t="str">
        <f t="shared" si="12"/>
        <v xml:space="preserve"> 09</v>
      </c>
      <c r="C256">
        <f t="shared" si="13"/>
        <v>4</v>
      </c>
      <c r="D256" t="str">
        <f t="shared" si="14"/>
        <v xml:space="preserve">2016-12-08 </v>
      </c>
      <c r="E256" t="str">
        <f>TEXT(Demand_Data___Hourly_OverviewSearch_1_csv[[#This Row],[Day]],"dddd")</f>
        <v>Wednesday</v>
      </c>
      <c r="F256">
        <v>17</v>
      </c>
      <c r="G256">
        <v>65</v>
      </c>
      <c r="H256">
        <v>79</v>
      </c>
      <c r="I256">
        <f>VLOOKUP(Demand_Data___Hourly_OverviewSearch_1_csv[[#This Row],[Date]],Supply_Data___Hourly_DriverActivity_1_csv__3[#All],2,FALSE)</f>
        <v>77</v>
      </c>
      <c r="J256">
        <f>VLOOKUP(Demand_Data___Hourly_OverviewSearch_1_csv[[#This Row],[Date]],Supply_Data___Hourly_DriverActivity_1_csv__3[#All],3,FALSE)</f>
        <v>32</v>
      </c>
      <c r="K256">
        <f>VLOOKUP(Demand_Data___Hourly_OverviewSearch_1_csv[[#This Row],[Date]],Supply_Data___Hourly_DriverActivity_1_csv__3[#All],4,FALSE)</f>
        <v>17</v>
      </c>
      <c r="L256">
        <f>VLOOKUP(Demand_Data___Hourly_OverviewSearch_1_csv[[#This Row],[Date]],Supply_Data___Hourly_DriverActivity_1_csv__3[#All],5,FALSE)</f>
        <v>15</v>
      </c>
      <c r="M256">
        <f>VLOOKUP(Demand_Data___Hourly_OverviewSearch_1_csv[[#This Row],[Date]],Supply_Data___Hourly_DriverActivity_1_csv__3[#All],6,FALSE)</f>
        <v>0.4</v>
      </c>
      <c r="N256">
        <f>VLOOKUP(Demand_Data___Hourly_OverviewSearch_1_csv[[#This Row],[Date]],Supply_Data___Hourly_DriverActivity_1_csv__3[#All],7,FALSE)</f>
        <v>1.1299999999999999</v>
      </c>
      <c r="O256">
        <f>VLOOKUP(Demand_Data___Hourly_OverviewSearch_1_csv[[#This Row],[Date]],Supply_Data___Hourly_DriverActivity_1_csv__3[#All],8,FALSE)</f>
        <v>36</v>
      </c>
      <c r="P256">
        <f>(Demand_Data___Hourly_OverviewSearch_1_csv[[#This Row],[People saw 0 cars (unique)]]+Demand_Data___Hourly_OverviewSearch_1_csv[[#This Row],[People saw +1 cars (unique)]])</f>
        <v>82</v>
      </c>
      <c r="Q256" s="143">
        <f t="shared" si="15"/>
        <v>15</v>
      </c>
    </row>
    <row r="257" spans="1:17" x14ac:dyDescent="0.3">
      <c r="A257" t="s">
        <v>263</v>
      </c>
      <c r="B257" t="str">
        <f t="shared" si="12"/>
        <v xml:space="preserve"> 08</v>
      </c>
      <c r="C257">
        <f t="shared" si="13"/>
        <v>4</v>
      </c>
      <c r="D257" t="str">
        <f t="shared" si="14"/>
        <v xml:space="preserve">2016-12-08 </v>
      </c>
      <c r="E257" t="str">
        <f>TEXT(Demand_Data___Hourly_OverviewSearch_1_csv[[#This Row],[Day]],"dddd")</f>
        <v>Wednesday</v>
      </c>
      <c r="F257">
        <v>26</v>
      </c>
      <c r="G257">
        <v>45</v>
      </c>
      <c r="H257">
        <v>63</v>
      </c>
      <c r="I257">
        <f>VLOOKUP(Demand_Data___Hourly_OverviewSearch_1_csv[[#This Row],[Date]],Supply_Data___Hourly_DriverActivity_1_csv__3[#All],2,FALSE)</f>
        <v>62</v>
      </c>
      <c r="J257">
        <f>VLOOKUP(Demand_Data___Hourly_OverviewSearch_1_csv[[#This Row],[Date]],Supply_Data___Hourly_DriverActivity_1_csv__3[#All],3,FALSE)</f>
        <v>20</v>
      </c>
      <c r="K257">
        <f>VLOOKUP(Demand_Data___Hourly_OverviewSearch_1_csv[[#This Row],[Date]],Supply_Data___Hourly_DriverActivity_1_csv__3[#All],4,FALSE)</f>
        <v>12</v>
      </c>
      <c r="L257">
        <f>VLOOKUP(Demand_Data___Hourly_OverviewSearch_1_csv[[#This Row],[Date]],Supply_Data___Hourly_DriverActivity_1_csv__3[#All],5,FALSE)</f>
        <v>8</v>
      </c>
      <c r="M257">
        <f>VLOOKUP(Demand_Data___Hourly_OverviewSearch_1_csv[[#This Row],[Date]],Supply_Data___Hourly_DriverActivity_1_csv__3[#All],6,FALSE)</f>
        <v>0.3</v>
      </c>
      <c r="N257">
        <f>VLOOKUP(Demand_Data___Hourly_OverviewSearch_1_csv[[#This Row],[Date]],Supply_Data___Hourly_DriverActivity_1_csv__3[#All],7,FALSE)</f>
        <v>1.2</v>
      </c>
      <c r="O257">
        <f>VLOOKUP(Demand_Data___Hourly_OverviewSearch_1_csv[[#This Row],[Date]],Supply_Data___Hourly_DriverActivity_1_csv__3[#All],8,FALSE)</f>
        <v>24</v>
      </c>
      <c r="P257">
        <f>(Demand_Data___Hourly_OverviewSearch_1_csv[[#This Row],[People saw 0 cars (unique)]]+Demand_Data___Hourly_OverviewSearch_1_csv[[#This Row],[People saw +1 cars (unique)]])</f>
        <v>71</v>
      </c>
      <c r="Q257" s="143">
        <f t="shared" si="15"/>
        <v>8</v>
      </c>
    </row>
    <row r="258" spans="1:17" x14ac:dyDescent="0.3">
      <c r="A258" t="s">
        <v>264</v>
      </c>
      <c r="B258" t="str">
        <f t="shared" ref="B258:B321" si="16">RIGHT(A258,3)</f>
        <v xml:space="preserve"> 07</v>
      </c>
      <c r="C258">
        <f t="shared" ref="C258:C321" si="17">WEEKDAY(DATEVALUE(LEFT(A258,FIND(" ",A258))),2)</f>
        <v>4</v>
      </c>
      <c r="D258" t="str">
        <f t="shared" ref="D258:D321" si="18">LEFT(A258,11)</f>
        <v xml:space="preserve">2016-12-08 </v>
      </c>
      <c r="E258" t="str">
        <f>TEXT(Demand_Data___Hourly_OverviewSearch_1_csv[[#This Row],[Day]],"dddd")</f>
        <v>Wednesday</v>
      </c>
      <c r="F258">
        <v>15</v>
      </c>
      <c r="G258">
        <v>18</v>
      </c>
      <c r="H258">
        <v>55</v>
      </c>
      <c r="I258">
        <f>VLOOKUP(Demand_Data___Hourly_OverviewSearch_1_csv[[#This Row],[Date]],Supply_Data___Hourly_DriverActivity_1_csv__3[#All],2,FALSE)</f>
        <v>44</v>
      </c>
      <c r="J258">
        <f>VLOOKUP(Demand_Data___Hourly_OverviewSearch_1_csv[[#This Row],[Date]],Supply_Data___Hourly_DriverActivity_1_csv__3[#All],3,FALSE)</f>
        <v>12</v>
      </c>
      <c r="K258">
        <f>VLOOKUP(Demand_Data___Hourly_OverviewSearch_1_csv[[#This Row],[Date]],Supply_Data___Hourly_DriverActivity_1_csv__3[#All],4,FALSE)</f>
        <v>2</v>
      </c>
      <c r="L258">
        <f>VLOOKUP(Demand_Data___Hourly_OverviewSearch_1_csv[[#This Row],[Date]],Supply_Data___Hourly_DriverActivity_1_csv__3[#All],5,FALSE)</f>
        <v>11</v>
      </c>
      <c r="M258">
        <f>VLOOKUP(Demand_Data___Hourly_OverviewSearch_1_csv[[#This Row],[Date]],Supply_Data___Hourly_DriverActivity_1_csv__3[#All],6,FALSE)</f>
        <v>0.3</v>
      </c>
      <c r="N258">
        <f>VLOOKUP(Demand_Data___Hourly_OverviewSearch_1_csv[[#This Row],[Date]],Supply_Data___Hourly_DriverActivity_1_csv__3[#All],7,FALSE)</f>
        <v>0.57999999999999996</v>
      </c>
      <c r="O258">
        <f>VLOOKUP(Demand_Data___Hourly_OverviewSearch_1_csv[[#This Row],[Date]],Supply_Data___Hourly_DriverActivity_1_csv__3[#All],8,FALSE)</f>
        <v>7</v>
      </c>
      <c r="P258">
        <f>(Demand_Data___Hourly_OverviewSearch_1_csv[[#This Row],[People saw 0 cars (unique)]]+Demand_Data___Hourly_OverviewSearch_1_csv[[#This Row],[People saw +1 cars (unique)]])</f>
        <v>33</v>
      </c>
      <c r="Q258" s="143">
        <f t="shared" ref="Q258:Q321" si="19">(J258-K258)</f>
        <v>10</v>
      </c>
    </row>
    <row r="259" spans="1:17" x14ac:dyDescent="0.3">
      <c r="A259" t="s">
        <v>265</v>
      </c>
      <c r="B259" t="str">
        <f t="shared" si="16"/>
        <v xml:space="preserve"> 06</v>
      </c>
      <c r="C259">
        <f t="shared" si="17"/>
        <v>4</v>
      </c>
      <c r="D259" t="str">
        <f t="shared" si="18"/>
        <v xml:space="preserve">2016-12-08 </v>
      </c>
      <c r="E259" t="str">
        <f>TEXT(Demand_Data___Hourly_OverviewSearch_1_csv[[#This Row],[Day]],"dddd")</f>
        <v>Wednesday</v>
      </c>
      <c r="F259">
        <v>5</v>
      </c>
      <c r="G259">
        <v>2</v>
      </c>
      <c r="H259">
        <v>29</v>
      </c>
      <c r="I259">
        <f>VLOOKUP(Demand_Data___Hourly_OverviewSearch_1_csv[[#This Row],[Date]],Supply_Data___Hourly_DriverActivity_1_csv__3[#All],2,FALSE)</f>
        <v>27</v>
      </c>
      <c r="J259">
        <f>VLOOKUP(Demand_Data___Hourly_OverviewSearch_1_csv[[#This Row],[Date]],Supply_Data___Hourly_DriverActivity_1_csv__3[#All],3,FALSE)</f>
        <v>7</v>
      </c>
      <c r="K259">
        <f>VLOOKUP(Demand_Data___Hourly_OverviewSearch_1_csv[[#This Row],[Date]],Supply_Data___Hourly_DriverActivity_1_csv__3[#All],4,FALSE)</f>
        <v>0</v>
      </c>
      <c r="L259">
        <f>VLOOKUP(Demand_Data___Hourly_OverviewSearch_1_csv[[#This Row],[Date]],Supply_Data___Hourly_DriverActivity_1_csv__3[#All],5,FALSE)</f>
        <v>7</v>
      </c>
      <c r="M259">
        <f>VLOOKUP(Demand_Data___Hourly_OverviewSearch_1_csv[[#This Row],[Date]],Supply_Data___Hourly_DriverActivity_1_csv__3[#All],6,FALSE)</f>
        <v>0.3</v>
      </c>
      <c r="N259">
        <f>VLOOKUP(Demand_Data___Hourly_OverviewSearch_1_csv[[#This Row],[Date]],Supply_Data___Hourly_DriverActivity_1_csv__3[#All],7,FALSE)</f>
        <v>0.14000000000000001</v>
      </c>
      <c r="O259">
        <f>VLOOKUP(Demand_Data___Hourly_OverviewSearch_1_csv[[#This Row],[Date]],Supply_Data___Hourly_DriverActivity_1_csv__3[#All],8,FALSE)</f>
        <v>1</v>
      </c>
      <c r="P259">
        <f>(Demand_Data___Hourly_OverviewSearch_1_csv[[#This Row],[People saw 0 cars (unique)]]+Demand_Data___Hourly_OverviewSearch_1_csv[[#This Row],[People saw +1 cars (unique)]])</f>
        <v>7</v>
      </c>
      <c r="Q259" s="143">
        <f t="shared" si="19"/>
        <v>7</v>
      </c>
    </row>
    <row r="260" spans="1:17" x14ac:dyDescent="0.3">
      <c r="A260" t="s">
        <v>266</v>
      </c>
      <c r="B260" t="str">
        <f t="shared" si="16"/>
        <v xml:space="preserve"> 05</v>
      </c>
      <c r="C260">
        <f t="shared" si="17"/>
        <v>4</v>
      </c>
      <c r="D260" t="str">
        <f t="shared" si="18"/>
        <v xml:space="preserve">2016-12-08 </v>
      </c>
      <c r="E260" t="str">
        <f>TEXT(Demand_Data___Hourly_OverviewSearch_1_csv[[#This Row],[Day]],"dddd")</f>
        <v>Wednesday</v>
      </c>
      <c r="F260">
        <v>2</v>
      </c>
      <c r="G260">
        <v>3</v>
      </c>
      <c r="H260">
        <v>60</v>
      </c>
      <c r="I260">
        <f>VLOOKUP(Demand_Data___Hourly_OverviewSearch_1_csv[[#This Row],[Date]],Supply_Data___Hourly_DriverActivity_1_csv__3[#All],2,FALSE)</f>
        <v>17</v>
      </c>
      <c r="J260">
        <f>VLOOKUP(Demand_Data___Hourly_OverviewSearch_1_csv[[#This Row],[Date]],Supply_Data___Hourly_DriverActivity_1_csv__3[#All],3,FALSE)</f>
        <v>5</v>
      </c>
      <c r="K260">
        <f>VLOOKUP(Demand_Data___Hourly_OverviewSearch_1_csv[[#This Row],[Date]],Supply_Data___Hourly_DriverActivity_1_csv__3[#All],4,FALSE)</f>
        <v>0</v>
      </c>
      <c r="L260">
        <f>VLOOKUP(Demand_Data___Hourly_OverviewSearch_1_csv[[#This Row],[Date]],Supply_Data___Hourly_DriverActivity_1_csv__3[#All],5,FALSE)</f>
        <v>5</v>
      </c>
      <c r="M260">
        <f>VLOOKUP(Demand_Data___Hourly_OverviewSearch_1_csv[[#This Row],[Date]],Supply_Data___Hourly_DriverActivity_1_csv__3[#All],6,FALSE)</f>
        <v>0.3</v>
      </c>
      <c r="N260">
        <f>VLOOKUP(Demand_Data___Hourly_OverviewSearch_1_csv[[#This Row],[Date]],Supply_Data___Hourly_DriverActivity_1_csv__3[#All],7,FALSE)</f>
        <v>0</v>
      </c>
      <c r="O260">
        <f>VLOOKUP(Demand_Data___Hourly_OverviewSearch_1_csv[[#This Row],[Date]],Supply_Data___Hourly_DriverActivity_1_csv__3[#All],8,FALSE)</f>
        <v>0</v>
      </c>
      <c r="P260">
        <f>(Demand_Data___Hourly_OverviewSearch_1_csv[[#This Row],[People saw 0 cars (unique)]]+Demand_Data___Hourly_OverviewSearch_1_csv[[#This Row],[People saw +1 cars (unique)]])</f>
        <v>5</v>
      </c>
      <c r="Q260" s="143">
        <f t="shared" si="19"/>
        <v>5</v>
      </c>
    </row>
    <row r="261" spans="1:17" x14ac:dyDescent="0.3">
      <c r="A261" t="s">
        <v>267</v>
      </c>
      <c r="B261" t="str">
        <f t="shared" si="16"/>
        <v xml:space="preserve"> 04</v>
      </c>
      <c r="C261">
        <f t="shared" si="17"/>
        <v>4</v>
      </c>
      <c r="D261" t="str">
        <f t="shared" si="18"/>
        <v xml:space="preserve">2016-12-08 </v>
      </c>
      <c r="E261" t="str">
        <f>TEXT(Demand_Data___Hourly_OverviewSearch_1_csv[[#This Row],[Day]],"dddd")</f>
        <v>Wednesday</v>
      </c>
      <c r="F261">
        <v>8</v>
      </c>
      <c r="G261">
        <v>2</v>
      </c>
      <c r="H261">
        <v>20</v>
      </c>
      <c r="I261">
        <f>VLOOKUP(Demand_Data___Hourly_OverviewSearch_1_csv[[#This Row],[Date]],Supply_Data___Hourly_DriverActivity_1_csv__3[#All],2,FALSE)</f>
        <v>17</v>
      </c>
      <c r="J261">
        <f>VLOOKUP(Demand_Data___Hourly_OverviewSearch_1_csv[[#This Row],[Date]],Supply_Data___Hourly_DriverActivity_1_csv__3[#All],3,FALSE)</f>
        <v>5</v>
      </c>
      <c r="K261">
        <f>VLOOKUP(Demand_Data___Hourly_OverviewSearch_1_csv[[#This Row],[Date]],Supply_Data___Hourly_DriverActivity_1_csv__3[#All],4,FALSE)</f>
        <v>0</v>
      </c>
      <c r="L261">
        <f>VLOOKUP(Demand_Data___Hourly_OverviewSearch_1_csv[[#This Row],[Date]],Supply_Data___Hourly_DriverActivity_1_csv__3[#All],5,FALSE)</f>
        <v>5</v>
      </c>
      <c r="M261">
        <f>VLOOKUP(Demand_Data___Hourly_OverviewSearch_1_csv[[#This Row],[Date]],Supply_Data___Hourly_DriverActivity_1_csv__3[#All],6,FALSE)</f>
        <v>0.3</v>
      </c>
      <c r="N261">
        <f>VLOOKUP(Demand_Data___Hourly_OverviewSearch_1_csv[[#This Row],[Date]],Supply_Data___Hourly_DriverActivity_1_csv__3[#All],7,FALSE)</f>
        <v>0</v>
      </c>
      <c r="O261">
        <f>VLOOKUP(Demand_Data___Hourly_OverviewSearch_1_csv[[#This Row],[Date]],Supply_Data___Hourly_DriverActivity_1_csv__3[#All],8,FALSE)</f>
        <v>0</v>
      </c>
      <c r="P261">
        <f>(Demand_Data___Hourly_OverviewSearch_1_csv[[#This Row],[People saw 0 cars (unique)]]+Demand_Data___Hourly_OverviewSearch_1_csv[[#This Row],[People saw +1 cars (unique)]])</f>
        <v>10</v>
      </c>
      <c r="Q261" s="143">
        <f t="shared" si="19"/>
        <v>5</v>
      </c>
    </row>
    <row r="262" spans="1:17" x14ac:dyDescent="0.3">
      <c r="A262" t="s">
        <v>268</v>
      </c>
      <c r="B262" t="str">
        <f t="shared" si="16"/>
        <v xml:space="preserve"> 03</v>
      </c>
      <c r="C262">
        <f t="shared" si="17"/>
        <v>4</v>
      </c>
      <c r="D262" t="str">
        <f t="shared" si="18"/>
        <v xml:space="preserve">2016-12-08 </v>
      </c>
      <c r="E262" t="str">
        <f>TEXT(Demand_Data___Hourly_OverviewSearch_1_csv[[#This Row],[Day]],"dddd")</f>
        <v>Wednesday</v>
      </c>
      <c r="F262">
        <v>7</v>
      </c>
      <c r="G262">
        <v>6</v>
      </c>
      <c r="H262">
        <v>46</v>
      </c>
      <c r="I262">
        <f>VLOOKUP(Demand_Data___Hourly_OverviewSearch_1_csv[[#This Row],[Date]],Supply_Data___Hourly_DriverActivity_1_csv__3[#All],2,FALSE)</f>
        <v>18</v>
      </c>
      <c r="J262">
        <f>VLOOKUP(Demand_Data___Hourly_OverviewSearch_1_csv[[#This Row],[Date]],Supply_Data___Hourly_DriverActivity_1_csv__3[#All],3,FALSE)</f>
        <v>6</v>
      </c>
      <c r="K262">
        <f>VLOOKUP(Demand_Data___Hourly_OverviewSearch_1_csv[[#This Row],[Date]],Supply_Data___Hourly_DriverActivity_1_csv__3[#All],4,FALSE)</f>
        <v>0</v>
      </c>
      <c r="L262">
        <f>VLOOKUP(Demand_Data___Hourly_OverviewSearch_1_csv[[#This Row],[Date]],Supply_Data___Hourly_DriverActivity_1_csv__3[#All],5,FALSE)</f>
        <v>6</v>
      </c>
      <c r="M262">
        <f>VLOOKUP(Demand_Data___Hourly_OverviewSearch_1_csv[[#This Row],[Date]],Supply_Data___Hourly_DriverActivity_1_csv__3[#All],6,FALSE)</f>
        <v>0.3</v>
      </c>
      <c r="N262">
        <f>VLOOKUP(Demand_Data___Hourly_OverviewSearch_1_csv[[#This Row],[Date]],Supply_Data___Hourly_DriverActivity_1_csv__3[#All],7,FALSE)</f>
        <v>0.17</v>
      </c>
      <c r="O262">
        <f>VLOOKUP(Demand_Data___Hourly_OverviewSearch_1_csv[[#This Row],[Date]],Supply_Data___Hourly_DriverActivity_1_csv__3[#All],8,FALSE)</f>
        <v>1</v>
      </c>
      <c r="P262">
        <f>(Demand_Data___Hourly_OverviewSearch_1_csv[[#This Row],[People saw 0 cars (unique)]]+Demand_Data___Hourly_OverviewSearch_1_csv[[#This Row],[People saw +1 cars (unique)]])</f>
        <v>13</v>
      </c>
      <c r="Q262" s="143">
        <f t="shared" si="19"/>
        <v>6</v>
      </c>
    </row>
    <row r="263" spans="1:17" x14ac:dyDescent="0.3">
      <c r="A263" t="s">
        <v>269</v>
      </c>
      <c r="B263" t="str">
        <f t="shared" si="16"/>
        <v xml:space="preserve"> 02</v>
      </c>
      <c r="C263">
        <f t="shared" si="17"/>
        <v>4</v>
      </c>
      <c r="D263" t="str">
        <f t="shared" si="18"/>
        <v xml:space="preserve">2016-12-08 </v>
      </c>
      <c r="E263" t="str">
        <f>TEXT(Demand_Data___Hourly_OverviewSearch_1_csv[[#This Row],[Day]],"dddd")</f>
        <v>Wednesday</v>
      </c>
      <c r="F263">
        <v>9</v>
      </c>
      <c r="G263">
        <v>10</v>
      </c>
      <c r="H263">
        <v>53</v>
      </c>
      <c r="I263">
        <f>VLOOKUP(Demand_Data___Hourly_OverviewSearch_1_csv[[#This Row],[Date]],Supply_Data___Hourly_DriverActivity_1_csv__3[#All],2,FALSE)</f>
        <v>28</v>
      </c>
      <c r="J263">
        <f>VLOOKUP(Demand_Data___Hourly_OverviewSearch_1_csv[[#This Row],[Date]],Supply_Data___Hourly_DriverActivity_1_csv__3[#All],3,FALSE)</f>
        <v>7</v>
      </c>
      <c r="K263">
        <f>VLOOKUP(Demand_Data___Hourly_OverviewSearch_1_csv[[#This Row],[Date]],Supply_Data___Hourly_DriverActivity_1_csv__3[#All],4,FALSE)</f>
        <v>1</v>
      </c>
      <c r="L263">
        <f>VLOOKUP(Demand_Data___Hourly_OverviewSearch_1_csv[[#This Row],[Date]],Supply_Data___Hourly_DriverActivity_1_csv__3[#All],5,FALSE)</f>
        <v>6</v>
      </c>
      <c r="M263">
        <f>VLOOKUP(Demand_Data___Hourly_OverviewSearch_1_csv[[#This Row],[Date]],Supply_Data___Hourly_DriverActivity_1_csv__3[#All],6,FALSE)</f>
        <v>0.3</v>
      </c>
      <c r="N263">
        <f>VLOOKUP(Demand_Data___Hourly_OverviewSearch_1_csv[[#This Row],[Date]],Supply_Data___Hourly_DriverActivity_1_csv__3[#All],7,FALSE)</f>
        <v>0.28999999999999998</v>
      </c>
      <c r="O263">
        <f>VLOOKUP(Demand_Data___Hourly_OverviewSearch_1_csv[[#This Row],[Date]],Supply_Data___Hourly_DriverActivity_1_csv__3[#All],8,FALSE)</f>
        <v>2</v>
      </c>
      <c r="P263">
        <f>(Demand_Data___Hourly_OverviewSearch_1_csv[[#This Row],[People saw 0 cars (unique)]]+Demand_Data___Hourly_OverviewSearch_1_csv[[#This Row],[People saw +1 cars (unique)]])</f>
        <v>19</v>
      </c>
      <c r="Q263" s="143">
        <f t="shared" si="19"/>
        <v>6</v>
      </c>
    </row>
    <row r="264" spans="1:17" x14ac:dyDescent="0.3">
      <c r="A264" t="s">
        <v>270</v>
      </c>
      <c r="B264" t="str">
        <f t="shared" si="16"/>
        <v xml:space="preserve"> 01</v>
      </c>
      <c r="C264">
        <f t="shared" si="17"/>
        <v>4</v>
      </c>
      <c r="D264" t="str">
        <f t="shared" si="18"/>
        <v xml:space="preserve">2016-12-08 </v>
      </c>
      <c r="E264" t="str">
        <f>TEXT(Demand_Data___Hourly_OverviewSearch_1_csv[[#This Row],[Day]],"dddd")</f>
        <v>Wednesday</v>
      </c>
      <c r="F264">
        <v>2</v>
      </c>
      <c r="G264">
        <v>14</v>
      </c>
      <c r="H264">
        <v>88</v>
      </c>
      <c r="I264">
        <f>VLOOKUP(Demand_Data___Hourly_OverviewSearch_1_csv[[#This Row],[Date]],Supply_Data___Hourly_DriverActivity_1_csv__3[#All],2,FALSE)</f>
        <v>48</v>
      </c>
      <c r="J264">
        <f>VLOOKUP(Demand_Data___Hourly_OverviewSearch_1_csv[[#This Row],[Date]],Supply_Data___Hourly_DriverActivity_1_csv__3[#All],3,FALSE)</f>
        <v>17</v>
      </c>
      <c r="K264">
        <f>VLOOKUP(Demand_Data___Hourly_OverviewSearch_1_csv[[#This Row],[Date]],Supply_Data___Hourly_DriverActivity_1_csv__3[#All],4,FALSE)</f>
        <v>3</v>
      </c>
      <c r="L264">
        <f>VLOOKUP(Demand_Data___Hourly_OverviewSearch_1_csv[[#This Row],[Date]],Supply_Data___Hourly_DriverActivity_1_csv__3[#All],5,FALSE)</f>
        <v>14</v>
      </c>
      <c r="M264">
        <f>VLOOKUP(Demand_Data___Hourly_OverviewSearch_1_csv[[#This Row],[Date]],Supply_Data___Hourly_DriverActivity_1_csv__3[#All],6,FALSE)</f>
        <v>0.4</v>
      </c>
      <c r="N264">
        <f>VLOOKUP(Demand_Data___Hourly_OverviewSearch_1_csv[[#This Row],[Date]],Supply_Data___Hourly_DriverActivity_1_csv__3[#All],7,FALSE)</f>
        <v>0.24</v>
      </c>
      <c r="O264">
        <f>VLOOKUP(Demand_Data___Hourly_OverviewSearch_1_csv[[#This Row],[Date]],Supply_Data___Hourly_DriverActivity_1_csv__3[#All],8,FALSE)</f>
        <v>4</v>
      </c>
      <c r="P264">
        <f>(Demand_Data___Hourly_OverviewSearch_1_csv[[#This Row],[People saw 0 cars (unique)]]+Demand_Data___Hourly_OverviewSearch_1_csv[[#This Row],[People saw +1 cars (unique)]])</f>
        <v>16</v>
      </c>
      <c r="Q264" s="143">
        <f t="shared" si="19"/>
        <v>14</v>
      </c>
    </row>
    <row r="265" spans="1:17" x14ac:dyDescent="0.3">
      <c r="A265" t="s">
        <v>271</v>
      </c>
      <c r="B265" t="str">
        <f t="shared" si="16"/>
        <v xml:space="preserve"> 00</v>
      </c>
      <c r="C265">
        <f t="shared" si="17"/>
        <v>4</v>
      </c>
      <c r="D265" t="str">
        <f t="shared" si="18"/>
        <v xml:space="preserve">2016-12-08 </v>
      </c>
      <c r="E265" t="str">
        <f>TEXT(Demand_Data___Hourly_OverviewSearch_1_csv[[#This Row],[Day]],"dddd")</f>
        <v>Wednesday</v>
      </c>
      <c r="F265">
        <v>9</v>
      </c>
      <c r="G265">
        <v>40</v>
      </c>
      <c r="H265">
        <v>82</v>
      </c>
      <c r="I265">
        <f>VLOOKUP(Demand_Data___Hourly_OverviewSearch_1_csv[[#This Row],[Date]],Supply_Data___Hourly_DriverActivity_1_csv__3[#All],2,FALSE)</f>
        <v>59</v>
      </c>
      <c r="J265">
        <f>VLOOKUP(Demand_Data___Hourly_OverviewSearch_1_csv[[#This Row],[Date]],Supply_Data___Hourly_DriverActivity_1_csv__3[#All],3,FALSE)</f>
        <v>21</v>
      </c>
      <c r="K265">
        <f>VLOOKUP(Demand_Data___Hourly_OverviewSearch_1_csv[[#This Row],[Date]],Supply_Data___Hourly_DriverActivity_1_csv__3[#All],4,FALSE)</f>
        <v>8</v>
      </c>
      <c r="L265">
        <f>VLOOKUP(Demand_Data___Hourly_OverviewSearch_1_csv[[#This Row],[Date]],Supply_Data___Hourly_DriverActivity_1_csv__3[#All],5,FALSE)</f>
        <v>13</v>
      </c>
      <c r="M265">
        <f>VLOOKUP(Demand_Data___Hourly_OverviewSearch_1_csv[[#This Row],[Date]],Supply_Data___Hourly_DriverActivity_1_csv__3[#All],6,FALSE)</f>
        <v>0.4</v>
      </c>
      <c r="N265">
        <f>VLOOKUP(Demand_Data___Hourly_OverviewSearch_1_csv[[#This Row],[Date]],Supply_Data___Hourly_DriverActivity_1_csv__3[#All],7,FALSE)</f>
        <v>0.95</v>
      </c>
      <c r="O265">
        <f>VLOOKUP(Demand_Data___Hourly_OverviewSearch_1_csv[[#This Row],[Date]],Supply_Data___Hourly_DriverActivity_1_csv__3[#All],8,FALSE)</f>
        <v>20</v>
      </c>
      <c r="P265">
        <f>(Demand_Data___Hourly_OverviewSearch_1_csv[[#This Row],[People saw 0 cars (unique)]]+Demand_Data___Hourly_OverviewSearch_1_csv[[#This Row],[People saw +1 cars (unique)]])</f>
        <v>49</v>
      </c>
      <c r="Q265" s="143">
        <f t="shared" si="19"/>
        <v>13</v>
      </c>
    </row>
    <row r="266" spans="1:17" x14ac:dyDescent="0.3">
      <c r="A266" t="s">
        <v>272</v>
      </c>
      <c r="B266" t="str">
        <f t="shared" si="16"/>
        <v xml:space="preserve"> 23</v>
      </c>
      <c r="C266">
        <f t="shared" si="17"/>
        <v>3</v>
      </c>
      <c r="D266" t="str">
        <f t="shared" si="18"/>
        <v xml:space="preserve">2016-12-07 </v>
      </c>
      <c r="E266" t="str">
        <f>TEXT(Demand_Data___Hourly_OverviewSearch_1_csv[[#This Row],[Day]],"dddd")</f>
        <v>Tuesday</v>
      </c>
      <c r="F266">
        <v>14</v>
      </c>
      <c r="G266">
        <v>49</v>
      </c>
      <c r="H266">
        <v>78</v>
      </c>
      <c r="I266">
        <f>VLOOKUP(Demand_Data___Hourly_OverviewSearch_1_csv[[#This Row],[Date]],Supply_Data___Hourly_DriverActivity_1_csv__3[#All],2,FALSE)</f>
        <v>77</v>
      </c>
      <c r="J266">
        <f>VLOOKUP(Demand_Data___Hourly_OverviewSearch_1_csv[[#This Row],[Date]],Supply_Data___Hourly_DriverActivity_1_csv__3[#All],3,FALSE)</f>
        <v>26</v>
      </c>
      <c r="K266">
        <f>VLOOKUP(Demand_Data___Hourly_OverviewSearch_1_csv[[#This Row],[Date]],Supply_Data___Hourly_DriverActivity_1_csv__3[#All],4,FALSE)</f>
        <v>10</v>
      </c>
      <c r="L266">
        <f>VLOOKUP(Demand_Data___Hourly_OverviewSearch_1_csv[[#This Row],[Date]],Supply_Data___Hourly_DriverActivity_1_csv__3[#All],5,FALSE)</f>
        <v>15</v>
      </c>
      <c r="M266">
        <f>VLOOKUP(Demand_Data___Hourly_OverviewSearch_1_csv[[#This Row],[Date]],Supply_Data___Hourly_DriverActivity_1_csv__3[#All],6,FALSE)</f>
        <v>0.3</v>
      </c>
      <c r="N266">
        <f>VLOOKUP(Demand_Data___Hourly_OverviewSearch_1_csv[[#This Row],[Date]],Supply_Data___Hourly_DriverActivity_1_csv__3[#All],7,FALSE)</f>
        <v>1.1499999999999999</v>
      </c>
      <c r="O266">
        <f>VLOOKUP(Demand_Data___Hourly_OverviewSearch_1_csv[[#This Row],[Date]],Supply_Data___Hourly_DriverActivity_1_csv__3[#All],8,FALSE)</f>
        <v>30</v>
      </c>
      <c r="P266">
        <f>(Demand_Data___Hourly_OverviewSearch_1_csv[[#This Row],[People saw 0 cars (unique)]]+Demand_Data___Hourly_OverviewSearch_1_csv[[#This Row],[People saw +1 cars (unique)]])</f>
        <v>63</v>
      </c>
      <c r="Q266" s="143">
        <f t="shared" si="19"/>
        <v>16</v>
      </c>
    </row>
    <row r="267" spans="1:17" x14ac:dyDescent="0.3">
      <c r="A267" t="s">
        <v>273</v>
      </c>
      <c r="B267" t="str">
        <f t="shared" si="16"/>
        <v xml:space="preserve"> 22</v>
      </c>
      <c r="C267">
        <f t="shared" si="17"/>
        <v>3</v>
      </c>
      <c r="D267" t="str">
        <f t="shared" si="18"/>
        <v xml:space="preserve">2016-12-07 </v>
      </c>
      <c r="E267" t="str">
        <f>TEXT(Demand_Data___Hourly_OverviewSearch_1_csv[[#This Row],[Day]],"dddd")</f>
        <v>Tuesday</v>
      </c>
      <c r="F267">
        <v>11</v>
      </c>
      <c r="G267">
        <v>49</v>
      </c>
      <c r="H267">
        <v>82</v>
      </c>
      <c r="I267">
        <f>VLOOKUP(Demand_Data___Hourly_OverviewSearch_1_csv[[#This Row],[Date]],Supply_Data___Hourly_DriverActivity_1_csv__3[#All],2,FALSE)</f>
        <v>93</v>
      </c>
      <c r="J267">
        <f>VLOOKUP(Demand_Data___Hourly_OverviewSearch_1_csv[[#This Row],[Date]],Supply_Data___Hourly_DriverActivity_1_csv__3[#All],3,FALSE)</f>
        <v>28</v>
      </c>
      <c r="K267">
        <f>VLOOKUP(Demand_Data___Hourly_OverviewSearch_1_csv[[#This Row],[Date]],Supply_Data___Hourly_DriverActivity_1_csv__3[#All],4,FALSE)</f>
        <v>6</v>
      </c>
      <c r="L267">
        <f>VLOOKUP(Demand_Data___Hourly_OverviewSearch_1_csv[[#This Row],[Date]],Supply_Data___Hourly_DriverActivity_1_csv__3[#All],5,FALSE)</f>
        <v>22</v>
      </c>
      <c r="M267">
        <f>VLOOKUP(Demand_Data___Hourly_OverviewSearch_1_csv[[#This Row],[Date]],Supply_Data___Hourly_DriverActivity_1_csv__3[#All],6,FALSE)</f>
        <v>0.3</v>
      </c>
      <c r="N267">
        <f>VLOOKUP(Demand_Data___Hourly_OverviewSearch_1_csv[[#This Row],[Date]],Supply_Data___Hourly_DriverActivity_1_csv__3[#All],7,FALSE)</f>
        <v>0.71</v>
      </c>
      <c r="O267">
        <f>VLOOKUP(Demand_Data___Hourly_OverviewSearch_1_csv[[#This Row],[Date]],Supply_Data___Hourly_DriverActivity_1_csv__3[#All],8,FALSE)</f>
        <v>20</v>
      </c>
      <c r="P267">
        <f>(Demand_Data___Hourly_OverviewSearch_1_csv[[#This Row],[People saw 0 cars (unique)]]+Demand_Data___Hourly_OverviewSearch_1_csv[[#This Row],[People saw +1 cars (unique)]])</f>
        <v>60</v>
      </c>
      <c r="Q267" s="143">
        <f t="shared" si="19"/>
        <v>22</v>
      </c>
    </row>
    <row r="268" spans="1:17" x14ac:dyDescent="0.3">
      <c r="A268" t="s">
        <v>274</v>
      </c>
      <c r="B268" t="str">
        <f t="shared" si="16"/>
        <v xml:space="preserve"> 21</v>
      </c>
      <c r="C268">
        <f t="shared" si="17"/>
        <v>3</v>
      </c>
      <c r="D268" t="str">
        <f t="shared" si="18"/>
        <v xml:space="preserve">2016-12-07 </v>
      </c>
      <c r="E268" t="str">
        <f>TEXT(Demand_Data___Hourly_OverviewSearch_1_csv[[#This Row],[Day]],"dddd")</f>
        <v>Tuesday</v>
      </c>
      <c r="F268">
        <v>5</v>
      </c>
      <c r="G268">
        <v>50</v>
      </c>
      <c r="H268">
        <v>91</v>
      </c>
      <c r="I268">
        <f>VLOOKUP(Demand_Data___Hourly_OverviewSearch_1_csv[[#This Row],[Date]],Supply_Data___Hourly_DriverActivity_1_csv__3[#All],2,FALSE)</f>
        <v>104</v>
      </c>
      <c r="J268">
        <f>VLOOKUP(Demand_Data___Hourly_OverviewSearch_1_csv[[#This Row],[Date]],Supply_Data___Hourly_DriverActivity_1_csv__3[#All],3,FALSE)</f>
        <v>36</v>
      </c>
      <c r="K268">
        <f>VLOOKUP(Demand_Data___Hourly_OverviewSearch_1_csv[[#This Row],[Date]],Supply_Data___Hourly_DriverActivity_1_csv__3[#All],4,FALSE)</f>
        <v>8</v>
      </c>
      <c r="L268">
        <f>VLOOKUP(Demand_Data___Hourly_OverviewSearch_1_csv[[#This Row],[Date]],Supply_Data___Hourly_DriverActivity_1_csv__3[#All],5,FALSE)</f>
        <v>28</v>
      </c>
      <c r="M268">
        <f>VLOOKUP(Demand_Data___Hourly_OverviewSearch_1_csv[[#This Row],[Date]],Supply_Data___Hourly_DriverActivity_1_csv__3[#All],6,FALSE)</f>
        <v>0.3</v>
      </c>
      <c r="N268">
        <f>VLOOKUP(Demand_Data___Hourly_OverviewSearch_1_csv[[#This Row],[Date]],Supply_Data___Hourly_DriverActivity_1_csv__3[#All],7,FALSE)</f>
        <v>0.61</v>
      </c>
      <c r="O268">
        <f>VLOOKUP(Demand_Data___Hourly_OverviewSearch_1_csv[[#This Row],[Date]],Supply_Data___Hourly_DriverActivity_1_csv__3[#All],8,FALSE)</f>
        <v>22</v>
      </c>
      <c r="P268">
        <f>(Demand_Data___Hourly_OverviewSearch_1_csv[[#This Row],[People saw 0 cars (unique)]]+Demand_Data___Hourly_OverviewSearch_1_csv[[#This Row],[People saw +1 cars (unique)]])</f>
        <v>55</v>
      </c>
      <c r="Q268" s="143">
        <f t="shared" si="19"/>
        <v>28</v>
      </c>
    </row>
    <row r="269" spans="1:17" x14ac:dyDescent="0.3">
      <c r="A269" t="s">
        <v>275</v>
      </c>
      <c r="B269" t="str">
        <f t="shared" si="16"/>
        <v xml:space="preserve"> 20</v>
      </c>
      <c r="C269">
        <f t="shared" si="17"/>
        <v>3</v>
      </c>
      <c r="D269" t="str">
        <f t="shared" si="18"/>
        <v xml:space="preserve">2016-12-07 </v>
      </c>
      <c r="E269" t="str">
        <f>TEXT(Demand_Data___Hourly_OverviewSearch_1_csv[[#This Row],[Day]],"dddd")</f>
        <v>Tuesday</v>
      </c>
      <c r="F269">
        <v>10</v>
      </c>
      <c r="G269">
        <v>66</v>
      </c>
      <c r="H269">
        <v>87</v>
      </c>
      <c r="I269">
        <f>VLOOKUP(Demand_Data___Hourly_OverviewSearch_1_csv[[#This Row],[Date]],Supply_Data___Hourly_DriverActivity_1_csv__3[#All],2,FALSE)</f>
        <v>97</v>
      </c>
      <c r="J269">
        <f>VLOOKUP(Demand_Data___Hourly_OverviewSearch_1_csv[[#This Row],[Date]],Supply_Data___Hourly_DriverActivity_1_csv__3[#All],3,FALSE)</f>
        <v>36</v>
      </c>
      <c r="K269">
        <f>VLOOKUP(Demand_Data___Hourly_OverviewSearch_1_csv[[#This Row],[Date]],Supply_Data___Hourly_DriverActivity_1_csv__3[#All],4,FALSE)</f>
        <v>13</v>
      </c>
      <c r="L269">
        <f>VLOOKUP(Demand_Data___Hourly_OverviewSearch_1_csv[[#This Row],[Date]],Supply_Data___Hourly_DriverActivity_1_csv__3[#All],5,FALSE)</f>
        <v>23</v>
      </c>
      <c r="M269">
        <f>VLOOKUP(Demand_Data___Hourly_OverviewSearch_1_csv[[#This Row],[Date]],Supply_Data___Hourly_DriverActivity_1_csv__3[#All],6,FALSE)</f>
        <v>0.4</v>
      </c>
      <c r="N269">
        <f>VLOOKUP(Demand_Data___Hourly_OverviewSearch_1_csv[[#This Row],[Date]],Supply_Data___Hourly_DriverActivity_1_csv__3[#All],7,FALSE)</f>
        <v>0.75</v>
      </c>
      <c r="O269">
        <f>VLOOKUP(Demand_Data___Hourly_OverviewSearch_1_csv[[#This Row],[Date]],Supply_Data___Hourly_DriverActivity_1_csv__3[#All],8,FALSE)</f>
        <v>27</v>
      </c>
      <c r="P269">
        <f>(Demand_Data___Hourly_OverviewSearch_1_csv[[#This Row],[People saw 0 cars (unique)]]+Demand_Data___Hourly_OverviewSearch_1_csv[[#This Row],[People saw +1 cars (unique)]])</f>
        <v>76</v>
      </c>
      <c r="Q269" s="143">
        <f t="shared" si="19"/>
        <v>23</v>
      </c>
    </row>
    <row r="270" spans="1:17" x14ac:dyDescent="0.3">
      <c r="A270" t="s">
        <v>276</v>
      </c>
      <c r="B270" t="str">
        <f t="shared" si="16"/>
        <v xml:space="preserve"> 19</v>
      </c>
      <c r="C270">
        <f t="shared" si="17"/>
        <v>3</v>
      </c>
      <c r="D270" t="str">
        <f t="shared" si="18"/>
        <v xml:space="preserve">2016-12-07 </v>
      </c>
      <c r="E270" t="str">
        <f>TEXT(Demand_Data___Hourly_OverviewSearch_1_csv[[#This Row],[Day]],"dddd")</f>
        <v>Tuesday</v>
      </c>
      <c r="F270">
        <v>45</v>
      </c>
      <c r="G270">
        <v>77</v>
      </c>
      <c r="H270">
        <v>63</v>
      </c>
      <c r="I270">
        <f>VLOOKUP(Demand_Data___Hourly_OverviewSearch_1_csv[[#This Row],[Date]],Supply_Data___Hourly_DriverActivity_1_csv__3[#All],2,FALSE)</f>
        <v>101</v>
      </c>
      <c r="J270">
        <f>VLOOKUP(Demand_Data___Hourly_OverviewSearch_1_csv[[#This Row],[Date]],Supply_Data___Hourly_DriverActivity_1_csv__3[#All],3,FALSE)</f>
        <v>35</v>
      </c>
      <c r="K270">
        <f>VLOOKUP(Demand_Data___Hourly_OverviewSearch_1_csv[[#This Row],[Date]],Supply_Data___Hourly_DriverActivity_1_csv__3[#All],4,FALSE)</f>
        <v>21</v>
      </c>
      <c r="L270">
        <f>VLOOKUP(Demand_Data___Hourly_OverviewSearch_1_csv[[#This Row],[Date]],Supply_Data___Hourly_DriverActivity_1_csv__3[#All],5,FALSE)</f>
        <v>14</v>
      </c>
      <c r="M270">
        <f>VLOOKUP(Demand_Data___Hourly_OverviewSearch_1_csv[[#This Row],[Date]],Supply_Data___Hourly_DriverActivity_1_csv__3[#All],6,FALSE)</f>
        <v>0.3</v>
      </c>
      <c r="N270">
        <f>VLOOKUP(Demand_Data___Hourly_OverviewSearch_1_csv[[#This Row],[Date]],Supply_Data___Hourly_DriverActivity_1_csv__3[#All],7,FALSE)</f>
        <v>0.89</v>
      </c>
      <c r="O270">
        <f>VLOOKUP(Demand_Data___Hourly_OverviewSearch_1_csv[[#This Row],[Date]],Supply_Data___Hourly_DriverActivity_1_csv__3[#All],8,FALSE)</f>
        <v>31</v>
      </c>
      <c r="P270">
        <f>(Demand_Data___Hourly_OverviewSearch_1_csv[[#This Row],[People saw 0 cars (unique)]]+Demand_Data___Hourly_OverviewSearch_1_csv[[#This Row],[People saw +1 cars (unique)]])</f>
        <v>122</v>
      </c>
      <c r="Q270" s="143">
        <f t="shared" si="19"/>
        <v>14</v>
      </c>
    </row>
    <row r="271" spans="1:17" x14ac:dyDescent="0.3">
      <c r="A271" t="s">
        <v>277</v>
      </c>
      <c r="B271" t="str">
        <f t="shared" si="16"/>
        <v xml:space="preserve"> 18</v>
      </c>
      <c r="C271">
        <f t="shared" si="17"/>
        <v>3</v>
      </c>
      <c r="D271" t="str">
        <f t="shared" si="18"/>
        <v xml:space="preserve">2016-12-07 </v>
      </c>
      <c r="E271" t="str">
        <f>TEXT(Demand_Data___Hourly_OverviewSearch_1_csv[[#This Row],[Day]],"dddd")</f>
        <v>Tuesday</v>
      </c>
      <c r="F271">
        <v>52</v>
      </c>
      <c r="G271">
        <v>71</v>
      </c>
      <c r="H271">
        <v>58</v>
      </c>
      <c r="I271">
        <f>VLOOKUP(Demand_Data___Hourly_OverviewSearch_1_csv[[#This Row],[Date]],Supply_Data___Hourly_DriverActivity_1_csv__3[#All],2,FALSE)</f>
        <v>88</v>
      </c>
      <c r="J271">
        <f>VLOOKUP(Demand_Data___Hourly_OverviewSearch_1_csv[[#This Row],[Date]],Supply_Data___Hourly_DriverActivity_1_csv__3[#All],3,FALSE)</f>
        <v>24</v>
      </c>
      <c r="K271">
        <f>VLOOKUP(Demand_Data___Hourly_OverviewSearch_1_csv[[#This Row],[Date]],Supply_Data___Hourly_DriverActivity_1_csv__3[#All],4,FALSE)</f>
        <v>13</v>
      </c>
      <c r="L271">
        <f>VLOOKUP(Demand_Data___Hourly_OverviewSearch_1_csv[[#This Row],[Date]],Supply_Data___Hourly_DriverActivity_1_csv__3[#All],5,FALSE)</f>
        <v>11</v>
      </c>
      <c r="M271">
        <f>VLOOKUP(Demand_Data___Hourly_OverviewSearch_1_csv[[#This Row],[Date]],Supply_Data___Hourly_DriverActivity_1_csv__3[#All],6,FALSE)</f>
        <v>0.3</v>
      </c>
      <c r="N271">
        <f>VLOOKUP(Demand_Data___Hourly_OverviewSearch_1_csv[[#This Row],[Date]],Supply_Data___Hourly_DriverActivity_1_csv__3[#All],7,FALSE)</f>
        <v>1.08</v>
      </c>
      <c r="O271">
        <f>VLOOKUP(Demand_Data___Hourly_OverviewSearch_1_csv[[#This Row],[Date]],Supply_Data___Hourly_DriverActivity_1_csv__3[#All],8,FALSE)</f>
        <v>26</v>
      </c>
      <c r="P271">
        <f>(Demand_Data___Hourly_OverviewSearch_1_csv[[#This Row],[People saw 0 cars (unique)]]+Demand_Data___Hourly_OverviewSearch_1_csv[[#This Row],[People saw +1 cars (unique)]])</f>
        <v>123</v>
      </c>
      <c r="Q271" s="143">
        <f t="shared" si="19"/>
        <v>11</v>
      </c>
    </row>
    <row r="272" spans="1:17" x14ac:dyDescent="0.3">
      <c r="A272" t="s">
        <v>278</v>
      </c>
      <c r="B272" t="str">
        <f t="shared" si="16"/>
        <v xml:space="preserve"> 17</v>
      </c>
      <c r="C272">
        <f t="shared" si="17"/>
        <v>3</v>
      </c>
      <c r="D272" t="str">
        <f t="shared" si="18"/>
        <v xml:space="preserve">2016-12-07 </v>
      </c>
      <c r="E272" t="str">
        <f>TEXT(Demand_Data___Hourly_OverviewSearch_1_csv[[#This Row],[Day]],"dddd")</f>
        <v>Tuesday</v>
      </c>
      <c r="F272">
        <v>5</v>
      </c>
      <c r="G272">
        <v>48</v>
      </c>
      <c r="H272">
        <v>91</v>
      </c>
      <c r="I272">
        <f>VLOOKUP(Demand_Data___Hourly_OverviewSearch_1_csv[[#This Row],[Date]],Supply_Data___Hourly_DriverActivity_1_csv__3[#All],2,FALSE)</f>
        <v>106</v>
      </c>
      <c r="J272">
        <f>VLOOKUP(Demand_Data___Hourly_OverviewSearch_1_csv[[#This Row],[Date]],Supply_Data___Hourly_DriverActivity_1_csv__3[#All],3,FALSE)</f>
        <v>35</v>
      </c>
      <c r="K272">
        <f>VLOOKUP(Demand_Data___Hourly_OverviewSearch_1_csv[[#This Row],[Date]],Supply_Data___Hourly_DriverActivity_1_csv__3[#All],4,FALSE)</f>
        <v>12</v>
      </c>
      <c r="L272">
        <f>VLOOKUP(Demand_Data___Hourly_OverviewSearch_1_csv[[#This Row],[Date]],Supply_Data___Hourly_DriverActivity_1_csv__3[#All],5,FALSE)</f>
        <v>23</v>
      </c>
      <c r="M272">
        <f>VLOOKUP(Demand_Data___Hourly_OverviewSearch_1_csv[[#This Row],[Date]],Supply_Data___Hourly_DriverActivity_1_csv__3[#All],6,FALSE)</f>
        <v>0.3</v>
      </c>
      <c r="N272">
        <f>VLOOKUP(Demand_Data___Hourly_OverviewSearch_1_csv[[#This Row],[Date]],Supply_Data___Hourly_DriverActivity_1_csv__3[#All],7,FALSE)</f>
        <v>0.49</v>
      </c>
      <c r="O272">
        <f>VLOOKUP(Demand_Data___Hourly_OverviewSearch_1_csv[[#This Row],[Date]],Supply_Data___Hourly_DriverActivity_1_csv__3[#All],8,FALSE)</f>
        <v>17</v>
      </c>
      <c r="P272">
        <f>(Demand_Data___Hourly_OverviewSearch_1_csv[[#This Row],[People saw 0 cars (unique)]]+Demand_Data___Hourly_OverviewSearch_1_csv[[#This Row],[People saw +1 cars (unique)]])</f>
        <v>53</v>
      </c>
      <c r="Q272" s="143">
        <f t="shared" si="19"/>
        <v>23</v>
      </c>
    </row>
    <row r="273" spans="1:17" x14ac:dyDescent="0.3">
      <c r="A273" t="s">
        <v>279</v>
      </c>
      <c r="B273" t="str">
        <f t="shared" si="16"/>
        <v xml:space="preserve"> 16</v>
      </c>
      <c r="C273">
        <f t="shared" si="17"/>
        <v>3</v>
      </c>
      <c r="D273" t="str">
        <f t="shared" si="18"/>
        <v xml:space="preserve">2016-12-07 </v>
      </c>
      <c r="E273" t="str">
        <f>TEXT(Demand_Data___Hourly_OverviewSearch_1_csv[[#This Row],[Day]],"dddd")</f>
        <v>Tuesday</v>
      </c>
      <c r="F273">
        <v>4</v>
      </c>
      <c r="G273">
        <v>26</v>
      </c>
      <c r="H273">
        <v>87</v>
      </c>
      <c r="I273">
        <f>VLOOKUP(Demand_Data___Hourly_OverviewSearch_1_csv[[#This Row],[Date]],Supply_Data___Hourly_DriverActivity_1_csv__3[#All],2,FALSE)</f>
        <v>95</v>
      </c>
      <c r="J273">
        <f>VLOOKUP(Demand_Data___Hourly_OverviewSearch_1_csv[[#This Row],[Date]],Supply_Data___Hourly_DriverActivity_1_csv__3[#All],3,FALSE)</f>
        <v>31</v>
      </c>
      <c r="K273">
        <f>VLOOKUP(Demand_Data___Hourly_OverviewSearch_1_csv[[#This Row],[Date]],Supply_Data___Hourly_DriverActivity_1_csv__3[#All],4,FALSE)</f>
        <v>5</v>
      </c>
      <c r="L273">
        <f>VLOOKUP(Demand_Data___Hourly_OverviewSearch_1_csv[[#This Row],[Date]],Supply_Data___Hourly_DriverActivity_1_csv__3[#All],5,FALSE)</f>
        <v>25</v>
      </c>
      <c r="M273">
        <f>VLOOKUP(Demand_Data___Hourly_OverviewSearch_1_csv[[#This Row],[Date]],Supply_Data___Hourly_DriverActivity_1_csv__3[#All],6,FALSE)</f>
        <v>0.3</v>
      </c>
      <c r="N273">
        <f>VLOOKUP(Demand_Data___Hourly_OverviewSearch_1_csv[[#This Row],[Date]],Supply_Data___Hourly_DriverActivity_1_csv__3[#All],7,FALSE)</f>
        <v>0.35</v>
      </c>
      <c r="O273">
        <f>VLOOKUP(Demand_Data___Hourly_OverviewSearch_1_csv[[#This Row],[Date]],Supply_Data___Hourly_DriverActivity_1_csv__3[#All],8,FALSE)</f>
        <v>11</v>
      </c>
      <c r="P273">
        <f>(Demand_Data___Hourly_OverviewSearch_1_csv[[#This Row],[People saw 0 cars (unique)]]+Demand_Data___Hourly_OverviewSearch_1_csv[[#This Row],[People saw +1 cars (unique)]])</f>
        <v>30</v>
      </c>
      <c r="Q273" s="143">
        <f t="shared" si="19"/>
        <v>26</v>
      </c>
    </row>
    <row r="274" spans="1:17" x14ac:dyDescent="0.3">
      <c r="A274" t="s">
        <v>280</v>
      </c>
      <c r="B274" t="str">
        <f t="shared" si="16"/>
        <v xml:space="preserve"> 15</v>
      </c>
      <c r="C274">
        <f t="shared" si="17"/>
        <v>3</v>
      </c>
      <c r="D274" t="str">
        <f t="shared" si="18"/>
        <v xml:space="preserve">2016-12-07 </v>
      </c>
      <c r="E274" t="str">
        <f>TEXT(Demand_Data___Hourly_OverviewSearch_1_csv[[#This Row],[Day]],"dddd")</f>
        <v>Tuesday</v>
      </c>
      <c r="F274">
        <v>4</v>
      </c>
      <c r="G274">
        <v>34</v>
      </c>
      <c r="H274">
        <v>89</v>
      </c>
      <c r="I274">
        <f>VLOOKUP(Demand_Data___Hourly_OverviewSearch_1_csv[[#This Row],[Date]],Supply_Data___Hourly_DriverActivity_1_csv__3[#All],2,FALSE)</f>
        <v>84</v>
      </c>
      <c r="J274">
        <f>VLOOKUP(Demand_Data___Hourly_OverviewSearch_1_csv[[#This Row],[Date]],Supply_Data___Hourly_DriverActivity_1_csv__3[#All],3,FALSE)</f>
        <v>26</v>
      </c>
      <c r="K274">
        <f>VLOOKUP(Demand_Data___Hourly_OverviewSearch_1_csv[[#This Row],[Date]],Supply_Data___Hourly_DriverActivity_1_csv__3[#All],4,FALSE)</f>
        <v>4</v>
      </c>
      <c r="L274">
        <f>VLOOKUP(Demand_Data___Hourly_OverviewSearch_1_csv[[#This Row],[Date]],Supply_Data___Hourly_DriverActivity_1_csv__3[#All],5,FALSE)</f>
        <v>22</v>
      </c>
      <c r="M274">
        <f>VLOOKUP(Demand_Data___Hourly_OverviewSearch_1_csv[[#This Row],[Date]],Supply_Data___Hourly_DriverActivity_1_csv__3[#All],6,FALSE)</f>
        <v>0.3</v>
      </c>
      <c r="N274">
        <f>VLOOKUP(Demand_Data___Hourly_OverviewSearch_1_csv[[#This Row],[Date]],Supply_Data___Hourly_DriverActivity_1_csv__3[#All],7,FALSE)</f>
        <v>0.31</v>
      </c>
      <c r="O274">
        <f>VLOOKUP(Demand_Data___Hourly_OverviewSearch_1_csv[[#This Row],[Date]],Supply_Data___Hourly_DriverActivity_1_csv__3[#All],8,FALSE)</f>
        <v>8</v>
      </c>
      <c r="P274">
        <f>(Demand_Data___Hourly_OverviewSearch_1_csv[[#This Row],[People saw 0 cars (unique)]]+Demand_Data___Hourly_OverviewSearch_1_csv[[#This Row],[People saw +1 cars (unique)]])</f>
        <v>38</v>
      </c>
      <c r="Q274" s="143">
        <f t="shared" si="19"/>
        <v>22</v>
      </c>
    </row>
    <row r="275" spans="1:17" x14ac:dyDescent="0.3">
      <c r="A275" t="s">
        <v>281</v>
      </c>
      <c r="B275" t="str">
        <f t="shared" si="16"/>
        <v xml:space="preserve"> 14</v>
      </c>
      <c r="C275">
        <f t="shared" si="17"/>
        <v>3</v>
      </c>
      <c r="D275" t="str">
        <f t="shared" si="18"/>
        <v xml:space="preserve">2016-12-07 </v>
      </c>
      <c r="E275" t="str">
        <f>TEXT(Demand_Data___Hourly_OverviewSearch_1_csv[[#This Row],[Day]],"dddd")</f>
        <v>Tuesday</v>
      </c>
      <c r="F275">
        <v>9</v>
      </c>
      <c r="G275">
        <v>40</v>
      </c>
      <c r="H275">
        <v>82</v>
      </c>
      <c r="I275">
        <f>VLOOKUP(Demand_Data___Hourly_OverviewSearch_1_csv[[#This Row],[Date]],Supply_Data___Hourly_DriverActivity_1_csv__3[#All],2,FALSE)</f>
        <v>79</v>
      </c>
      <c r="J275">
        <f>VLOOKUP(Demand_Data___Hourly_OverviewSearch_1_csv[[#This Row],[Date]],Supply_Data___Hourly_DriverActivity_1_csv__3[#All],3,FALSE)</f>
        <v>24</v>
      </c>
      <c r="K275">
        <f>VLOOKUP(Demand_Data___Hourly_OverviewSearch_1_csv[[#This Row],[Date]],Supply_Data___Hourly_DriverActivity_1_csv__3[#All],4,FALSE)</f>
        <v>3</v>
      </c>
      <c r="L275">
        <f>VLOOKUP(Demand_Data___Hourly_OverviewSearch_1_csv[[#This Row],[Date]],Supply_Data___Hourly_DriverActivity_1_csv__3[#All],5,FALSE)</f>
        <v>21</v>
      </c>
      <c r="M275">
        <f>VLOOKUP(Demand_Data___Hourly_OverviewSearch_1_csv[[#This Row],[Date]],Supply_Data___Hourly_DriverActivity_1_csv__3[#All],6,FALSE)</f>
        <v>0.3</v>
      </c>
      <c r="N275">
        <f>VLOOKUP(Demand_Data___Hourly_OverviewSearch_1_csv[[#This Row],[Date]],Supply_Data___Hourly_DriverActivity_1_csv__3[#All],7,FALSE)</f>
        <v>0.38</v>
      </c>
      <c r="O275">
        <f>VLOOKUP(Demand_Data___Hourly_OverviewSearch_1_csv[[#This Row],[Date]],Supply_Data___Hourly_DriverActivity_1_csv__3[#All],8,FALSE)</f>
        <v>9</v>
      </c>
      <c r="P275">
        <f>(Demand_Data___Hourly_OverviewSearch_1_csv[[#This Row],[People saw 0 cars (unique)]]+Demand_Data___Hourly_OverviewSearch_1_csv[[#This Row],[People saw +1 cars (unique)]])</f>
        <v>49</v>
      </c>
      <c r="Q275" s="143">
        <f t="shared" si="19"/>
        <v>21</v>
      </c>
    </row>
    <row r="276" spans="1:17" x14ac:dyDescent="0.3">
      <c r="A276" t="s">
        <v>282</v>
      </c>
      <c r="B276" t="str">
        <f t="shared" si="16"/>
        <v xml:space="preserve"> 13</v>
      </c>
      <c r="C276">
        <f t="shared" si="17"/>
        <v>3</v>
      </c>
      <c r="D276" t="str">
        <f t="shared" si="18"/>
        <v xml:space="preserve">2016-12-07 </v>
      </c>
      <c r="E276" t="str">
        <f>TEXT(Demand_Data___Hourly_OverviewSearch_1_csv[[#This Row],[Day]],"dddd")</f>
        <v>Tuesday</v>
      </c>
      <c r="F276">
        <v>7</v>
      </c>
      <c r="G276">
        <v>32</v>
      </c>
      <c r="H276">
        <v>82</v>
      </c>
      <c r="I276">
        <f>VLOOKUP(Demand_Data___Hourly_OverviewSearch_1_csv[[#This Row],[Date]],Supply_Data___Hourly_DriverActivity_1_csv__3[#All],2,FALSE)</f>
        <v>80</v>
      </c>
      <c r="J276">
        <f>VLOOKUP(Demand_Data___Hourly_OverviewSearch_1_csv[[#This Row],[Date]],Supply_Data___Hourly_DriverActivity_1_csv__3[#All],3,FALSE)</f>
        <v>26</v>
      </c>
      <c r="K276">
        <f>VLOOKUP(Demand_Data___Hourly_OverviewSearch_1_csv[[#This Row],[Date]],Supply_Data___Hourly_DriverActivity_1_csv__3[#All],4,FALSE)</f>
        <v>4</v>
      </c>
      <c r="L276">
        <f>VLOOKUP(Demand_Data___Hourly_OverviewSearch_1_csv[[#This Row],[Date]],Supply_Data___Hourly_DriverActivity_1_csv__3[#All],5,FALSE)</f>
        <v>22</v>
      </c>
      <c r="M276">
        <f>VLOOKUP(Demand_Data___Hourly_OverviewSearch_1_csv[[#This Row],[Date]],Supply_Data___Hourly_DriverActivity_1_csv__3[#All],6,FALSE)</f>
        <v>0.3</v>
      </c>
      <c r="N276">
        <f>VLOOKUP(Demand_Data___Hourly_OverviewSearch_1_csv[[#This Row],[Date]],Supply_Data___Hourly_DriverActivity_1_csv__3[#All],7,FALSE)</f>
        <v>0.31</v>
      </c>
      <c r="O276">
        <f>VLOOKUP(Demand_Data___Hourly_OverviewSearch_1_csv[[#This Row],[Date]],Supply_Data___Hourly_DriverActivity_1_csv__3[#All],8,FALSE)</f>
        <v>8</v>
      </c>
      <c r="P276">
        <f>(Demand_Data___Hourly_OverviewSearch_1_csv[[#This Row],[People saw 0 cars (unique)]]+Demand_Data___Hourly_OverviewSearch_1_csv[[#This Row],[People saw +1 cars (unique)]])</f>
        <v>39</v>
      </c>
      <c r="Q276" s="143">
        <f t="shared" si="19"/>
        <v>22</v>
      </c>
    </row>
    <row r="277" spans="1:17" x14ac:dyDescent="0.3">
      <c r="A277" t="s">
        <v>283</v>
      </c>
      <c r="B277" t="str">
        <f t="shared" si="16"/>
        <v xml:space="preserve"> 12</v>
      </c>
      <c r="C277">
        <f t="shared" si="17"/>
        <v>3</v>
      </c>
      <c r="D277" t="str">
        <f t="shared" si="18"/>
        <v xml:space="preserve">2016-12-07 </v>
      </c>
      <c r="E277" t="str">
        <f>TEXT(Demand_Data___Hourly_OverviewSearch_1_csv[[#This Row],[Day]],"dddd")</f>
        <v>Tuesday</v>
      </c>
      <c r="F277">
        <v>3</v>
      </c>
      <c r="G277">
        <v>29</v>
      </c>
      <c r="H277">
        <v>91</v>
      </c>
      <c r="I277">
        <f>VLOOKUP(Demand_Data___Hourly_OverviewSearch_1_csv[[#This Row],[Date]],Supply_Data___Hourly_DriverActivity_1_csv__3[#All],2,FALSE)</f>
        <v>76</v>
      </c>
      <c r="J277">
        <f>VLOOKUP(Demand_Data___Hourly_OverviewSearch_1_csv[[#This Row],[Date]],Supply_Data___Hourly_DriverActivity_1_csv__3[#All],3,FALSE)</f>
        <v>23</v>
      </c>
      <c r="K277">
        <f>VLOOKUP(Demand_Data___Hourly_OverviewSearch_1_csv[[#This Row],[Date]],Supply_Data___Hourly_DriverActivity_1_csv__3[#All],4,FALSE)</f>
        <v>4</v>
      </c>
      <c r="L277">
        <f>VLOOKUP(Demand_Data___Hourly_OverviewSearch_1_csv[[#This Row],[Date]],Supply_Data___Hourly_DriverActivity_1_csv__3[#All],5,FALSE)</f>
        <v>19</v>
      </c>
      <c r="M277">
        <f>VLOOKUP(Demand_Data___Hourly_OverviewSearch_1_csv[[#This Row],[Date]],Supply_Data___Hourly_DriverActivity_1_csv__3[#All],6,FALSE)</f>
        <v>0.3</v>
      </c>
      <c r="N277">
        <f>VLOOKUP(Demand_Data___Hourly_OverviewSearch_1_csv[[#This Row],[Date]],Supply_Data___Hourly_DriverActivity_1_csv__3[#All],7,FALSE)</f>
        <v>0.26</v>
      </c>
      <c r="O277">
        <f>VLOOKUP(Demand_Data___Hourly_OverviewSearch_1_csv[[#This Row],[Date]],Supply_Data___Hourly_DriverActivity_1_csv__3[#All],8,FALSE)</f>
        <v>6</v>
      </c>
      <c r="P277">
        <f>(Demand_Data___Hourly_OverviewSearch_1_csv[[#This Row],[People saw 0 cars (unique)]]+Demand_Data___Hourly_OverviewSearch_1_csv[[#This Row],[People saw +1 cars (unique)]])</f>
        <v>32</v>
      </c>
      <c r="Q277" s="143">
        <f t="shared" si="19"/>
        <v>19</v>
      </c>
    </row>
    <row r="278" spans="1:17" x14ac:dyDescent="0.3">
      <c r="A278" t="s">
        <v>284</v>
      </c>
      <c r="B278" t="str">
        <f t="shared" si="16"/>
        <v xml:space="preserve"> 11</v>
      </c>
      <c r="C278">
        <f t="shared" si="17"/>
        <v>3</v>
      </c>
      <c r="D278" t="str">
        <f t="shared" si="18"/>
        <v xml:space="preserve">2016-12-07 </v>
      </c>
      <c r="E278" t="str">
        <f>TEXT(Demand_Data___Hourly_OverviewSearch_1_csv[[#This Row],[Day]],"dddd")</f>
        <v>Tuesday</v>
      </c>
      <c r="F278">
        <v>3</v>
      </c>
      <c r="G278">
        <v>35</v>
      </c>
      <c r="H278">
        <v>92</v>
      </c>
      <c r="I278">
        <f>VLOOKUP(Demand_Data___Hourly_OverviewSearch_1_csv[[#This Row],[Date]],Supply_Data___Hourly_DriverActivity_1_csv__3[#All],2,FALSE)</f>
        <v>97</v>
      </c>
      <c r="J278">
        <f>VLOOKUP(Demand_Data___Hourly_OverviewSearch_1_csv[[#This Row],[Date]],Supply_Data___Hourly_DriverActivity_1_csv__3[#All],3,FALSE)</f>
        <v>37</v>
      </c>
      <c r="K278">
        <f>VLOOKUP(Demand_Data___Hourly_OverviewSearch_1_csv[[#This Row],[Date]],Supply_Data___Hourly_DriverActivity_1_csv__3[#All],4,FALSE)</f>
        <v>6</v>
      </c>
      <c r="L278">
        <f>VLOOKUP(Demand_Data___Hourly_OverviewSearch_1_csv[[#This Row],[Date]],Supply_Data___Hourly_DriverActivity_1_csv__3[#All],5,FALSE)</f>
        <v>31</v>
      </c>
      <c r="M278">
        <f>VLOOKUP(Demand_Data___Hourly_OverviewSearch_1_csv[[#This Row],[Date]],Supply_Data___Hourly_DriverActivity_1_csv__3[#All],6,FALSE)</f>
        <v>0.4</v>
      </c>
      <c r="N278">
        <f>VLOOKUP(Demand_Data___Hourly_OverviewSearch_1_csv[[#This Row],[Date]],Supply_Data___Hourly_DriverActivity_1_csv__3[#All],7,FALSE)</f>
        <v>0.24</v>
      </c>
      <c r="O278">
        <f>VLOOKUP(Demand_Data___Hourly_OverviewSearch_1_csv[[#This Row],[Date]],Supply_Data___Hourly_DriverActivity_1_csv__3[#All],8,FALSE)</f>
        <v>9</v>
      </c>
      <c r="P278">
        <f>(Demand_Data___Hourly_OverviewSearch_1_csv[[#This Row],[People saw 0 cars (unique)]]+Demand_Data___Hourly_OverviewSearch_1_csv[[#This Row],[People saw +1 cars (unique)]])</f>
        <v>38</v>
      </c>
      <c r="Q278" s="143">
        <f t="shared" si="19"/>
        <v>31</v>
      </c>
    </row>
    <row r="279" spans="1:17" x14ac:dyDescent="0.3">
      <c r="A279" t="s">
        <v>285</v>
      </c>
      <c r="B279" t="str">
        <f t="shared" si="16"/>
        <v xml:space="preserve"> 10</v>
      </c>
      <c r="C279">
        <f t="shared" si="17"/>
        <v>3</v>
      </c>
      <c r="D279" t="str">
        <f t="shared" si="18"/>
        <v xml:space="preserve">2016-12-07 </v>
      </c>
      <c r="E279" t="str">
        <f>TEXT(Demand_Data___Hourly_OverviewSearch_1_csv[[#This Row],[Day]],"dddd")</f>
        <v>Tuesday</v>
      </c>
      <c r="F279">
        <v>11</v>
      </c>
      <c r="G279">
        <v>44</v>
      </c>
      <c r="H279">
        <v>80</v>
      </c>
      <c r="I279">
        <f>VLOOKUP(Demand_Data___Hourly_OverviewSearch_1_csv[[#This Row],[Date]],Supply_Data___Hourly_DriverActivity_1_csv__3[#All],2,FALSE)</f>
        <v>101</v>
      </c>
      <c r="J279">
        <f>VLOOKUP(Demand_Data___Hourly_OverviewSearch_1_csv[[#This Row],[Date]],Supply_Data___Hourly_DriverActivity_1_csv__3[#All],3,FALSE)</f>
        <v>36</v>
      </c>
      <c r="K279">
        <f>VLOOKUP(Demand_Data___Hourly_OverviewSearch_1_csv[[#This Row],[Date]],Supply_Data___Hourly_DriverActivity_1_csv__3[#All],4,FALSE)</f>
        <v>9</v>
      </c>
      <c r="L279">
        <f>VLOOKUP(Demand_Data___Hourly_OverviewSearch_1_csv[[#This Row],[Date]],Supply_Data___Hourly_DriverActivity_1_csv__3[#All],5,FALSE)</f>
        <v>27</v>
      </c>
      <c r="M279">
        <f>VLOOKUP(Demand_Data___Hourly_OverviewSearch_1_csv[[#This Row],[Date]],Supply_Data___Hourly_DriverActivity_1_csv__3[#All],6,FALSE)</f>
        <v>0.4</v>
      </c>
      <c r="N279">
        <f>VLOOKUP(Demand_Data___Hourly_OverviewSearch_1_csv[[#This Row],[Date]],Supply_Data___Hourly_DriverActivity_1_csv__3[#All],7,FALSE)</f>
        <v>0.47</v>
      </c>
      <c r="O279">
        <f>VLOOKUP(Demand_Data___Hourly_OverviewSearch_1_csv[[#This Row],[Date]],Supply_Data___Hourly_DriverActivity_1_csv__3[#All],8,FALSE)</f>
        <v>17</v>
      </c>
      <c r="P279">
        <f>(Demand_Data___Hourly_OverviewSearch_1_csv[[#This Row],[People saw 0 cars (unique)]]+Demand_Data___Hourly_OverviewSearch_1_csv[[#This Row],[People saw +1 cars (unique)]])</f>
        <v>55</v>
      </c>
      <c r="Q279" s="143">
        <f t="shared" si="19"/>
        <v>27</v>
      </c>
    </row>
    <row r="280" spans="1:17" x14ac:dyDescent="0.3">
      <c r="A280" t="s">
        <v>286</v>
      </c>
      <c r="B280" t="str">
        <f t="shared" si="16"/>
        <v xml:space="preserve"> 09</v>
      </c>
      <c r="C280">
        <f t="shared" si="17"/>
        <v>3</v>
      </c>
      <c r="D280" t="str">
        <f t="shared" si="18"/>
        <v xml:space="preserve">2016-12-07 </v>
      </c>
      <c r="E280" t="str">
        <f>TEXT(Demand_Data___Hourly_OverviewSearch_1_csv[[#This Row],[Day]],"dddd")</f>
        <v>Tuesday</v>
      </c>
      <c r="F280">
        <v>27</v>
      </c>
      <c r="G280">
        <v>64</v>
      </c>
      <c r="H280">
        <v>70</v>
      </c>
      <c r="I280">
        <f>VLOOKUP(Demand_Data___Hourly_OverviewSearch_1_csv[[#This Row],[Date]],Supply_Data___Hourly_DriverActivity_1_csv__3[#All],2,FALSE)</f>
        <v>84</v>
      </c>
      <c r="J280">
        <f>VLOOKUP(Demand_Data___Hourly_OverviewSearch_1_csv[[#This Row],[Date]],Supply_Data___Hourly_DriverActivity_1_csv__3[#All],3,FALSE)</f>
        <v>27</v>
      </c>
      <c r="K280">
        <f>VLOOKUP(Demand_Data___Hourly_OverviewSearch_1_csv[[#This Row],[Date]],Supply_Data___Hourly_DriverActivity_1_csv__3[#All],4,FALSE)</f>
        <v>13</v>
      </c>
      <c r="L280">
        <f>VLOOKUP(Demand_Data___Hourly_OverviewSearch_1_csv[[#This Row],[Date]],Supply_Data___Hourly_DriverActivity_1_csv__3[#All],5,FALSE)</f>
        <v>14</v>
      </c>
      <c r="M280">
        <f>VLOOKUP(Demand_Data___Hourly_OverviewSearch_1_csv[[#This Row],[Date]],Supply_Data___Hourly_DriverActivity_1_csv__3[#All],6,FALSE)</f>
        <v>0.3</v>
      </c>
      <c r="N280">
        <f>VLOOKUP(Demand_Data___Hourly_OverviewSearch_1_csv[[#This Row],[Date]],Supply_Data___Hourly_DriverActivity_1_csv__3[#All],7,FALSE)</f>
        <v>1</v>
      </c>
      <c r="O280">
        <f>VLOOKUP(Demand_Data___Hourly_OverviewSearch_1_csv[[#This Row],[Date]],Supply_Data___Hourly_DriverActivity_1_csv__3[#All],8,FALSE)</f>
        <v>27</v>
      </c>
      <c r="P280">
        <f>(Demand_Data___Hourly_OverviewSearch_1_csv[[#This Row],[People saw 0 cars (unique)]]+Demand_Data___Hourly_OverviewSearch_1_csv[[#This Row],[People saw +1 cars (unique)]])</f>
        <v>91</v>
      </c>
      <c r="Q280" s="143">
        <f t="shared" si="19"/>
        <v>14</v>
      </c>
    </row>
    <row r="281" spans="1:17" x14ac:dyDescent="0.3">
      <c r="A281" t="s">
        <v>287</v>
      </c>
      <c r="B281" t="str">
        <f t="shared" si="16"/>
        <v xml:space="preserve"> 08</v>
      </c>
      <c r="C281">
        <f t="shared" si="17"/>
        <v>3</v>
      </c>
      <c r="D281" t="str">
        <f t="shared" si="18"/>
        <v xml:space="preserve">2016-12-07 </v>
      </c>
      <c r="E281" t="str">
        <f>TEXT(Demand_Data___Hourly_OverviewSearch_1_csv[[#This Row],[Day]],"dddd")</f>
        <v>Tuesday</v>
      </c>
      <c r="F281">
        <v>28</v>
      </c>
      <c r="G281">
        <v>46</v>
      </c>
      <c r="H281">
        <v>62</v>
      </c>
      <c r="I281">
        <f>VLOOKUP(Demand_Data___Hourly_OverviewSearch_1_csv[[#This Row],[Date]],Supply_Data___Hourly_DriverActivity_1_csv__3[#All],2,FALSE)</f>
        <v>67</v>
      </c>
      <c r="J281">
        <f>VLOOKUP(Demand_Data___Hourly_OverviewSearch_1_csv[[#This Row],[Date]],Supply_Data___Hourly_DriverActivity_1_csv__3[#All],3,FALSE)</f>
        <v>22</v>
      </c>
      <c r="K281">
        <f>VLOOKUP(Demand_Data___Hourly_OverviewSearch_1_csv[[#This Row],[Date]],Supply_Data___Hourly_DriverActivity_1_csv__3[#All],4,FALSE)</f>
        <v>8</v>
      </c>
      <c r="L281">
        <f>VLOOKUP(Demand_Data___Hourly_OverviewSearch_1_csv[[#This Row],[Date]],Supply_Data___Hourly_DriverActivity_1_csv__3[#All],5,FALSE)</f>
        <v>14</v>
      </c>
      <c r="M281">
        <f>VLOOKUP(Demand_Data___Hourly_OverviewSearch_1_csv[[#This Row],[Date]],Supply_Data___Hourly_DriverActivity_1_csv__3[#All],6,FALSE)</f>
        <v>0.3</v>
      </c>
      <c r="N281">
        <f>VLOOKUP(Demand_Data___Hourly_OverviewSearch_1_csv[[#This Row],[Date]],Supply_Data___Hourly_DriverActivity_1_csv__3[#All],7,FALSE)</f>
        <v>0.86</v>
      </c>
      <c r="O281">
        <f>VLOOKUP(Demand_Data___Hourly_OverviewSearch_1_csv[[#This Row],[Date]],Supply_Data___Hourly_DriverActivity_1_csv__3[#All],8,FALSE)</f>
        <v>19</v>
      </c>
      <c r="P281">
        <f>(Demand_Data___Hourly_OverviewSearch_1_csv[[#This Row],[People saw 0 cars (unique)]]+Demand_Data___Hourly_OverviewSearch_1_csv[[#This Row],[People saw +1 cars (unique)]])</f>
        <v>74</v>
      </c>
      <c r="Q281" s="143">
        <f t="shared" si="19"/>
        <v>14</v>
      </c>
    </row>
    <row r="282" spans="1:17" x14ac:dyDescent="0.3">
      <c r="A282" t="s">
        <v>288</v>
      </c>
      <c r="B282" t="str">
        <f t="shared" si="16"/>
        <v xml:space="preserve"> 07</v>
      </c>
      <c r="C282">
        <f t="shared" si="17"/>
        <v>3</v>
      </c>
      <c r="D282" t="str">
        <f t="shared" si="18"/>
        <v xml:space="preserve">2016-12-07 </v>
      </c>
      <c r="E282" t="str">
        <f>TEXT(Demand_Data___Hourly_OverviewSearch_1_csv[[#This Row],[Day]],"dddd")</f>
        <v>Tuesday</v>
      </c>
      <c r="F282">
        <v>16</v>
      </c>
      <c r="G282">
        <v>21</v>
      </c>
      <c r="H282">
        <v>57</v>
      </c>
      <c r="I282">
        <f>VLOOKUP(Demand_Data___Hourly_OverviewSearch_1_csv[[#This Row],[Date]],Supply_Data___Hourly_DriverActivity_1_csv__3[#All],2,FALSE)</f>
        <v>48</v>
      </c>
      <c r="J282">
        <f>VLOOKUP(Demand_Data___Hourly_OverviewSearch_1_csv[[#This Row],[Date]],Supply_Data___Hourly_DriverActivity_1_csv__3[#All],3,FALSE)</f>
        <v>16</v>
      </c>
      <c r="K282">
        <f>VLOOKUP(Demand_Data___Hourly_OverviewSearch_1_csv[[#This Row],[Date]],Supply_Data___Hourly_DriverActivity_1_csv__3[#All],4,FALSE)</f>
        <v>4</v>
      </c>
      <c r="L282">
        <f>VLOOKUP(Demand_Data___Hourly_OverviewSearch_1_csv[[#This Row],[Date]],Supply_Data___Hourly_DriverActivity_1_csv__3[#All],5,FALSE)</f>
        <v>12</v>
      </c>
      <c r="M282">
        <f>VLOOKUP(Demand_Data___Hourly_OverviewSearch_1_csv[[#This Row],[Date]],Supply_Data___Hourly_DriverActivity_1_csv__3[#All],6,FALSE)</f>
        <v>0.3</v>
      </c>
      <c r="N282">
        <f>VLOOKUP(Demand_Data___Hourly_OverviewSearch_1_csv[[#This Row],[Date]],Supply_Data___Hourly_DriverActivity_1_csv__3[#All],7,FALSE)</f>
        <v>0.5</v>
      </c>
      <c r="O282">
        <f>VLOOKUP(Demand_Data___Hourly_OverviewSearch_1_csv[[#This Row],[Date]],Supply_Data___Hourly_DriverActivity_1_csv__3[#All],8,FALSE)</f>
        <v>8</v>
      </c>
      <c r="P282">
        <f>(Demand_Data___Hourly_OverviewSearch_1_csv[[#This Row],[People saw 0 cars (unique)]]+Demand_Data___Hourly_OverviewSearch_1_csv[[#This Row],[People saw +1 cars (unique)]])</f>
        <v>37</v>
      </c>
      <c r="Q282" s="143">
        <f t="shared" si="19"/>
        <v>12</v>
      </c>
    </row>
    <row r="283" spans="1:17" x14ac:dyDescent="0.3">
      <c r="A283" t="s">
        <v>289</v>
      </c>
      <c r="B283" t="str">
        <f t="shared" si="16"/>
        <v xml:space="preserve"> 06</v>
      </c>
      <c r="C283">
        <f t="shared" si="17"/>
        <v>3</v>
      </c>
      <c r="D283" t="str">
        <f t="shared" si="18"/>
        <v xml:space="preserve">2016-12-07 </v>
      </c>
      <c r="E283" t="str">
        <f>TEXT(Demand_Data___Hourly_OverviewSearch_1_csv[[#This Row],[Day]],"dddd")</f>
        <v>Tuesday</v>
      </c>
      <c r="F283">
        <v>5</v>
      </c>
      <c r="G283">
        <v>11</v>
      </c>
      <c r="H283">
        <v>69</v>
      </c>
      <c r="I283">
        <f>VLOOKUP(Demand_Data___Hourly_OverviewSearch_1_csv[[#This Row],[Date]],Supply_Data___Hourly_DriverActivity_1_csv__3[#All],2,FALSE)</f>
        <v>31</v>
      </c>
      <c r="J283">
        <f>VLOOKUP(Demand_Data___Hourly_OverviewSearch_1_csv[[#This Row],[Date]],Supply_Data___Hourly_DriverActivity_1_csv__3[#All],3,FALSE)</f>
        <v>9</v>
      </c>
      <c r="K283">
        <f>VLOOKUP(Demand_Data___Hourly_OverviewSearch_1_csv[[#This Row],[Date]],Supply_Data___Hourly_DriverActivity_1_csv__3[#All],4,FALSE)</f>
        <v>1</v>
      </c>
      <c r="L283">
        <f>VLOOKUP(Demand_Data___Hourly_OverviewSearch_1_csv[[#This Row],[Date]],Supply_Data___Hourly_DriverActivity_1_csv__3[#All],5,FALSE)</f>
        <v>8</v>
      </c>
      <c r="M283">
        <f>VLOOKUP(Demand_Data___Hourly_OverviewSearch_1_csv[[#This Row],[Date]],Supply_Data___Hourly_DriverActivity_1_csv__3[#All],6,FALSE)</f>
        <v>0.3</v>
      </c>
      <c r="N283">
        <f>VLOOKUP(Demand_Data___Hourly_OverviewSearch_1_csv[[#This Row],[Date]],Supply_Data___Hourly_DriverActivity_1_csv__3[#All],7,FALSE)</f>
        <v>0.33</v>
      </c>
      <c r="O283">
        <f>VLOOKUP(Demand_Data___Hourly_OverviewSearch_1_csv[[#This Row],[Date]],Supply_Data___Hourly_DriverActivity_1_csv__3[#All],8,FALSE)</f>
        <v>3</v>
      </c>
      <c r="P283">
        <f>(Demand_Data___Hourly_OverviewSearch_1_csv[[#This Row],[People saw 0 cars (unique)]]+Demand_Data___Hourly_OverviewSearch_1_csv[[#This Row],[People saw +1 cars (unique)]])</f>
        <v>16</v>
      </c>
      <c r="Q283" s="143">
        <f t="shared" si="19"/>
        <v>8</v>
      </c>
    </row>
    <row r="284" spans="1:17" x14ac:dyDescent="0.3">
      <c r="A284" t="s">
        <v>291</v>
      </c>
      <c r="B284" t="str">
        <f t="shared" si="16"/>
        <v xml:space="preserve"> 04</v>
      </c>
      <c r="C284">
        <f t="shared" si="17"/>
        <v>3</v>
      </c>
      <c r="D284" t="str">
        <f t="shared" si="18"/>
        <v xml:space="preserve">2016-12-07 </v>
      </c>
      <c r="E284" t="str">
        <f>TEXT(Demand_Data___Hourly_OverviewSearch_1_csv[[#This Row],[Day]],"dddd")</f>
        <v>Tuesday</v>
      </c>
      <c r="F284">
        <v>2</v>
      </c>
      <c r="G284">
        <v>2</v>
      </c>
      <c r="H284">
        <v>50</v>
      </c>
      <c r="I284">
        <f>VLOOKUP(Demand_Data___Hourly_OverviewSearch_1_csv[[#This Row],[Date]],Supply_Data___Hourly_DriverActivity_1_csv__3[#All],2,FALSE)</f>
        <v>24</v>
      </c>
      <c r="J284">
        <f>VLOOKUP(Demand_Data___Hourly_OverviewSearch_1_csv[[#This Row],[Date]],Supply_Data___Hourly_DriverActivity_1_csv__3[#All],3,FALSE)</f>
        <v>10</v>
      </c>
      <c r="K284">
        <f>VLOOKUP(Demand_Data___Hourly_OverviewSearch_1_csv[[#This Row],[Date]],Supply_Data___Hourly_DriverActivity_1_csv__3[#All],4,FALSE)</f>
        <v>0</v>
      </c>
      <c r="L284">
        <f>VLOOKUP(Demand_Data___Hourly_OverviewSearch_1_csv[[#This Row],[Date]],Supply_Data___Hourly_DriverActivity_1_csv__3[#All],5,FALSE)</f>
        <v>10</v>
      </c>
      <c r="M284">
        <f>VLOOKUP(Demand_Data___Hourly_OverviewSearch_1_csv[[#This Row],[Date]],Supply_Data___Hourly_DriverActivity_1_csv__3[#All],6,FALSE)</f>
        <v>0.4</v>
      </c>
      <c r="N284">
        <f>VLOOKUP(Demand_Data___Hourly_OverviewSearch_1_csv[[#This Row],[Date]],Supply_Data___Hourly_DriverActivity_1_csv__3[#All],7,FALSE)</f>
        <v>0</v>
      </c>
      <c r="O284">
        <f>VLOOKUP(Demand_Data___Hourly_OverviewSearch_1_csv[[#This Row],[Date]],Supply_Data___Hourly_DriverActivity_1_csv__3[#All],8,FALSE)</f>
        <v>0</v>
      </c>
      <c r="P284">
        <f>(Demand_Data___Hourly_OverviewSearch_1_csv[[#This Row],[People saw 0 cars (unique)]]+Demand_Data___Hourly_OverviewSearch_1_csv[[#This Row],[People saw +1 cars (unique)]])</f>
        <v>4</v>
      </c>
      <c r="Q284" s="143">
        <f t="shared" si="19"/>
        <v>10</v>
      </c>
    </row>
    <row r="285" spans="1:17" x14ac:dyDescent="0.3">
      <c r="A285" t="s">
        <v>292</v>
      </c>
      <c r="B285" t="str">
        <f t="shared" si="16"/>
        <v xml:space="preserve"> 03</v>
      </c>
      <c r="C285">
        <f t="shared" si="17"/>
        <v>3</v>
      </c>
      <c r="D285" t="str">
        <f t="shared" si="18"/>
        <v xml:space="preserve">2016-12-07 </v>
      </c>
      <c r="E285" t="str">
        <f>TEXT(Demand_Data___Hourly_OverviewSearch_1_csv[[#This Row],[Day]],"dddd")</f>
        <v>Tuesday</v>
      </c>
      <c r="F285">
        <v>0</v>
      </c>
      <c r="G285">
        <v>2</v>
      </c>
      <c r="H285">
        <v>100</v>
      </c>
      <c r="I285">
        <f>VLOOKUP(Demand_Data___Hourly_OverviewSearch_1_csv[[#This Row],[Date]],Supply_Data___Hourly_DriverActivity_1_csv__3[#All],2,FALSE)</f>
        <v>28</v>
      </c>
      <c r="J285">
        <f>VLOOKUP(Demand_Data___Hourly_OverviewSearch_1_csv[[#This Row],[Date]],Supply_Data___Hourly_DriverActivity_1_csv__3[#All],3,FALSE)</f>
        <v>10</v>
      </c>
      <c r="K285">
        <f>VLOOKUP(Demand_Data___Hourly_OverviewSearch_1_csv[[#This Row],[Date]],Supply_Data___Hourly_DriverActivity_1_csv__3[#All],4,FALSE)</f>
        <v>1</v>
      </c>
      <c r="L285">
        <f>VLOOKUP(Demand_Data___Hourly_OverviewSearch_1_csv[[#This Row],[Date]],Supply_Data___Hourly_DriverActivity_1_csv__3[#All],5,FALSE)</f>
        <v>9</v>
      </c>
      <c r="M285">
        <f>VLOOKUP(Demand_Data___Hourly_OverviewSearch_1_csv[[#This Row],[Date]],Supply_Data___Hourly_DriverActivity_1_csv__3[#All],6,FALSE)</f>
        <v>0.4</v>
      </c>
      <c r="N285">
        <f>VLOOKUP(Demand_Data___Hourly_OverviewSearch_1_csv[[#This Row],[Date]],Supply_Data___Hourly_DriverActivity_1_csv__3[#All],7,FALSE)</f>
        <v>0.1</v>
      </c>
      <c r="O285">
        <f>VLOOKUP(Demand_Data___Hourly_OverviewSearch_1_csv[[#This Row],[Date]],Supply_Data___Hourly_DriverActivity_1_csv__3[#All],8,FALSE)</f>
        <v>1</v>
      </c>
      <c r="P285">
        <f>(Demand_Data___Hourly_OverviewSearch_1_csv[[#This Row],[People saw 0 cars (unique)]]+Demand_Data___Hourly_OverviewSearch_1_csv[[#This Row],[People saw +1 cars (unique)]])</f>
        <v>2</v>
      </c>
      <c r="Q285" s="143">
        <f t="shared" si="19"/>
        <v>9</v>
      </c>
    </row>
    <row r="286" spans="1:17" x14ac:dyDescent="0.3">
      <c r="A286" t="s">
        <v>293</v>
      </c>
      <c r="B286" t="str">
        <f t="shared" si="16"/>
        <v xml:space="preserve"> 02</v>
      </c>
      <c r="C286">
        <f t="shared" si="17"/>
        <v>3</v>
      </c>
      <c r="D286" t="str">
        <f t="shared" si="18"/>
        <v xml:space="preserve">2016-12-07 </v>
      </c>
      <c r="E286" t="str">
        <f>TEXT(Demand_Data___Hourly_OverviewSearch_1_csv[[#This Row],[Day]],"dddd")</f>
        <v>Tuesday</v>
      </c>
      <c r="F286">
        <v>5</v>
      </c>
      <c r="G286">
        <v>13</v>
      </c>
      <c r="H286">
        <v>72</v>
      </c>
      <c r="I286">
        <f>VLOOKUP(Demand_Data___Hourly_OverviewSearch_1_csv[[#This Row],[Date]],Supply_Data___Hourly_DriverActivity_1_csv__3[#All],2,FALSE)</f>
        <v>28</v>
      </c>
      <c r="J286">
        <f>VLOOKUP(Demand_Data___Hourly_OverviewSearch_1_csv[[#This Row],[Date]],Supply_Data___Hourly_DriverActivity_1_csv__3[#All],3,FALSE)</f>
        <v>11</v>
      </c>
      <c r="K286">
        <f>VLOOKUP(Demand_Data___Hourly_OverviewSearch_1_csv[[#This Row],[Date]],Supply_Data___Hourly_DriverActivity_1_csv__3[#All],4,FALSE)</f>
        <v>2</v>
      </c>
      <c r="L286">
        <f>VLOOKUP(Demand_Data___Hourly_OverviewSearch_1_csv[[#This Row],[Date]],Supply_Data___Hourly_DriverActivity_1_csv__3[#All],5,FALSE)</f>
        <v>9</v>
      </c>
      <c r="M286">
        <f>VLOOKUP(Demand_Data___Hourly_OverviewSearch_1_csv[[#This Row],[Date]],Supply_Data___Hourly_DriverActivity_1_csv__3[#All],6,FALSE)</f>
        <v>0.4</v>
      </c>
      <c r="N286">
        <f>VLOOKUP(Demand_Data___Hourly_OverviewSearch_1_csv[[#This Row],[Date]],Supply_Data___Hourly_DriverActivity_1_csv__3[#All],7,FALSE)</f>
        <v>0.55000000000000004</v>
      </c>
      <c r="O286">
        <f>VLOOKUP(Demand_Data___Hourly_OverviewSearch_1_csv[[#This Row],[Date]],Supply_Data___Hourly_DriverActivity_1_csv__3[#All],8,FALSE)</f>
        <v>6</v>
      </c>
      <c r="P286">
        <f>(Demand_Data___Hourly_OverviewSearch_1_csv[[#This Row],[People saw 0 cars (unique)]]+Demand_Data___Hourly_OverviewSearch_1_csv[[#This Row],[People saw +1 cars (unique)]])</f>
        <v>18</v>
      </c>
      <c r="Q286" s="143">
        <f t="shared" si="19"/>
        <v>9</v>
      </c>
    </row>
    <row r="287" spans="1:17" x14ac:dyDescent="0.3">
      <c r="A287" t="s">
        <v>294</v>
      </c>
      <c r="B287" t="str">
        <f t="shared" si="16"/>
        <v xml:space="preserve"> 01</v>
      </c>
      <c r="C287">
        <f t="shared" si="17"/>
        <v>3</v>
      </c>
      <c r="D287" t="str">
        <f t="shared" si="18"/>
        <v xml:space="preserve">2016-12-07 </v>
      </c>
      <c r="E287" t="str">
        <f>TEXT(Demand_Data___Hourly_OverviewSearch_1_csv[[#This Row],[Day]],"dddd")</f>
        <v>Tuesday</v>
      </c>
      <c r="F287">
        <v>0</v>
      </c>
      <c r="G287">
        <v>16</v>
      </c>
      <c r="H287">
        <v>100</v>
      </c>
      <c r="I287">
        <f>VLOOKUP(Demand_Data___Hourly_OverviewSearch_1_csv[[#This Row],[Date]],Supply_Data___Hourly_DriverActivity_1_csv__3[#All],2,FALSE)</f>
        <v>39</v>
      </c>
      <c r="J287">
        <f>VLOOKUP(Demand_Data___Hourly_OverviewSearch_1_csv[[#This Row],[Date]],Supply_Data___Hourly_DriverActivity_1_csv__3[#All],3,FALSE)</f>
        <v>15</v>
      </c>
      <c r="K287">
        <f>VLOOKUP(Demand_Data___Hourly_OverviewSearch_1_csv[[#This Row],[Date]],Supply_Data___Hourly_DriverActivity_1_csv__3[#All],4,FALSE)</f>
        <v>1</v>
      </c>
      <c r="L287">
        <f>VLOOKUP(Demand_Data___Hourly_OverviewSearch_1_csv[[#This Row],[Date]],Supply_Data___Hourly_DriverActivity_1_csv__3[#All],5,FALSE)</f>
        <v>13</v>
      </c>
      <c r="M287">
        <f>VLOOKUP(Demand_Data___Hourly_OverviewSearch_1_csv[[#This Row],[Date]],Supply_Data___Hourly_DriverActivity_1_csv__3[#All],6,FALSE)</f>
        <v>0.4</v>
      </c>
      <c r="N287">
        <f>VLOOKUP(Demand_Data___Hourly_OverviewSearch_1_csv[[#This Row],[Date]],Supply_Data___Hourly_DriverActivity_1_csv__3[#All],7,FALSE)</f>
        <v>7.0000000000000007E-2</v>
      </c>
      <c r="O287">
        <f>VLOOKUP(Demand_Data___Hourly_OverviewSearch_1_csv[[#This Row],[Date]],Supply_Data___Hourly_DriverActivity_1_csv__3[#All],8,FALSE)</f>
        <v>1</v>
      </c>
      <c r="P287">
        <f>(Demand_Data___Hourly_OverviewSearch_1_csv[[#This Row],[People saw 0 cars (unique)]]+Demand_Data___Hourly_OverviewSearch_1_csv[[#This Row],[People saw +1 cars (unique)]])</f>
        <v>16</v>
      </c>
      <c r="Q287" s="143">
        <f t="shared" si="19"/>
        <v>14</v>
      </c>
    </row>
    <row r="288" spans="1:17" x14ac:dyDescent="0.3">
      <c r="A288" t="s">
        <v>295</v>
      </c>
      <c r="B288" t="str">
        <f t="shared" si="16"/>
        <v xml:space="preserve"> 00</v>
      </c>
      <c r="C288">
        <f t="shared" si="17"/>
        <v>3</v>
      </c>
      <c r="D288" t="str">
        <f t="shared" si="18"/>
        <v xml:space="preserve">2016-12-07 </v>
      </c>
      <c r="E288" t="str">
        <f>TEXT(Demand_Data___Hourly_OverviewSearch_1_csv[[#This Row],[Day]],"dddd")</f>
        <v>Tuesday</v>
      </c>
      <c r="F288">
        <v>2</v>
      </c>
      <c r="G288">
        <v>34</v>
      </c>
      <c r="H288">
        <v>94</v>
      </c>
      <c r="I288">
        <f>VLOOKUP(Demand_Data___Hourly_OverviewSearch_1_csv[[#This Row],[Date]],Supply_Data___Hourly_DriverActivity_1_csv__3[#All],2,FALSE)</f>
        <v>56</v>
      </c>
      <c r="J288">
        <f>VLOOKUP(Demand_Data___Hourly_OverviewSearch_1_csv[[#This Row],[Date]],Supply_Data___Hourly_DriverActivity_1_csv__3[#All],3,FALSE)</f>
        <v>19</v>
      </c>
      <c r="K288">
        <f>VLOOKUP(Demand_Data___Hourly_OverviewSearch_1_csv[[#This Row],[Date]],Supply_Data___Hourly_DriverActivity_1_csv__3[#All],4,FALSE)</f>
        <v>5</v>
      </c>
      <c r="L288">
        <f>VLOOKUP(Demand_Data___Hourly_OverviewSearch_1_csv[[#This Row],[Date]],Supply_Data___Hourly_DriverActivity_1_csv__3[#All],5,FALSE)</f>
        <v>13</v>
      </c>
      <c r="M288">
        <f>VLOOKUP(Demand_Data___Hourly_OverviewSearch_1_csv[[#This Row],[Date]],Supply_Data___Hourly_DriverActivity_1_csv__3[#All],6,FALSE)</f>
        <v>0.3</v>
      </c>
      <c r="N288">
        <f>VLOOKUP(Demand_Data___Hourly_OverviewSearch_1_csv[[#This Row],[Date]],Supply_Data___Hourly_DriverActivity_1_csv__3[#All],7,FALSE)</f>
        <v>0.79</v>
      </c>
      <c r="O288">
        <f>VLOOKUP(Demand_Data___Hourly_OverviewSearch_1_csv[[#This Row],[Date]],Supply_Data___Hourly_DriverActivity_1_csv__3[#All],8,FALSE)</f>
        <v>15</v>
      </c>
      <c r="P288">
        <f>(Demand_Data___Hourly_OverviewSearch_1_csv[[#This Row],[People saw 0 cars (unique)]]+Demand_Data___Hourly_OverviewSearch_1_csv[[#This Row],[People saw +1 cars (unique)]])</f>
        <v>36</v>
      </c>
      <c r="Q288" s="143">
        <f t="shared" si="19"/>
        <v>14</v>
      </c>
    </row>
    <row r="289" spans="1:17" x14ac:dyDescent="0.3">
      <c r="A289" t="s">
        <v>296</v>
      </c>
      <c r="B289" t="str">
        <f t="shared" si="16"/>
        <v xml:space="preserve"> 23</v>
      </c>
      <c r="C289">
        <f t="shared" si="17"/>
        <v>2</v>
      </c>
      <c r="D289" t="str">
        <f t="shared" si="18"/>
        <v xml:space="preserve">2016-12-06 </v>
      </c>
      <c r="E289" t="str">
        <f>TEXT(Demand_Data___Hourly_OverviewSearch_1_csv[[#This Row],[Day]],"dddd")</f>
        <v>Monday</v>
      </c>
      <c r="F289">
        <v>6</v>
      </c>
      <c r="G289">
        <v>46</v>
      </c>
      <c r="H289">
        <v>88</v>
      </c>
      <c r="I289">
        <f>VLOOKUP(Demand_Data___Hourly_OverviewSearch_1_csv[[#This Row],[Date]],Supply_Data___Hourly_DriverActivity_1_csv__3[#All],2,FALSE)</f>
        <v>72</v>
      </c>
      <c r="J289">
        <f>VLOOKUP(Demand_Data___Hourly_OverviewSearch_1_csv[[#This Row],[Date]],Supply_Data___Hourly_DriverActivity_1_csv__3[#All],3,FALSE)</f>
        <v>29</v>
      </c>
      <c r="K289">
        <f>VLOOKUP(Demand_Data___Hourly_OverviewSearch_1_csv[[#This Row],[Date]],Supply_Data___Hourly_DriverActivity_1_csv__3[#All],4,FALSE)</f>
        <v>8</v>
      </c>
      <c r="L289">
        <f>VLOOKUP(Demand_Data___Hourly_OverviewSearch_1_csv[[#This Row],[Date]],Supply_Data___Hourly_DriverActivity_1_csv__3[#All],5,FALSE)</f>
        <v>21</v>
      </c>
      <c r="M289">
        <f>VLOOKUP(Demand_Data___Hourly_OverviewSearch_1_csv[[#This Row],[Date]],Supply_Data___Hourly_DriverActivity_1_csv__3[#All],6,FALSE)</f>
        <v>0.4</v>
      </c>
      <c r="N289">
        <f>VLOOKUP(Demand_Data___Hourly_OverviewSearch_1_csv[[#This Row],[Date]],Supply_Data___Hourly_DriverActivity_1_csv__3[#All],7,FALSE)</f>
        <v>0.69</v>
      </c>
      <c r="O289">
        <f>VLOOKUP(Demand_Data___Hourly_OverviewSearch_1_csv[[#This Row],[Date]],Supply_Data___Hourly_DriverActivity_1_csv__3[#All],8,FALSE)</f>
        <v>20</v>
      </c>
      <c r="P289">
        <f>(Demand_Data___Hourly_OverviewSearch_1_csv[[#This Row],[People saw 0 cars (unique)]]+Demand_Data___Hourly_OverviewSearch_1_csv[[#This Row],[People saw +1 cars (unique)]])</f>
        <v>52</v>
      </c>
      <c r="Q289" s="143">
        <f t="shared" si="19"/>
        <v>21</v>
      </c>
    </row>
    <row r="290" spans="1:17" x14ac:dyDescent="0.3">
      <c r="A290" t="s">
        <v>297</v>
      </c>
      <c r="B290" t="str">
        <f t="shared" si="16"/>
        <v xml:space="preserve"> 22</v>
      </c>
      <c r="C290">
        <f t="shared" si="17"/>
        <v>2</v>
      </c>
      <c r="D290" t="str">
        <f t="shared" si="18"/>
        <v xml:space="preserve">2016-12-06 </v>
      </c>
      <c r="E290" t="str">
        <f>TEXT(Demand_Data___Hourly_OverviewSearch_1_csv[[#This Row],[Day]],"dddd")</f>
        <v>Monday</v>
      </c>
      <c r="F290">
        <v>4</v>
      </c>
      <c r="G290">
        <v>40</v>
      </c>
      <c r="H290">
        <v>91</v>
      </c>
      <c r="I290">
        <f>VLOOKUP(Demand_Data___Hourly_OverviewSearch_1_csv[[#This Row],[Date]],Supply_Data___Hourly_DriverActivity_1_csv__3[#All],2,FALSE)</f>
        <v>85</v>
      </c>
      <c r="J290">
        <f>VLOOKUP(Demand_Data___Hourly_OverviewSearch_1_csv[[#This Row],[Date]],Supply_Data___Hourly_DriverActivity_1_csv__3[#All],3,FALSE)</f>
        <v>32</v>
      </c>
      <c r="K290">
        <f>VLOOKUP(Demand_Data___Hourly_OverviewSearch_1_csv[[#This Row],[Date]],Supply_Data___Hourly_DriverActivity_1_csv__3[#All],4,FALSE)</f>
        <v>7</v>
      </c>
      <c r="L290">
        <f>VLOOKUP(Demand_Data___Hourly_OverviewSearch_1_csv[[#This Row],[Date]],Supply_Data___Hourly_DriverActivity_1_csv__3[#All],5,FALSE)</f>
        <v>25</v>
      </c>
      <c r="M290">
        <f>VLOOKUP(Demand_Data___Hourly_OverviewSearch_1_csv[[#This Row],[Date]],Supply_Data___Hourly_DriverActivity_1_csv__3[#All],6,FALSE)</f>
        <v>0.4</v>
      </c>
      <c r="N290">
        <f>VLOOKUP(Demand_Data___Hourly_OverviewSearch_1_csv[[#This Row],[Date]],Supply_Data___Hourly_DriverActivity_1_csv__3[#All],7,FALSE)</f>
        <v>0.47</v>
      </c>
      <c r="O290">
        <f>VLOOKUP(Demand_Data___Hourly_OverviewSearch_1_csv[[#This Row],[Date]],Supply_Data___Hourly_DriverActivity_1_csv__3[#All],8,FALSE)</f>
        <v>15</v>
      </c>
      <c r="P290">
        <f>(Demand_Data___Hourly_OverviewSearch_1_csv[[#This Row],[People saw 0 cars (unique)]]+Demand_Data___Hourly_OverviewSearch_1_csv[[#This Row],[People saw +1 cars (unique)]])</f>
        <v>44</v>
      </c>
      <c r="Q290" s="143">
        <f t="shared" si="19"/>
        <v>25</v>
      </c>
    </row>
    <row r="291" spans="1:17" x14ac:dyDescent="0.3">
      <c r="A291" t="s">
        <v>298</v>
      </c>
      <c r="B291" t="str">
        <f t="shared" si="16"/>
        <v xml:space="preserve"> 21</v>
      </c>
      <c r="C291">
        <f t="shared" si="17"/>
        <v>2</v>
      </c>
      <c r="D291" t="str">
        <f t="shared" si="18"/>
        <v xml:space="preserve">2016-12-06 </v>
      </c>
      <c r="E291" t="str">
        <f>TEXT(Demand_Data___Hourly_OverviewSearch_1_csv[[#This Row],[Day]],"dddd")</f>
        <v>Monday</v>
      </c>
      <c r="F291">
        <v>6</v>
      </c>
      <c r="G291">
        <v>43</v>
      </c>
      <c r="H291">
        <v>88</v>
      </c>
      <c r="I291">
        <f>VLOOKUP(Demand_Data___Hourly_OverviewSearch_1_csv[[#This Row],[Date]],Supply_Data___Hourly_DriverActivity_1_csv__3[#All],2,FALSE)</f>
        <v>103</v>
      </c>
      <c r="J291">
        <f>VLOOKUP(Demand_Data___Hourly_OverviewSearch_1_csv[[#This Row],[Date]],Supply_Data___Hourly_DriverActivity_1_csv__3[#All],3,FALSE)</f>
        <v>35</v>
      </c>
      <c r="K291">
        <f>VLOOKUP(Demand_Data___Hourly_OverviewSearch_1_csv[[#This Row],[Date]],Supply_Data___Hourly_DriverActivity_1_csv__3[#All],4,FALSE)</f>
        <v>9</v>
      </c>
      <c r="L291">
        <f>VLOOKUP(Demand_Data___Hourly_OverviewSearch_1_csv[[#This Row],[Date]],Supply_Data___Hourly_DriverActivity_1_csv__3[#All],5,FALSE)</f>
        <v>26</v>
      </c>
      <c r="M291">
        <f>VLOOKUP(Demand_Data___Hourly_OverviewSearch_1_csv[[#This Row],[Date]],Supply_Data___Hourly_DriverActivity_1_csv__3[#All],6,FALSE)</f>
        <v>0.3</v>
      </c>
      <c r="N291">
        <f>VLOOKUP(Demand_Data___Hourly_OverviewSearch_1_csv[[#This Row],[Date]],Supply_Data___Hourly_DriverActivity_1_csv__3[#All],7,FALSE)</f>
        <v>0.69</v>
      </c>
      <c r="O291">
        <f>VLOOKUP(Demand_Data___Hourly_OverviewSearch_1_csv[[#This Row],[Date]],Supply_Data___Hourly_DriverActivity_1_csv__3[#All],8,FALSE)</f>
        <v>24</v>
      </c>
      <c r="P291">
        <f>(Demand_Data___Hourly_OverviewSearch_1_csv[[#This Row],[People saw 0 cars (unique)]]+Demand_Data___Hourly_OverviewSearch_1_csv[[#This Row],[People saw +1 cars (unique)]])</f>
        <v>49</v>
      </c>
      <c r="Q291" s="143">
        <f t="shared" si="19"/>
        <v>26</v>
      </c>
    </row>
    <row r="292" spans="1:17" x14ac:dyDescent="0.3">
      <c r="A292" t="s">
        <v>299</v>
      </c>
      <c r="B292" t="str">
        <f t="shared" si="16"/>
        <v xml:space="preserve"> 20</v>
      </c>
      <c r="C292">
        <f t="shared" si="17"/>
        <v>2</v>
      </c>
      <c r="D292" t="str">
        <f t="shared" si="18"/>
        <v xml:space="preserve">2016-12-06 </v>
      </c>
      <c r="E292" t="str">
        <f>TEXT(Demand_Data___Hourly_OverviewSearch_1_csv[[#This Row],[Day]],"dddd")</f>
        <v>Monday</v>
      </c>
      <c r="F292">
        <v>7</v>
      </c>
      <c r="G292">
        <v>60</v>
      </c>
      <c r="H292">
        <v>90</v>
      </c>
      <c r="I292">
        <f>VLOOKUP(Demand_Data___Hourly_OverviewSearch_1_csv[[#This Row],[Date]],Supply_Data___Hourly_DriverActivity_1_csv__3[#All],2,FALSE)</f>
        <v>108</v>
      </c>
      <c r="J292">
        <f>VLOOKUP(Demand_Data___Hourly_OverviewSearch_1_csv[[#This Row],[Date]],Supply_Data___Hourly_DriverActivity_1_csv__3[#All],3,FALSE)</f>
        <v>39</v>
      </c>
      <c r="K292">
        <f>VLOOKUP(Demand_Data___Hourly_OverviewSearch_1_csv[[#This Row],[Date]],Supply_Data___Hourly_DriverActivity_1_csv__3[#All],4,FALSE)</f>
        <v>10</v>
      </c>
      <c r="L292">
        <f>VLOOKUP(Demand_Data___Hourly_OverviewSearch_1_csv[[#This Row],[Date]],Supply_Data___Hourly_DriverActivity_1_csv__3[#All],5,FALSE)</f>
        <v>30</v>
      </c>
      <c r="M292">
        <f>VLOOKUP(Demand_Data___Hourly_OverviewSearch_1_csv[[#This Row],[Date]],Supply_Data___Hourly_DriverActivity_1_csv__3[#All],6,FALSE)</f>
        <v>0.4</v>
      </c>
      <c r="N292">
        <f>VLOOKUP(Demand_Data___Hourly_OverviewSearch_1_csv[[#This Row],[Date]],Supply_Data___Hourly_DriverActivity_1_csv__3[#All],7,FALSE)</f>
        <v>0.56000000000000005</v>
      </c>
      <c r="O292">
        <f>VLOOKUP(Demand_Data___Hourly_OverviewSearch_1_csv[[#This Row],[Date]],Supply_Data___Hourly_DriverActivity_1_csv__3[#All],8,FALSE)</f>
        <v>22</v>
      </c>
      <c r="P292">
        <f>(Demand_Data___Hourly_OverviewSearch_1_csv[[#This Row],[People saw 0 cars (unique)]]+Demand_Data___Hourly_OverviewSearch_1_csv[[#This Row],[People saw +1 cars (unique)]])</f>
        <v>67</v>
      </c>
      <c r="Q292" s="143">
        <f t="shared" si="19"/>
        <v>29</v>
      </c>
    </row>
    <row r="293" spans="1:17" x14ac:dyDescent="0.3">
      <c r="A293" t="s">
        <v>300</v>
      </c>
      <c r="B293" t="str">
        <f t="shared" si="16"/>
        <v xml:space="preserve"> 19</v>
      </c>
      <c r="C293">
        <f t="shared" si="17"/>
        <v>2</v>
      </c>
      <c r="D293" t="str">
        <f t="shared" si="18"/>
        <v xml:space="preserve">2016-12-06 </v>
      </c>
      <c r="E293" t="str">
        <f>TEXT(Demand_Data___Hourly_OverviewSearch_1_csv[[#This Row],[Day]],"dddd")</f>
        <v>Monday</v>
      </c>
      <c r="F293">
        <v>15</v>
      </c>
      <c r="G293">
        <v>74</v>
      </c>
      <c r="H293">
        <v>83</v>
      </c>
      <c r="I293">
        <f>VLOOKUP(Demand_Data___Hourly_OverviewSearch_1_csv[[#This Row],[Date]],Supply_Data___Hourly_DriverActivity_1_csv__3[#All],2,FALSE)</f>
        <v>108</v>
      </c>
      <c r="J293">
        <f>VLOOKUP(Demand_Data___Hourly_OverviewSearch_1_csv[[#This Row],[Date]],Supply_Data___Hourly_DriverActivity_1_csv__3[#All],3,FALSE)</f>
        <v>43</v>
      </c>
      <c r="K293">
        <f>VLOOKUP(Demand_Data___Hourly_OverviewSearch_1_csv[[#This Row],[Date]],Supply_Data___Hourly_DriverActivity_1_csv__3[#All],4,FALSE)</f>
        <v>22</v>
      </c>
      <c r="L293">
        <f>VLOOKUP(Demand_Data___Hourly_OverviewSearch_1_csv[[#This Row],[Date]],Supply_Data___Hourly_DriverActivity_1_csv__3[#All],5,FALSE)</f>
        <v>21</v>
      </c>
      <c r="M293">
        <f>VLOOKUP(Demand_Data___Hourly_OverviewSearch_1_csv[[#This Row],[Date]],Supply_Data___Hourly_DriverActivity_1_csv__3[#All],6,FALSE)</f>
        <v>0.4</v>
      </c>
      <c r="N293">
        <f>VLOOKUP(Demand_Data___Hourly_OverviewSearch_1_csv[[#This Row],[Date]],Supply_Data___Hourly_DriverActivity_1_csv__3[#All],7,FALSE)</f>
        <v>0.65</v>
      </c>
      <c r="O293">
        <f>VLOOKUP(Demand_Data___Hourly_OverviewSearch_1_csv[[#This Row],[Date]],Supply_Data___Hourly_DriverActivity_1_csv__3[#All],8,FALSE)</f>
        <v>28</v>
      </c>
      <c r="P293">
        <f>(Demand_Data___Hourly_OverviewSearch_1_csv[[#This Row],[People saw 0 cars (unique)]]+Demand_Data___Hourly_OverviewSearch_1_csv[[#This Row],[People saw +1 cars (unique)]])</f>
        <v>89</v>
      </c>
      <c r="Q293" s="143">
        <f t="shared" si="19"/>
        <v>21</v>
      </c>
    </row>
    <row r="294" spans="1:17" x14ac:dyDescent="0.3">
      <c r="A294" t="s">
        <v>301</v>
      </c>
      <c r="B294" t="str">
        <f t="shared" si="16"/>
        <v xml:space="preserve"> 18</v>
      </c>
      <c r="C294">
        <f t="shared" si="17"/>
        <v>2</v>
      </c>
      <c r="D294" t="str">
        <f t="shared" si="18"/>
        <v xml:space="preserve">2016-12-06 </v>
      </c>
      <c r="E294" t="str">
        <f>TEXT(Demand_Data___Hourly_OverviewSearch_1_csv[[#This Row],[Day]],"dddd")</f>
        <v>Monday</v>
      </c>
      <c r="F294">
        <v>47</v>
      </c>
      <c r="G294">
        <v>68</v>
      </c>
      <c r="H294">
        <v>59</v>
      </c>
      <c r="I294">
        <f>VLOOKUP(Demand_Data___Hourly_OverviewSearch_1_csv[[#This Row],[Date]],Supply_Data___Hourly_DriverActivity_1_csv__3[#All],2,FALSE)</f>
        <v>90</v>
      </c>
      <c r="J294">
        <f>VLOOKUP(Demand_Data___Hourly_OverviewSearch_1_csv[[#This Row],[Date]],Supply_Data___Hourly_DriverActivity_1_csv__3[#All],3,FALSE)</f>
        <v>31</v>
      </c>
      <c r="K294">
        <f>VLOOKUP(Demand_Data___Hourly_OverviewSearch_1_csv[[#This Row],[Date]],Supply_Data___Hourly_DriverActivity_1_csv__3[#All],4,FALSE)</f>
        <v>19</v>
      </c>
      <c r="L294">
        <f>VLOOKUP(Demand_Data___Hourly_OverviewSearch_1_csv[[#This Row],[Date]],Supply_Data___Hourly_DriverActivity_1_csv__3[#All],5,FALSE)</f>
        <v>12</v>
      </c>
      <c r="M294">
        <f>VLOOKUP(Demand_Data___Hourly_OverviewSearch_1_csv[[#This Row],[Date]],Supply_Data___Hourly_DriverActivity_1_csv__3[#All],6,FALSE)</f>
        <v>0.3</v>
      </c>
      <c r="N294">
        <f>VLOOKUP(Demand_Data___Hourly_OverviewSearch_1_csv[[#This Row],[Date]],Supply_Data___Hourly_DriverActivity_1_csv__3[#All],7,FALSE)</f>
        <v>1.19</v>
      </c>
      <c r="O294">
        <f>VLOOKUP(Demand_Data___Hourly_OverviewSearch_1_csv[[#This Row],[Date]],Supply_Data___Hourly_DriverActivity_1_csv__3[#All],8,FALSE)</f>
        <v>37</v>
      </c>
      <c r="P294">
        <f>(Demand_Data___Hourly_OverviewSearch_1_csv[[#This Row],[People saw 0 cars (unique)]]+Demand_Data___Hourly_OverviewSearch_1_csv[[#This Row],[People saw +1 cars (unique)]])</f>
        <v>115</v>
      </c>
      <c r="Q294" s="143">
        <f t="shared" si="19"/>
        <v>12</v>
      </c>
    </row>
    <row r="295" spans="1:17" x14ac:dyDescent="0.3">
      <c r="A295" t="s">
        <v>302</v>
      </c>
      <c r="B295" t="str">
        <f t="shared" si="16"/>
        <v xml:space="preserve"> 17</v>
      </c>
      <c r="C295">
        <f t="shared" si="17"/>
        <v>2</v>
      </c>
      <c r="D295" t="str">
        <f t="shared" si="18"/>
        <v xml:space="preserve">2016-12-06 </v>
      </c>
      <c r="E295" t="str">
        <f>TEXT(Demand_Data___Hourly_OverviewSearch_1_csv[[#This Row],[Day]],"dddd")</f>
        <v>Monday</v>
      </c>
      <c r="F295">
        <v>1</v>
      </c>
      <c r="G295">
        <v>50</v>
      </c>
      <c r="H295">
        <v>98</v>
      </c>
      <c r="I295">
        <f>VLOOKUP(Demand_Data___Hourly_OverviewSearch_1_csv[[#This Row],[Date]],Supply_Data___Hourly_DriverActivity_1_csv__3[#All],2,FALSE)</f>
        <v>91</v>
      </c>
      <c r="J295">
        <f>VLOOKUP(Demand_Data___Hourly_OverviewSearch_1_csv[[#This Row],[Date]],Supply_Data___Hourly_DriverActivity_1_csv__3[#All],3,FALSE)</f>
        <v>30</v>
      </c>
      <c r="K295">
        <f>VLOOKUP(Demand_Data___Hourly_OverviewSearch_1_csv[[#This Row],[Date]],Supply_Data___Hourly_DriverActivity_1_csv__3[#All],4,FALSE)</f>
        <v>6</v>
      </c>
      <c r="L295">
        <f>VLOOKUP(Demand_Data___Hourly_OverviewSearch_1_csv[[#This Row],[Date]],Supply_Data___Hourly_DriverActivity_1_csv__3[#All],5,FALSE)</f>
        <v>24</v>
      </c>
      <c r="M295">
        <f>VLOOKUP(Demand_Data___Hourly_OverviewSearch_1_csv[[#This Row],[Date]],Supply_Data___Hourly_DriverActivity_1_csv__3[#All],6,FALSE)</f>
        <v>0.3</v>
      </c>
      <c r="N295">
        <f>VLOOKUP(Demand_Data___Hourly_OverviewSearch_1_csv[[#This Row],[Date]],Supply_Data___Hourly_DriverActivity_1_csv__3[#All],7,FALSE)</f>
        <v>0.63</v>
      </c>
      <c r="O295">
        <f>VLOOKUP(Demand_Data___Hourly_OverviewSearch_1_csv[[#This Row],[Date]],Supply_Data___Hourly_DriverActivity_1_csv__3[#All],8,FALSE)</f>
        <v>19</v>
      </c>
      <c r="P295">
        <f>(Demand_Data___Hourly_OverviewSearch_1_csv[[#This Row],[People saw 0 cars (unique)]]+Demand_Data___Hourly_OverviewSearch_1_csv[[#This Row],[People saw +1 cars (unique)]])</f>
        <v>51</v>
      </c>
      <c r="Q295" s="143">
        <f t="shared" si="19"/>
        <v>24</v>
      </c>
    </row>
    <row r="296" spans="1:17" x14ac:dyDescent="0.3">
      <c r="A296" t="s">
        <v>303</v>
      </c>
      <c r="B296" t="str">
        <f t="shared" si="16"/>
        <v xml:space="preserve"> 16</v>
      </c>
      <c r="C296">
        <f t="shared" si="17"/>
        <v>2</v>
      </c>
      <c r="D296" t="str">
        <f t="shared" si="18"/>
        <v xml:space="preserve">2016-12-06 </v>
      </c>
      <c r="E296" t="str">
        <f>TEXT(Demand_Data___Hourly_OverviewSearch_1_csv[[#This Row],[Day]],"dddd")</f>
        <v>Monday</v>
      </c>
      <c r="F296">
        <v>3</v>
      </c>
      <c r="G296">
        <v>37</v>
      </c>
      <c r="H296">
        <v>93</v>
      </c>
      <c r="I296">
        <f>VLOOKUP(Demand_Data___Hourly_OverviewSearch_1_csv[[#This Row],[Date]],Supply_Data___Hourly_DriverActivity_1_csv__3[#All],2,FALSE)</f>
        <v>84</v>
      </c>
      <c r="J296">
        <f>VLOOKUP(Demand_Data___Hourly_OverviewSearch_1_csv[[#This Row],[Date]],Supply_Data___Hourly_DriverActivity_1_csv__3[#All],3,FALSE)</f>
        <v>27</v>
      </c>
      <c r="K296">
        <f>VLOOKUP(Demand_Data___Hourly_OverviewSearch_1_csv[[#This Row],[Date]],Supply_Data___Hourly_DriverActivity_1_csv__3[#All],4,FALSE)</f>
        <v>3</v>
      </c>
      <c r="L296">
        <f>VLOOKUP(Demand_Data___Hourly_OverviewSearch_1_csv[[#This Row],[Date]],Supply_Data___Hourly_DriverActivity_1_csv__3[#All],5,FALSE)</f>
        <v>24</v>
      </c>
      <c r="M296">
        <f>VLOOKUP(Demand_Data___Hourly_OverviewSearch_1_csv[[#This Row],[Date]],Supply_Data___Hourly_DriverActivity_1_csv__3[#All],6,FALSE)</f>
        <v>0.3</v>
      </c>
      <c r="N296">
        <f>VLOOKUP(Demand_Data___Hourly_OverviewSearch_1_csv[[#This Row],[Date]],Supply_Data___Hourly_DriverActivity_1_csv__3[#All],7,FALSE)</f>
        <v>0.22</v>
      </c>
      <c r="O296">
        <f>VLOOKUP(Demand_Data___Hourly_OverviewSearch_1_csv[[#This Row],[Date]],Supply_Data___Hourly_DriverActivity_1_csv__3[#All],8,FALSE)</f>
        <v>6</v>
      </c>
      <c r="P296">
        <f>(Demand_Data___Hourly_OverviewSearch_1_csv[[#This Row],[People saw 0 cars (unique)]]+Demand_Data___Hourly_OverviewSearch_1_csv[[#This Row],[People saw +1 cars (unique)]])</f>
        <v>40</v>
      </c>
      <c r="Q296" s="143">
        <f t="shared" si="19"/>
        <v>24</v>
      </c>
    </row>
    <row r="297" spans="1:17" x14ac:dyDescent="0.3">
      <c r="A297" t="s">
        <v>304</v>
      </c>
      <c r="B297" t="str">
        <f t="shared" si="16"/>
        <v xml:space="preserve"> 15</v>
      </c>
      <c r="C297">
        <f t="shared" si="17"/>
        <v>2</v>
      </c>
      <c r="D297" t="str">
        <f t="shared" si="18"/>
        <v xml:space="preserve">2016-12-06 </v>
      </c>
      <c r="E297" t="str">
        <f>TEXT(Demand_Data___Hourly_OverviewSearch_1_csv[[#This Row],[Day]],"dddd")</f>
        <v>Monday</v>
      </c>
      <c r="F297">
        <v>7</v>
      </c>
      <c r="G297">
        <v>26</v>
      </c>
      <c r="H297">
        <v>79</v>
      </c>
      <c r="I297">
        <f>VLOOKUP(Demand_Data___Hourly_OverviewSearch_1_csv[[#This Row],[Date]],Supply_Data___Hourly_DriverActivity_1_csv__3[#All],2,FALSE)</f>
        <v>76</v>
      </c>
      <c r="J297">
        <f>VLOOKUP(Demand_Data___Hourly_OverviewSearch_1_csv[[#This Row],[Date]],Supply_Data___Hourly_DriverActivity_1_csv__3[#All],3,FALSE)</f>
        <v>23</v>
      </c>
      <c r="K297">
        <f>VLOOKUP(Demand_Data___Hourly_OverviewSearch_1_csv[[#This Row],[Date]],Supply_Data___Hourly_DriverActivity_1_csv__3[#All],4,FALSE)</f>
        <v>2</v>
      </c>
      <c r="L297">
        <f>VLOOKUP(Demand_Data___Hourly_OverviewSearch_1_csv[[#This Row],[Date]],Supply_Data___Hourly_DriverActivity_1_csv__3[#All],5,FALSE)</f>
        <v>22</v>
      </c>
      <c r="M297">
        <f>VLOOKUP(Demand_Data___Hourly_OverviewSearch_1_csv[[#This Row],[Date]],Supply_Data___Hourly_DriverActivity_1_csv__3[#All],6,FALSE)</f>
        <v>0.3</v>
      </c>
      <c r="N297">
        <f>VLOOKUP(Demand_Data___Hourly_OverviewSearch_1_csv[[#This Row],[Date]],Supply_Data___Hourly_DriverActivity_1_csv__3[#All],7,FALSE)</f>
        <v>0.17</v>
      </c>
      <c r="O297">
        <f>VLOOKUP(Demand_Data___Hourly_OverviewSearch_1_csv[[#This Row],[Date]],Supply_Data___Hourly_DriverActivity_1_csv__3[#All],8,FALSE)</f>
        <v>4</v>
      </c>
      <c r="P297">
        <f>(Demand_Data___Hourly_OverviewSearch_1_csv[[#This Row],[People saw 0 cars (unique)]]+Demand_Data___Hourly_OverviewSearch_1_csv[[#This Row],[People saw +1 cars (unique)]])</f>
        <v>33</v>
      </c>
      <c r="Q297" s="143">
        <f t="shared" si="19"/>
        <v>21</v>
      </c>
    </row>
    <row r="298" spans="1:17" x14ac:dyDescent="0.3">
      <c r="A298" t="s">
        <v>305</v>
      </c>
      <c r="B298" t="str">
        <f t="shared" si="16"/>
        <v xml:space="preserve"> 14</v>
      </c>
      <c r="C298">
        <f t="shared" si="17"/>
        <v>2</v>
      </c>
      <c r="D298" t="str">
        <f t="shared" si="18"/>
        <v xml:space="preserve">2016-12-06 </v>
      </c>
      <c r="E298" t="str">
        <f>TEXT(Demand_Data___Hourly_OverviewSearch_1_csv[[#This Row],[Day]],"dddd")</f>
        <v>Monday</v>
      </c>
      <c r="F298">
        <v>8</v>
      </c>
      <c r="G298">
        <v>27</v>
      </c>
      <c r="H298">
        <v>77</v>
      </c>
      <c r="I298">
        <f>VLOOKUP(Demand_Data___Hourly_OverviewSearch_1_csv[[#This Row],[Date]],Supply_Data___Hourly_DriverActivity_1_csv__3[#All],2,FALSE)</f>
        <v>65</v>
      </c>
      <c r="J298">
        <f>VLOOKUP(Demand_Data___Hourly_OverviewSearch_1_csv[[#This Row],[Date]],Supply_Data___Hourly_DriverActivity_1_csv__3[#All],3,FALSE)</f>
        <v>21</v>
      </c>
      <c r="K298">
        <f>VLOOKUP(Demand_Data___Hourly_OverviewSearch_1_csv[[#This Row],[Date]],Supply_Data___Hourly_DriverActivity_1_csv__3[#All],4,FALSE)</f>
        <v>4</v>
      </c>
      <c r="L298">
        <f>VLOOKUP(Demand_Data___Hourly_OverviewSearch_1_csv[[#This Row],[Date]],Supply_Data___Hourly_DriverActivity_1_csv__3[#All],5,FALSE)</f>
        <v>17</v>
      </c>
      <c r="M298">
        <f>VLOOKUP(Demand_Data___Hourly_OverviewSearch_1_csv[[#This Row],[Date]],Supply_Data___Hourly_DriverActivity_1_csv__3[#All],6,FALSE)</f>
        <v>0.3</v>
      </c>
      <c r="N298">
        <f>VLOOKUP(Demand_Data___Hourly_OverviewSearch_1_csv[[#This Row],[Date]],Supply_Data___Hourly_DriverActivity_1_csv__3[#All],7,FALSE)</f>
        <v>0.43</v>
      </c>
      <c r="O298">
        <f>VLOOKUP(Demand_Data___Hourly_OverviewSearch_1_csv[[#This Row],[Date]],Supply_Data___Hourly_DriverActivity_1_csv__3[#All],8,FALSE)</f>
        <v>9</v>
      </c>
      <c r="P298">
        <f>(Demand_Data___Hourly_OverviewSearch_1_csv[[#This Row],[People saw 0 cars (unique)]]+Demand_Data___Hourly_OverviewSearch_1_csv[[#This Row],[People saw +1 cars (unique)]])</f>
        <v>35</v>
      </c>
      <c r="Q298" s="143">
        <f t="shared" si="19"/>
        <v>17</v>
      </c>
    </row>
    <row r="299" spans="1:17" x14ac:dyDescent="0.3">
      <c r="A299" t="s">
        <v>306</v>
      </c>
      <c r="B299" t="str">
        <f t="shared" si="16"/>
        <v xml:space="preserve"> 13</v>
      </c>
      <c r="C299">
        <f t="shared" si="17"/>
        <v>2</v>
      </c>
      <c r="D299" t="str">
        <f t="shared" si="18"/>
        <v xml:space="preserve">2016-12-06 </v>
      </c>
      <c r="E299" t="str">
        <f>TEXT(Demand_Data___Hourly_OverviewSearch_1_csv[[#This Row],[Day]],"dddd")</f>
        <v>Monday</v>
      </c>
      <c r="F299">
        <v>7</v>
      </c>
      <c r="G299">
        <v>25</v>
      </c>
      <c r="H299">
        <v>78</v>
      </c>
      <c r="I299">
        <f>VLOOKUP(Demand_Data___Hourly_OverviewSearch_1_csv[[#This Row],[Date]],Supply_Data___Hourly_DriverActivity_1_csv__3[#All],2,FALSE)</f>
        <v>68</v>
      </c>
      <c r="J299">
        <f>VLOOKUP(Demand_Data___Hourly_OverviewSearch_1_csv[[#This Row],[Date]],Supply_Data___Hourly_DriverActivity_1_csv__3[#All],3,FALSE)</f>
        <v>19</v>
      </c>
      <c r="K299">
        <f>VLOOKUP(Demand_Data___Hourly_OverviewSearch_1_csv[[#This Row],[Date]],Supply_Data___Hourly_DriverActivity_1_csv__3[#All],4,FALSE)</f>
        <v>3</v>
      </c>
      <c r="L299">
        <f>VLOOKUP(Demand_Data___Hourly_OverviewSearch_1_csv[[#This Row],[Date]],Supply_Data___Hourly_DriverActivity_1_csv__3[#All],5,FALSE)</f>
        <v>16</v>
      </c>
      <c r="M299">
        <f>VLOOKUP(Demand_Data___Hourly_OverviewSearch_1_csv[[#This Row],[Date]],Supply_Data___Hourly_DriverActivity_1_csv__3[#All],6,FALSE)</f>
        <v>0.3</v>
      </c>
      <c r="N299">
        <f>VLOOKUP(Demand_Data___Hourly_OverviewSearch_1_csv[[#This Row],[Date]],Supply_Data___Hourly_DriverActivity_1_csv__3[#All],7,FALSE)</f>
        <v>0.53</v>
      </c>
      <c r="O299">
        <f>VLOOKUP(Demand_Data___Hourly_OverviewSearch_1_csv[[#This Row],[Date]],Supply_Data___Hourly_DriverActivity_1_csv__3[#All],8,FALSE)</f>
        <v>10</v>
      </c>
      <c r="P299">
        <f>(Demand_Data___Hourly_OverviewSearch_1_csv[[#This Row],[People saw 0 cars (unique)]]+Demand_Data___Hourly_OverviewSearch_1_csv[[#This Row],[People saw +1 cars (unique)]])</f>
        <v>32</v>
      </c>
      <c r="Q299" s="143">
        <f t="shared" si="19"/>
        <v>16</v>
      </c>
    </row>
    <row r="300" spans="1:17" x14ac:dyDescent="0.3">
      <c r="A300" t="s">
        <v>307</v>
      </c>
      <c r="B300" t="str">
        <f t="shared" si="16"/>
        <v xml:space="preserve"> 12</v>
      </c>
      <c r="C300">
        <f t="shared" si="17"/>
        <v>2</v>
      </c>
      <c r="D300" t="str">
        <f t="shared" si="18"/>
        <v xml:space="preserve">2016-12-06 </v>
      </c>
      <c r="E300" t="str">
        <f>TEXT(Demand_Data___Hourly_OverviewSearch_1_csv[[#This Row],[Day]],"dddd")</f>
        <v>Monday</v>
      </c>
      <c r="F300">
        <v>7</v>
      </c>
      <c r="G300">
        <v>24</v>
      </c>
      <c r="H300">
        <v>77</v>
      </c>
      <c r="I300">
        <f>VLOOKUP(Demand_Data___Hourly_OverviewSearch_1_csv[[#This Row],[Date]],Supply_Data___Hourly_DriverActivity_1_csv__3[#All],2,FALSE)</f>
        <v>78</v>
      </c>
      <c r="J300">
        <f>VLOOKUP(Demand_Data___Hourly_OverviewSearch_1_csv[[#This Row],[Date]],Supply_Data___Hourly_DriverActivity_1_csv__3[#All],3,FALSE)</f>
        <v>22</v>
      </c>
      <c r="K300">
        <f>VLOOKUP(Demand_Data___Hourly_OverviewSearch_1_csv[[#This Row],[Date]],Supply_Data___Hourly_DriverActivity_1_csv__3[#All],4,FALSE)</f>
        <v>2</v>
      </c>
      <c r="L300">
        <f>VLOOKUP(Demand_Data___Hourly_OverviewSearch_1_csv[[#This Row],[Date]],Supply_Data___Hourly_DriverActivity_1_csv__3[#All],5,FALSE)</f>
        <v>20</v>
      </c>
      <c r="M300">
        <f>VLOOKUP(Demand_Data___Hourly_OverviewSearch_1_csv[[#This Row],[Date]],Supply_Data___Hourly_DriverActivity_1_csv__3[#All],6,FALSE)</f>
        <v>0.3</v>
      </c>
      <c r="N300">
        <f>VLOOKUP(Demand_Data___Hourly_OverviewSearch_1_csv[[#This Row],[Date]],Supply_Data___Hourly_DriverActivity_1_csv__3[#All],7,FALSE)</f>
        <v>0.14000000000000001</v>
      </c>
      <c r="O300">
        <f>VLOOKUP(Demand_Data___Hourly_OverviewSearch_1_csv[[#This Row],[Date]],Supply_Data___Hourly_DriverActivity_1_csv__3[#All],8,FALSE)</f>
        <v>3</v>
      </c>
      <c r="P300">
        <f>(Demand_Data___Hourly_OverviewSearch_1_csv[[#This Row],[People saw 0 cars (unique)]]+Demand_Data___Hourly_OverviewSearch_1_csv[[#This Row],[People saw +1 cars (unique)]])</f>
        <v>31</v>
      </c>
      <c r="Q300" s="143">
        <f t="shared" si="19"/>
        <v>20</v>
      </c>
    </row>
    <row r="301" spans="1:17" x14ac:dyDescent="0.3">
      <c r="A301" t="s">
        <v>308</v>
      </c>
      <c r="B301" t="str">
        <f t="shared" si="16"/>
        <v xml:space="preserve"> 11</v>
      </c>
      <c r="C301">
        <f t="shared" si="17"/>
        <v>2</v>
      </c>
      <c r="D301" t="str">
        <f t="shared" si="18"/>
        <v xml:space="preserve">2016-12-06 </v>
      </c>
      <c r="E301" t="str">
        <f>TEXT(Demand_Data___Hourly_OverviewSearch_1_csv[[#This Row],[Day]],"dddd")</f>
        <v>Monday</v>
      </c>
      <c r="F301">
        <v>10</v>
      </c>
      <c r="G301">
        <v>32</v>
      </c>
      <c r="H301">
        <v>76</v>
      </c>
      <c r="I301">
        <f>VLOOKUP(Demand_Data___Hourly_OverviewSearch_1_csv[[#This Row],[Date]],Supply_Data___Hourly_DriverActivity_1_csv__3[#All],2,FALSE)</f>
        <v>73</v>
      </c>
      <c r="J301">
        <f>VLOOKUP(Demand_Data___Hourly_OverviewSearch_1_csv[[#This Row],[Date]],Supply_Data___Hourly_DriverActivity_1_csv__3[#All],3,FALSE)</f>
        <v>26</v>
      </c>
      <c r="K301">
        <f>VLOOKUP(Demand_Data___Hourly_OverviewSearch_1_csv[[#This Row],[Date]],Supply_Data___Hourly_DriverActivity_1_csv__3[#All],4,FALSE)</f>
        <v>5</v>
      </c>
      <c r="L301">
        <f>VLOOKUP(Demand_Data___Hourly_OverviewSearch_1_csv[[#This Row],[Date]],Supply_Data___Hourly_DriverActivity_1_csv__3[#All],5,FALSE)</f>
        <v>20</v>
      </c>
      <c r="M301">
        <f>VLOOKUP(Demand_Data___Hourly_OverviewSearch_1_csv[[#This Row],[Date]],Supply_Data___Hourly_DriverActivity_1_csv__3[#All],6,FALSE)</f>
        <v>0.4</v>
      </c>
      <c r="N301">
        <f>VLOOKUP(Demand_Data___Hourly_OverviewSearch_1_csv[[#This Row],[Date]],Supply_Data___Hourly_DriverActivity_1_csv__3[#All],7,FALSE)</f>
        <v>0.35</v>
      </c>
      <c r="O301">
        <f>VLOOKUP(Demand_Data___Hourly_OverviewSearch_1_csv[[#This Row],[Date]],Supply_Data___Hourly_DriverActivity_1_csv__3[#All],8,FALSE)</f>
        <v>9</v>
      </c>
      <c r="P301">
        <f>(Demand_Data___Hourly_OverviewSearch_1_csv[[#This Row],[People saw 0 cars (unique)]]+Demand_Data___Hourly_OverviewSearch_1_csv[[#This Row],[People saw +1 cars (unique)]])</f>
        <v>42</v>
      </c>
      <c r="Q301" s="143">
        <f t="shared" si="19"/>
        <v>21</v>
      </c>
    </row>
    <row r="302" spans="1:17" x14ac:dyDescent="0.3">
      <c r="A302" t="s">
        <v>309</v>
      </c>
      <c r="B302" t="str">
        <f t="shared" si="16"/>
        <v xml:space="preserve"> 10</v>
      </c>
      <c r="C302">
        <f t="shared" si="17"/>
        <v>2</v>
      </c>
      <c r="D302" t="str">
        <f t="shared" si="18"/>
        <v xml:space="preserve">2016-12-06 </v>
      </c>
      <c r="E302" t="str">
        <f>TEXT(Demand_Data___Hourly_OverviewSearch_1_csv[[#This Row],[Day]],"dddd")</f>
        <v>Monday</v>
      </c>
      <c r="F302">
        <v>22</v>
      </c>
      <c r="G302">
        <v>44</v>
      </c>
      <c r="H302">
        <v>67</v>
      </c>
      <c r="I302">
        <f>VLOOKUP(Demand_Data___Hourly_OverviewSearch_1_csv[[#This Row],[Date]],Supply_Data___Hourly_DriverActivity_1_csv__3[#All],2,FALSE)</f>
        <v>72</v>
      </c>
      <c r="J302">
        <f>VLOOKUP(Demand_Data___Hourly_OverviewSearch_1_csv[[#This Row],[Date]],Supply_Data___Hourly_DriverActivity_1_csv__3[#All],3,FALSE)</f>
        <v>26</v>
      </c>
      <c r="K302">
        <f>VLOOKUP(Demand_Data___Hourly_OverviewSearch_1_csv[[#This Row],[Date]],Supply_Data___Hourly_DriverActivity_1_csv__3[#All],4,FALSE)</f>
        <v>9</v>
      </c>
      <c r="L302">
        <f>VLOOKUP(Demand_Data___Hourly_OverviewSearch_1_csv[[#This Row],[Date]],Supply_Data___Hourly_DriverActivity_1_csv__3[#All],5,FALSE)</f>
        <v>17</v>
      </c>
      <c r="M302">
        <f>VLOOKUP(Demand_Data___Hourly_OverviewSearch_1_csv[[#This Row],[Date]],Supply_Data___Hourly_DriverActivity_1_csv__3[#All],6,FALSE)</f>
        <v>0.4</v>
      </c>
      <c r="N302">
        <f>VLOOKUP(Demand_Data___Hourly_OverviewSearch_1_csv[[#This Row],[Date]],Supply_Data___Hourly_DriverActivity_1_csv__3[#All],7,FALSE)</f>
        <v>0.65</v>
      </c>
      <c r="O302">
        <f>VLOOKUP(Demand_Data___Hourly_OverviewSearch_1_csv[[#This Row],[Date]],Supply_Data___Hourly_DriverActivity_1_csv__3[#All],8,FALSE)</f>
        <v>17</v>
      </c>
      <c r="P302">
        <f>(Demand_Data___Hourly_OverviewSearch_1_csv[[#This Row],[People saw 0 cars (unique)]]+Demand_Data___Hourly_OverviewSearch_1_csv[[#This Row],[People saw +1 cars (unique)]])</f>
        <v>66</v>
      </c>
      <c r="Q302" s="143">
        <f t="shared" si="19"/>
        <v>17</v>
      </c>
    </row>
    <row r="303" spans="1:17" x14ac:dyDescent="0.3">
      <c r="A303" t="s">
        <v>310</v>
      </c>
      <c r="B303" t="str">
        <f t="shared" si="16"/>
        <v xml:space="preserve"> 09</v>
      </c>
      <c r="C303">
        <f t="shared" si="17"/>
        <v>2</v>
      </c>
      <c r="D303" t="str">
        <f t="shared" si="18"/>
        <v xml:space="preserve">2016-12-06 </v>
      </c>
      <c r="E303" t="str">
        <f>TEXT(Demand_Data___Hourly_OverviewSearch_1_csv[[#This Row],[Day]],"dddd")</f>
        <v>Monday</v>
      </c>
      <c r="F303">
        <v>39</v>
      </c>
      <c r="G303">
        <v>66</v>
      </c>
      <c r="H303">
        <v>63</v>
      </c>
      <c r="I303">
        <f>VLOOKUP(Demand_Data___Hourly_OverviewSearch_1_csv[[#This Row],[Date]],Supply_Data___Hourly_DriverActivity_1_csv__3[#All],2,FALSE)</f>
        <v>75</v>
      </c>
      <c r="J303">
        <f>VLOOKUP(Demand_Data___Hourly_OverviewSearch_1_csv[[#This Row],[Date]],Supply_Data___Hourly_DriverActivity_1_csv__3[#All],3,FALSE)</f>
        <v>30</v>
      </c>
      <c r="K303">
        <f>VLOOKUP(Demand_Data___Hourly_OverviewSearch_1_csv[[#This Row],[Date]],Supply_Data___Hourly_DriverActivity_1_csv__3[#All],4,FALSE)</f>
        <v>16</v>
      </c>
      <c r="L303">
        <f>VLOOKUP(Demand_Data___Hourly_OverviewSearch_1_csv[[#This Row],[Date]],Supply_Data___Hourly_DriverActivity_1_csv__3[#All],5,FALSE)</f>
        <v>14</v>
      </c>
      <c r="M303">
        <f>VLOOKUP(Demand_Data___Hourly_OverviewSearch_1_csv[[#This Row],[Date]],Supply_Data___Hourly_DriverActivity_1_csv__3[#All],6,FALSE)</f>
        <v>0.4</v>
      </c>
      <c r="N303">
        <f>VLOOKUP(Demand_Data___Hourly_OverviewSearch_1_csv[[#This Row],[Date]],Supply_Data___Hourly_DriverActivity_1_csv__3[#All],7,FALSE)</f>
        <v>0.97</v>
      </c>
      <c r="O303">
        <f>VLOOKUP(Demand_Data___Hourly_OverviewSearch_1_csv[[#This Row],[Date]],Supply_Data___Hourly_DriverActivity_1_csv__3[#All],8,FALSE)</f>
        <v>29</v>
      </c>
      <c r="P303">
        <f>(Demand_Data___Hourly_OverviewSearch_1_csv[[#This Row],[People saw 0 cars (unique)]]+Demand_Data___Hourly_OverviewSearch_1_csv[[#This Row],[People saw +1 cars (unique)]])</f>
        <v>105</v>
      </c>
      <c r="Q303" s="143">
        <f t="shared" si="19"/>
        <v>14</v>
      </c>
    </row>
    <row r="304" spans="1:17" x14ac:dyDescent="0.3">
      <c r="A304" t="s">
        <v>311</v>
      </c>
      <c r="B304" t="str">
        <f t="shared" si="16"/>
        <v xml:space="preserve"> 08</v>
      </c>
      <c r="C304">
        <f t="shared" si="17"/>
        <v>2</v>
      </c>
      <c r="D304" t="str">
        <f t="shared" si="18"/>
        <v xml:space="preserve">2016-12-06 </v>
      </c>
      <c r="E304" t="str">
        <f>TEXT(Demand_Data___Hourly_OverviewSearch_1_csv[[#This Row],[Day]],"dddd")</f>
        <v>Monday</v>
      </c>
      <c r="F304">
        <v>21</v>
      </c>
      <c r="G304">
        <v>45</v>
      </c>
      <c r="H304">
        <v>68</v>
      </c>
      <c r="I304">
        <f>VLOOKUP(Demand_Data___Hourly_OverviewSearch_1_csv[[#This Row],[Date]],Supply_Data___Hourly_DriverActivity_1_csv__3[#All],2,FALSE)</f>
        <v>59</v>
      </c>
      <c r="J304">
        <f>VLOOKUP(Demand_Data___Hourly_OverviewSearch_1_csv[[#This Row],[Date]],Supply_Data___Hourly_DriverActivity_1_csv__3[#All],3,FALSE)</f>
        <v>27</v>
      </c>
      <c r="K304">
        <f>VLOOKUP(Demand_Data___Hourly_OverviewSearch_1_csv[[#This Row],[Date]],Supply_Data___Hourly_DriverActivity_1_csv__3[#All],4,FALSE)</f>
        <v>12</v>
      </c>
      <c r="L304">
        <f>VLOOKUP(Demand_Data___Hourly_OverviewSearch_1_csv[[#This Row],[Date]],Supply_Data___Hourly_DriverActivity_1_csv__3[#All],5,FALSE)</f>
        <v>15</v>
      </c>
      <c r="M304">
        <f>VLOOKUP(Demand_Data___Hourly_OverviewSearch_1_csv[[#This Row],[Date]],Supply_Data___Hourly_DriverActivity_1_csv__3[#All],6,FALSE)</f>
        <v>0.5</v>
      </c>
      <c r="N304">
        <f>VLOOKUP(Demand_Data___Hourly_OverviewSearch_1_csv[[#This Row],[Date]],Supply_Data___Hourly_DriverActivity_1_csv__3[#All],7,FALSE)</f>
        <v>0.89</v>
      </c>
      <c r="O304">
        <f>VLOOKUP(Demand_Data___Hourly_OverviewSearch_1_csv[[#This Row],[Date]],Supply_Data___Hourly_DriverActivity_1_csv__3[#All],8,FALSE)</f>
        <v>24</v>
      </c>
      <c r="P304">
        <f>(Demand_Data___Hourly_OverviewSearch_1_csv[[#This Row],[People saw 0 cars (unique)]]+Demand_Data___Hourly_OverviewSearch_1_csv[[#This Row],[People saw +1 cars (unique)]])</f>
        <v>66</v>
      </c>
      <c r="Q304" s="143">
        <f t="shared" si="19"/>
        <v>15</v>
      </c>
    </row>
    <row r="305" spans="1:17" x14ac:dyDescent="0.3">
      <c r="A305" t="s">
        <v>312</v>
      </c>
      <c r="B305" t="str">
        <f t="shared" si="16"/>
        <v xml:space="preserve"> 07</v>
      </c>
      <c r="C305">
        <f t="shared" si="17"/>
        <v>2</v>
      </c>
      <c r="D305" t="str">
        <f t="shared" si="18"/>
        <v xml:space="preserve">2016-12-06 </v>
      </c>
      <c r="E305" t="str">
        <f>TEXT(Demand_Data___Hourly_OverviewSearch_1_csv[[#This Row],[Day]],"dddd")</f>
        <v>Monday</v>
      </c>
      <c r="F305">
        <v>19</v>
      </c>
      <c r="G305">
        <v>22</v>
      </c>
      <c r="H305">
        <v>54</v>
      </c>
      <c r="I305">
        <f>VLOOKUP(Demand_Data___Hourly_OverviewSearch_1_csv[[#This Row],[Date]],Supply_Data___Hourly_DriverActivity_1_csv__3[#All],2,FALSE)</f>
        <v>46</v>
      </c>
      <c r="J305">
        <f>VLOOKUP(Demand_Data___Hourly_OverviewSearch_1_csv[[#This Row],[Date]],Supply_Data___Hourly_DriverActivity_1_csv__3[#All],3,FALSE)</f>
        <v>15</v>
      </c>
      <c r="K305">
        <f>VLOOKUP(Demand_Data___Hourly_OverviewSearch_1_csv[[#This Row],[Date]],Supply_Data___Hourly_DriverActivity_1_csv__3[#All],4,FALSE)</f>
        <v>5</v>
      </c>
      <c r="L305">
        <f>VLOOKUP(Demand_Data___Hourly_OverviewSearch_1_csv[[#This Row],[Date]],Supply_Data___Hourly_DriverActivity_1_csv__3[#All],5,FALSE)</f>
        <v>10</v>
      </c>
      <c r="M305">
        <f>VLOOKUP(Demand_Data___Hourly_OverviewSearch_1_csv[[#This Row],[Date]],Supply_Data___Hourly_DriverActivity_1_csv__3[#All],6,FALSE)</f>
        <v>0.3</v>
      </c>
      <c r="N305">
        <f>VLOOKUP(Demand_Data___Hourly_OverviewSearch_1_csv[[#This Row],[Date]],Supply_Data___Hourly_DriverActivity_1_csv__3[#All],7,FALSE)</f>
        <v>1</v>
      </c>
      <c r="O305">
        <f>VLOOKUP(Demand_Data___Hourly_OverviewSearch_1_csv[[#This Row],[Date]],Supply_Data___Hourly_DriverActivity_1_csv__3[#All],8,FALSE)</f>
        <v>15</v>
      </c>
      <c r="P305">
        <f>(Demand_Data___Hourly_OverviewSearch_1_csv[[#This Row],[People saw 0 cars (unique)]]+Demand_Data___Hourly_OverviewSearch_1_csv[[#This Row],[People saw +1 cars (unique)]])</f>
        <v>41</v>
      </c>
      <c r="Q305" s="143">
        <f t="shared" si="19"/>
        <v>10</v>
      </c>
    </row>
    <row r="306" spans="1:17" x14ac:dyDescent="0.3">
      <c r="A306" t="s">
        <v>313</v>
      </c>
      <c r="B306" t="str">
        <f t="shared" si="16"/>
        <v xml:space="preserve"> 06</v>
      </c>
      <c r="C306">
        <f t="shared" si="17"/>
        <v>2</v>
      </c>
      <c r="D306" t="str">
        <f t="shared" si="18"/>
        <v xml:space="preserve">2016-12-06 </v>
      </c>
      <c r="E306" t="str">
        <f>TEXT(Demand_Data___Hourly_OverviewSearch_1_csv[[#This Row],[Day]],"dddd")</f>
        <v>Monday</v>
      </c>
      <c r="F306">
        <v>6</v>
      </c>
      <c r="G306">
        <v>3</v>
      </c>
      <c r="H306">
        <v>33</v>
      </c>
      <c r="I306">
        <f>VLOOKUP(Demand_Data___Hourly_OverviewSearch_1_csv[[#This Row],[Date]],Supply_Data___Hourly_DriverActivity_1_csv__3[#All],2,FALSE)</f>
        <v>24</v>
      </c>
      <c r="J306">
        <f>VLOOKUP(Demand_Data___Hourly_OverviewSearch_1_csv[[#This Row],[Date]],Supply_Data___Hourly_DriverActivity_1_csv__3[#All],3,FALSE)</f>
        <v>7</v>
      </c>
      <c r="K306">
        <f>VLOOKUP(Demand_Data___Hourly_OverviewSearch_1_csv[[#This Row],[Date]],Supply_Data___Hourly_DriverActivity_1_csv__3[#All],4,FALSE)</f>
        <v>0</v>
      </c>
      <c r="L306">
        <f>VLOOKUP(Demand_Data___Hourly_OverviewSearch_1_csv[[#This Row],[Date]],Supply_Data___Hourly_DriverActivity_1_csv__3[#All],5,FALSE)</f>
        <v>7</v>
      </c>
      <c r="M306">
        <f>VLOOKUP(Demand_Data___Hourly_OverviewSearch_1_csv[[#This Row],[Date]],Supply_Data___Hourly_DriverActivity_1_csv__3[#All],6,FALSE)</f>
        <v>0.3</v>
      </c>
      <c r="N306">
        <f>VLOOKUP(Demand_Data___Hourly_OverviewSearch_1_csv[[#This Row],[Date]],Supply_Data___Hourly_DriverActivity_1_csv__3[#All],7,FALSE)</f>
        <v>0.14000000000000001</v>
      </c>
      <c r="O306">
        <f>VLOOKUP(Demand_Data___Hourly_OverviewSearch_1_csv[[#This Row],[Date]],Supply_Data___Hourly_DriverActivity_1_csv__3[#All],8,FALSE)</f>
        <v>1</v>
      </c>
      <c r="P306">
        <f>(Demand_Data___Hourly_OverviewSearch_1_csv[[#This Row],[People saw 0 cars (unique)]]+Demand_Data___Hourly_OverviewSearch_1_csv[[#This Row],[People saw +1 cars (unique)]])</f>
        <v>9</v>
      </c>
      <c r="Q306" s="143">
        <f t="shared" si="19"/>
        <v>7</v>
      </c>
    </row>
    <row r="307" spans="1:17" x14ac:dyDescent="0.3">
      <c r="A307" t="s">
        <v>314</v>
      </c>
      <c r="B307" t="str">
        <f t="shared" si="16"/>
        <v xml:space="preserve"> 05</v>
      </c>
      <c r="C307">
        <f t="shared" si="17"/>
        <v>2</v>
      </c>
      <c r="D307" t="str">
        <f t="shared" si="18"/>
        <v xml:space="preserve">2016-12-06 </v>
      </c>
      <c r="E307" t="str">
        <f>TEXT(Demand_Data___Hourly_OverviewSearch_1_csv[[#This Row],[Day]],"dddd")</f>
        <v>Monday</v>
      </c>
      <c r="F307">
        <v>1</v>
      </c>
      <c r="G307">
        <v>2</v>
      </c>
      <c r="H307">
        <v>67</v>
      </c>
      <c r="I307">
        <f>VLOOKUP(Demand_Data___Hourly_OverviewSearch_1_csv[[#This Row],[Date]],Supply_Data___Hourly_DriverActivity_1_csv__3[#All],2,FALSE)</f>
        <v>14</v>
      </c>
      <c r="J307">
        <f>VLOOKUP(Demand_Data___Hourly_OverviewSearch_1_csv[[#This Row],[Date]],Supply_Data___Hourly_DriverActivity_1_csv__3[#All],3,FALSE)</f>
        <v>5</v>
      </c>
      <c r="K307">
        <f>VLOOKUP(Demand_Data___Hourly_OverviewSearch_1_csv[[#This Row],[Date]],Supply_Data___Hourly_DriverActivity_1_csv__3[#All],4,FALSE)</f>
        <v>0</v>
      </c>
      <c r="L307">
        <f>VLOOKUP(Demand_Data___Hourly_OverviewSearch_1_csv[[#This Row],[Date]],Supply_Data___Hourly_DriverActivity_1_csv__3[#All],5,FALSE)</f>
        <v>5</v>
      </c>
      <c r="M307">
        <f>VLOOKUP(Demand_Data___Hourly_OverviewSearch_1_csv[[#This Row],[Date]],Supply_Data___Hourly_DriverActivity_1_csv__3[#All],6,FALSE)</f>
        <v>0.4</v>
      </c>
      <c r="N307">
        <f>VLOOKUP(Demand_Data___Hourly_OverviewSearch_1_csv[[#This Row],[Date]],Supply_Data___Hourly_DriverActivity_1_csv__3[#All],7,FALSE)</f>
        <v>0.2</v>
      </c>
      <c r="O307">
        <f>VLOOKUP(Demand_Data___Hourly_OverviewSearch_1_csv[[#This Row],[Date]],Supply_Data___Hourly_DriverActivity_1_csv__3[#All],8,FALSE)</f>
        <v>1</v>
      </c>
      <c r="P307">
        <f>(Demand_Data___Hourly_OverviewSearch_1_csv[[#This Row],[People saw 0 cars (unique)]]+Demand_Data___Hourly_OverviewSearch_1_csv[[#This Row],[People saw +1 cars (unique)]])</f>
        <v>3</v>
      </c>
      <c r="Q307" s="143">
        <f t="shared" si="19"/>
        <v>5</v>
      </c>
    </row>
    <row r="308" spans="1:17" x14ac:dyDescent="0.3">
      <c r="A308" t="s">
        <v>315</v>
      </c>
      <c r="B308" t="str">
        <f t="shared" si="16"/>
        <v xml:space="preserve"> 04</v>
      </c>
      <c r="C308">
        <f t="shared" si="17"/>
        <v>2</v>
      </c>
      <c r="D308" t="str">
        <f t="shared" si="18"/>
        <v xml:space="preserve">2016-12-06 </v>
      </c>
      <c r="E308" t="str">
        <f>TEXT(Demand_Data___Hourly_OverviewSearch_1_csv[[#This Row],[Day]],"dddd")</f>
        <v>Monday</v>
      </c>
      <c r="F308">
        <v>3</v>
      </c>
      <c r="G308">
        <v>1</v>
      </c>
      <c r="H308">
        <v>25</v>
      </c>
      <c r="I308">
        <f>VLOOKUP(Demand_Data___Hourly_OverviewSearch_1_csv[[#This Row],[Date]],Supply_Data___Hourly_DriverActivity_1_csv__3[#All],2,FALSE)</f>
        <v>16</v>
      </c>
      <c r="J308">
        <f>VLOOKUP(Demand_Data___Hourly_OverviewSearch_1_csv[[#This Row],[Date]],Supply_Data___Hourly_DriverActivity_1_csv__3[#All],3,FALSE)</f>
        <v>6</v>
      </c>
      <c r="K308">
        <f>VLOOKUP(Demand_Data___Hourly_OverviewSearch_1_csv[[#This Row],[Date]],Supply_Data___Hourly_DriverActivity_1_csv__3[#All],4,FALSE)</f>
        <v>0</v>
      </c>
      <c r="L308">
        <f>VLOOKUP(Demand_Data___Hourly_OverviewSearch_1_csv[[#This Row],[Date]],Supply_Data___Hourly_DriverActivity_1_csv__3[#All],5,FALSE)</f>
        <v>6</v>
      </c>
      <c r="M308">
        <f>VLOOKUP(Demand_Data___Hourly_OverviewSearch_1_csv[[#This Row],[Date]],Supply_Data___Hourly_DriverActivity_1_csv__3[#All],6,FALSE)</f>
        <v>0.4</v>
      </c>
      <c r="N308">
        <f>VLOOKUP(Demand_Data___Hourly_OverviewSearch_1_csv[[#This Row],[Date]],Supply_Data___Hourly_DriverActivity_1_csv__3[#All],7,FALSE)</f>
        <v>0</v>
      </c>
      <c r="O308">
        <f>VLOOKUP(Demand_Data___Hourly_OverviewSearch_1_csv[[#This Row],[Date]],Supply_Data___Hourly_DriverActivity_1_csv__3[#All],8,FALSE)</f>
        <v>0</v>
      </c>
      <c r="P308">
        <f>(Demand_Data___Hourly_OverviewSearch_1_csv[[#This Row],[People saw 0 cars (unique)]]+Demand_Data___Hourly_OverviewSearch_1_csv[[#This Row],[People saw +1 cars (unique)]])</f>
        <v>4</v>
      </c>
      <c r="Q308" s="143">
        <f t="shared" si="19"/>
        <v>6</v>
      </c>
    </row>
    <row r="309" spans="1:17" x14ac:dyDescent="0.3">
      <c r="A309" t="s">
        <v>316</v>
      </c>
      <c r="B309" t="str">
        <f t="shared" si="16"/>
        <v xml:space="preserve"> 03</v>
      </c>
      <c r="C309">
        <f t="shared" si="17"/>
        <v>2</v>
      </c>
      <c r="D309" t="str">
        <f t="shared" si="18"/>
        <v xml:space="preserve">2016-12-06 </v>
      </c>
      <c r="E309" t="str">
        <f>TEXT(Demand_Data___Hourly_OverviewSearch_1_csv[[#This Row],[Day]],"dddd")</f>
        <v>Monday</v>
      </c>
      <c r="F309">
        <v>6</v>
      </c>
      <c r="G309">
        <v>3</v>
      </c>
      <c r="H309">
        <v>33</v>
      </c>
      <c r="I309">
        <f>VLOOKUP(Demand_Data___Hourly_OverviewSearch_1_csv[[#This Row],[Date]],Supply_Data___Hourly_DriverActivity_1_csv__3[#All],2,FALSE)</f>
        <v>18</v>
      </c>
      <c r="J309">
        <f>VLOOKUP(Demand_Data___Hourly_OverviewSearch_1_csv[[#This Row],[Date]],Supply_Data___Hourly_DriverActivity_1_csv__3[#All],3,FALSE)</f>
        <v>6</v>
      </c>
      <c r="K309">
        <f>VLOOKUP(Demand_Data___Hourly_OverviewSearch_1_csv[[#This Row],[Date]],Supply_Data___Hourly_DriverActivity_1_csv__3[#All],4,FALSE)</f>
        <v>1</v>
      </c>
      <c r="L309">
        <f>VLOOKUP(Demand_Data___Hourly_OverviewSearch_1_csv[[#This Row],[Date]],Supply_Data___Hourly_DriverActivity_1_csv__3[#All],5,FALSE)</f>
        <v>5</v>
      </c>
      <c r="M309">
        <f>VLOOKUP(Demand_Data___Hourly_OverviewSearch_1_csv[[#This Row],[Date]],Supply_Data___Hourly_DriverActivity_1_csv__3[#All],6,FALSE)</f>
        <v>0.3</v>
      </c>
      <c r="N309">
        <f>VLOOKUP(Demand_Data___Hourly_OverviewSearch_1_csv[[#This Row],[Date]],Supply_Data___Hourly_DriverActivity_1_csv__3[#All],7,FALSE)</f>
        <v>0.33</v>
      </c>
      <c r="O309">
        <f>VLOOKUP(Demand_Data___Hourly_OverviewSearch_1_csv[[#This Row],[Date]],Supply_Data___Hourly_DriverActivity_1_csv__3[#All],8,FALSE)</f>
        <v>2</v>
      </c>
      <c r="P309">
        <f>(Demand_Data___Hourly_OverviewSearch_1_csv[[#This Row],[People saw 0 cars (unique)]]+Demand_Data___Hourly_OverviewSearch_1_csv[[#This Row],[People saw +1 cars (unique)]])</f>
        <v>9</v>
      </c>
      <c r="Q309" s="143">
        <f t="shared" si="19"/>
        <v>5</v>
      </c>
    </row>
    <row r="310" spans="1:17" x14ac:dyDescent="0.3">
      <c r="A310" t="s">
        <v>317</v>
      </c>
      <c r="B310" t="str">
        <f t="shared" si="16"/>
        <v xml:space="preserve"> 02</v>
      </c>
      <c r="C310">
        <f t="shared" si="17"/>
        <v>2</v>
      </c>
      <c r="D310" t="str">
        <f t="shared" si="18"/>
        <v xml:space="preserve">2016-12-06 </v>
      </c>
      <c r="E310" t="str">
        <f>TEXT(Demand_Data___Hourly_OverviewSearch_1_csv[[#This Row],[Day]],"dddd")</f>
        <v>Monday</v>
      </c>
      <c r="F310">
        <v>2</v>
      </c>
      <c r="G310">
        <v>4</v>
      </c>
      <c r="H310">
        <v>67</v>
      </c>
      <c r="I310">
        <f>VLOOKUP(Demand_Data___Hourly_OverviewSearch_1_csv[[#This Row],[Date]],Supply_Data___Hourly_DriverActivity_1_csv__3[#All],2,FALSE)</f>
        <v>19</v>
      </c>
      <c r="J310">
        <f>VLOOKUP(Demand_Data___Hourly_OverviewSearch_1_csv[[#This Row],[Date]],Supply_Data___Hourly_DriverActivity_1_csv__3[#All],3,FALSE)</f>
        <v>6</v>
      </c>
      <c r="K310">
        <f>VLOOKUP(Demand_Data___Hourly_OverviewSearch_1_csv[[#This Row],[Date]],Supply_Data___Hourly_DriverActivity_1_csv__3[#All],4,FALSE)</f>
        <v>0</v>
      </c>
      <c r="L310">
        <f>VLOOKUP(Demand_Data___Hourly_OverviewSearch_1_csv[[#This Row],[Date]],Supply_Data___Hourly_DriverActivity_1_csv__3[#All],5,FALSE)</f>
        <v>6</v>
      </c>
      <c r="M310">
        <f>VLOOKUP(Demand_Data___Hourly_OverviewSearch_1_csv[[#This Row],[Date]],Supply_Data___Hourly_DriverActivity_1_csv__3[#All],6,FALSE)</f>
        <v>0.3</v>
      </c>
      <c r="N310">
        <f>VLOOKUP(Demand_Data___Hourly_OverviewSearch_1_csv[[#This Row],[Date]],Supply_Data___Hourly_DriverActivity_1_csv__3[#All],7,FALSE)</f>
        <v>0</v>
      </c>
      <c r="O310">
        <f>VLOOKUP(Demand_Data___Hourly_OverviewSearch_1_csv[[#This Row],[Date]],Supply_Data___Hourly_DriverActivity_1_csv__3[#All],8,FALSE)</f>
        <v>0</v>
      </c>
      <c r="P310">
        <f>(Demand_Data___Hourly_OverviewSearch_1_csv[[#This Row],[People saw 0 cars (unique)]]+Demand_Data___Hourly_OverviewSearch_1_csv[[#This Row],[People saw +1 cars (unique)]])</f>
        <v>6</v>
      </c>
      <c r="Q310" s="143">
        <f t="shared" si="19"/>
        <v>6</v>
      </c>
    </row>
    <row r="311" spans="1:17" x14ac:dyDescent="0.3">
      <c r="A311" t="s">
        <v>318</v>
      </c>
      <c r="B311" t="str">
        <f t="shared" si="16"/>
        <v xml:space="preserve"> 01</v>
      </c>
      <c r="C311">
        <f t="shared" si="17"/>
        <v>2</v>
      </c>
      <c r="D311" t="str">
        <f t="shared" si="18"/>
        <v xml:space="preserve">2016-12-06 </v>
      </c>
      <c r="E311" t="str">
        <f>TEXT(Demand_Data___Hourly_OverviewSearch_1_csv[[#This Row],[Day]],"dddd")</f>
        <v>Monday</v>
      </c>
      <c r="F311">
        <v>9</v>
      </c>
      <c r="G311">
        <v>14</v>
      </c>
      <c r="H311">
        <v>61</v>
      </c>
      <c r="I311">
        <f>VLOOKUP(Demand_Data___Hourly_OverviewSearch_1_csv[[#This Row],[Date]],Supply_Data___Hourly_DriverActivity_1_csv__3[#All],2,FALSE)</f>
        <v>25</v>
      </c>
      <c r="J311">
        <f>VLOOKUP(Demand_Data___Hourly_OverviewSearch_1_csv[[#This Row],[Date]],Supply_Data___Hourly_DriverActivity_1_csv__3[#All],3,FALSE)</f>
        <v>8</v>
      </c>
      <c r="K311">
        <f>VLOOKUP(Demand_Data___Hourly_OverviewSearch_1_csv[[#This Row],[Date]],Supply_Data___Hourly_DriverActivity_1_csv__3[#All],4,FALSE)</f>
        <v>1</v>
      </c>
      <c r="L311">
        <f>VLOOKUP(Demand_Data___Hourly_OverviewSearch_1_csv[[#This Row],[Date]],Supply_Data___Hourly_DriverActivity_1_csv__3[#All],5,FALSE)</f>
        <v>7</v>
      </c>
      <c r="M311">
        <f>VLOOKUP(Demand_Data___Hourly_OverviewSearch_1_csv[[#This Row],[Date]],Supply_Data___Hourly_DriverActivity_1_csv__3[#All],6,FALSE)</f>
        <v>0.3</v>
      </c>
      <c r="N311">
        <f>VLOOKUP(Demand_Data___Hourly_OverviewSearch_1_csv[[#This Row],[Date]],Supply_Data___Hourly_DriverActivity_1_csv__3[#All],7,FALSE)</f>
        <v>0.13</v>
      </c>
      <c r="O311">
        <f>VLOOKUP(Demand_Data___Hourly_OverviewSearch_1_csv[[#This Row],[Date]],Supply_Data___Hourly_DriverActivity_1_csv__3[#All],8,FALSE)</f>
        <v>1</v>
      </c>
      <c r="P311">
        <f>(Demand_Data___Hourly_OverviewSearch_1_csv[[#This Row],[People saw 0 cars (unique)]]+Demand_Data___Hourly_OverviewSearch_1_csv[[#This Row],[People saw +1 cars (unique)]])</f>
        <v>23</v>
      </c>
      <c r="Q311" s="143">
        <f t="shared" si="19"/>
        <v>7</v>
      </c>
    </row>
    <row r="312" spans="1:17" x14ac:dyDescent="0.3">
      <c r="A312" t="s">
        <v>319</v>
      </c>
      <c r="B312" t="str">
        <f t="shared" si="16"/>
        <v xml:space="preserve"> 00</v>
      </c>
      <c r="C312">
        <f t="shared" si="17"/>
        <v>2</v>
      </c>
      <c r="D312" t="str">
        <f t="shared" si="18"/>
        <v xml:space="preserve">2016-12-06 </v>
      </c>
      <c r="E312" t="str">
        <f>TEXT(Demand_Data___Hourly_OverviewSearch_1_csv[[#This Row],[Day]],"dddd")</f>
        <v>Monday</v>
      </c>
      <c r="F312">
        <v>3</v>
      </c>
      <c r="G312">
        <v>19</v>
      </c>
      <c r="H312">
        <v>86</v>
      </c>
      <c r="I312">
        <f>VLOOKUP(Demand_Data___Hourly_OverviewSearch_1_csv[[#This Row],[Date]],Supply_Data___Hourly_DriverActivity_1_csv__3[#All],2,FALSE)</f>
        <v>40</v>
      </c>
      <c r="J312">
        <f>VLOOKUP(Demand_Data___Hourly_OverviewSearch_1_csv[[#This Row],[Date]],Supply_Data___Hourly_DriverActivity_1_csv__3[#All],3,FALSE)</f>
        <v>17</v>
      </c>
      <c r="K312">
        <f>VLOOKUP(Demand_Data___Hourly_OverviewSearch_1_csv[[#This Row],[Date]],Supply_Data___Hourly_DriverActivity_1_csv__3[#All],4,FALSE)</f>
        <v>4</v>
      </c>
      <c r="L312">
        <f>VLOOKUP(Demand_Data___Hourly_OverviewSearch_1_csv[[#This Row],[Date]],Supply_Data___Hourly_DriverActivity_1_csv__3[#All],5,FALSE)</f>
        <v>13</v>
      </c>
      <c r="M312">
        <f>VLOOKUP(Demand_Data___Hourly_OverviewSearch_1_csv[[#This Row],[Date]],Supply_Data___Hourly_DriverActivity_1_csv__3[#All],6,FALSE)</f>
        <v>0.4</v>
      </c>
      <c r="N312">
        <f>VLOOKUP(Demand_Data___Hourly_OverviewSearch_1_csv[[#This Row],[Date]],Supply_Data___Hourly_DriverActivity_1_csv__3[#All],7,FALSE)</f>
        <v>0.65</v>
      </c>
      <c r="O312">
        <f>VLOOKUP(Demand_Data___Hourly_OverviewSearch_1_csv[[#This Row],[Date]],Supply_Data___Hourly_DriverActivity_1_csv__3[#All],8,FALSE)</f>
        <v>11</v>
      </c>
      <c r="P312">
        <f>(Demand_Data___Hourly_OverviewSearch_1_csv[[#This Row],[People saw 0 cars (unique)]]+Demand_Data___Hourly_OverviewSearch_1_csv[[#This Row],[People saw +1 cars (unique)]])</f>
        <v>22</v>
      </c>
      <c r="Q312" s="143">
        <f t="shared" si="19"/>
        <v>13</v>
      </c>
    </row>
    <row r="313" spans="1:17" x14ac:dyDescent="0.3">
      <c r="A313" t="s">
        <v>320</v>
      </c>
      <c r="B313" t="str">
        <f t="shared" si="16"/>
        <v xml:space="preserve"> 23</v>
      </c>
      <c r="C313">
        <f t="shared" si="17"/>
        <v>1</v>
      </c>
      <c r="D313" t="str">
        <f t="shared" si="18"/>
        <v xml:space="preserve">2016-12-05 </v>
      </c>
      <c r="E313" t="str">
        <f>TEXT(Demand_Data___Hourly_OverviewSearch_1_csv[[#This Row],[Day]],"dddd")</f>
        <v>Sunday</v>
      </c>
      <c r="F313">
        <v>4</v>
      </c>
      <c r="G313">
        <v>26</v>
      </c>
      <c r="H313">
        <v>87</v>
      </c>
      <c r="I313">
        <f>VLOOKUP(Demand_Data___Hourly_OverviewSearch_1_csv[[#This Row],[Date]],Supply_Data___Hourly_DriverActivity_1_csv__3[#All],2,FALSE)</f>
        <v>52</v>
      </c>
      <c r="J313">
        <f>VLOOKUP(Demand_Data___Hourly_OverviewSearch_1_csv[[#This Row],[Date]],Supply_Data___Hourly_DriverActivity_1_csv__3[#All],3,FALSE)</f>
        <v>19</v>
      </c>
      <c r="K313">
        <f>VLOOKUP(Demand_Data___Hourly_OverviewSearch_1_csv[[#This Row],[Date]],Supply_Data___Hourly_DriverActivity_1_csv__3[#All],4,FALSE)</f>
        <v>3</v>
      </c>
      <c r="L313">
        <f>VLOOKUP(Demand_Data___Hourly_OverviewSearch_1_csv[[#This Row],[Date]],Supply_Data___Hourly_DriverActivity_1_csv__3[#All],5,FALSE)</f>
        <v>16</v>
      </c>
      <c r="M313">
        <f>VLOOKUP(Demand_Data___Hourly_OverviewSearch_1_csv[[#This Row],[Date]],Supply_Data___Hourly_DriverActivity_1_csv__3[#All],6,FALSE)</f>
        <v>0.4</v>
      </c>
      <c r="N313">
        <f>VLOOKUP(Demand_Data___Hourly_OverviewSearch_1_csv[[#This Row],[Date]],Supply_Data___Hourly_DriverActivity_1_csv__3[#All],7,FALSE)</f>
        <v>0.47</v>
      </c>
      <c r="O313">
        <f>VLOOKUP(Demand_Data___Hourly_OverviewSearch_1_csv[[#This Row],[Date]],Supply_Data___Hourly_DriverActivity_1_csv__3[#All],8,FALSE)</f>
        <v>9</v>
      </c>
      <c r="P313">
        <f>(Demand_Data___Hourly_OverviewSearch_1_csv[[#This Row],[People saw 0 cars (unique)]]+Demand_Data___Hourly_OverviewSearch_1_csv[[#This Row],[People saw +1 cars (unique)]])</f>
        <v>30</v>
      </c>
      <c r="Q313" s="143">
        <f t="shared" si="19"/>
        <v>16</v>
      </c>
    </row>
    <row r="314" spans="1:17" x14ac:dyDescent="0.3">
      <c r="A314" t="s">
        <v>321</v>
      </c>
      <c r="B314" t="str">
        <f t="shared" si="16"/>
        <v xml:space="preserve"> 22</v>
      </c>
      <c r="C314">
        <f t="shared" si="17"/>
        <v>1</v>
      </c>
      <c r="D314" t="str">
        <f t="shared" si="18"/>
        <v xml:space="preserve">2016-12-05 </v>
      </c>
      <c r="E314" t="str">
        <f>TEXT(Demand_Data___Hourly_OverviewSearch_1_csv[[#This Row],[Day]],"dddd")</f>
        <v>Sunday</v>
      </c>
      <c r="F314">
        <v>4</v>
      </c>
      <c r="G314">
        <v>38</v>
      </c>
      <c r="H314">
        <v>90</v>
      </c>
      <c r="I314">
        <f>VLOOKUP(Demand_Data___Hourly_OverviewSearch_1_csv[[#This Row],[Date]],Supply_Data___Hourly_DriverActivity_1_csv__3[#All],2,FALSE)</f>
        <v>71</v>
      </c>
      <c r="J314">
        <f>VLOOKUP(Demand_Data___Hourly_OverviewSearch_1_csv[[#This Row],[Date]],Supply_Data___Hourly_DriverActivity_1_csv__3[#All],3,FALSE)</f>
        <v>23</v>
      </c>
      <c r="K314">
        <f>VLOOKUP(Demand_Data___Hourly_OverviewSearch_1_csv[[#This Row],[Date]],Supply_Data___Hourly_DriverActivity_1_csv__3[#All],4,FALSE)</f>
        <v>7</v>
      </c>
      <c r="L314">
        <f>VLOOKUP(Demand_Data___Hourly_OverviewSearch_1_csv[[#This Row],[Date]],Supply_Data___Hourly_DriverActivity_1_csv__3[#All],5,FALSE)</f>
        <v>17</v>
      </c>
      <c r="M314">
        <f>VLOOKUP(Demand_Data___Hourly_OverviewSearch_1_csv[[#This Row],[Date]],Supply_Data___Hourly_DriverActivity_1_csv__3[#All],6,FALSE)</f>
        <v>0.3</v>
      </c>
      <c r="N314">
        <f>VLOOKUP(Demand_Data___Hourly_OverviewSearch_1_csv[[#This Row],[Date]],Supply_Data___Hourly_DriverActivity_1_csv__3[#All],7,FALSE)</f>
        <v>0.7</v>
      </c>
      <c r="O314">
        <f>VLOOKUP(Demand_Data___Hourly_OverviewSearch_1_csv[[#This Row],[Date]],Supply_Data___Hourly_DriverActivity_1_csv__3[#All],8,FALSE)</f>
        <v>16</v>
      </c>
      <c r="P314">
        <f>(Demand_Data___Hourly_OverviewSearch_1_csv[[#This Row],[People saw 0 cars (unique)]]+Demand_Data___Hourly_OverviewSearch_1_csv[[#This Row],[People saw +1 cars (unique)]])</f>
        <v>42</v>
      </c>
      <c r="Q314" s="143">
        <f t="shared" si="19"/>
        <v>16</v>
      </c>
    </row>
    <row r="315" spans="1:17" x14ac:dyDescent="0.3">
      <c r="A315" t="s">
        <v>322</v>
      </c>
      <c r="B315" t="str">
        <f t="shared" si="16"/>
        <v xml:space="preserve"> 21</v>
      </c>
      <c r="C315">
        <f t="shared" si="17"/>
        <v>1</v>
      </c>
      <c r="D315" t="str">
        <f t="shared" si="18"/>
        <v xml:space="preserve">2016-12-05 </v>
      </c>
      <c r="E315" t="str">
        <f>TEXT(Demand_Data___Hourly_OverviewSearch_1_csv[[#This Row],[Day]],"dddd")</f>
        <v>Sunday</v>
      </c>
      <c r="F315">
        <v>7</v>
      </c>
      <c r="G315">
        <v>39</v>
      </c>
      <c r="H315">
        <v>85</v>
      </c>
      <c r="I315">
        <f>VLOOKUP(Demand_Data___Hourly_OverviewSearch_1_csv[[#This Row],[Date]],Supply_Data___Hourly_DriverActivity_1_csv__3[#All],2,FALSE)</f>
        <v>85</v>
      </c>
      <c r="J315">
        <f>VLOOKUP(Demand_Data___Hourly_OverviewSearch_1_csv[[#This Row],[Date]],Supply_Data___Hourly_DriverActivity_1_csv__3[#All],3,FALSE)</f>
        <v>27</v>
      </c>
      <c r="K315">
        <f>VLOOKUP(Demand_Data___Hourly_OverviewSearch_1_csv[[#This Row],[Date]],Supply_Data___Hourly_DriverActivity_1_csv__3[#All],4,FALSE)</f>
        <v>7</v>
      </c>
      <c r="L315">
        <f>VLOOKUP(Demand_Data___Hourly_OverviewSearch_1_csv[[#This Row],[Date]],Supply_Data___Hourly_DriverActivity_1_csv__3[#All],5,FALSE)</f>
        <v>20</v>
      </c>
      <c r="M315">
        <f>VLOOKUP(Demand_Data___Hourly_OverviewSearch_1_csv[[#This Row],[Date]],Supply_Data___Hourly_DriverActivity_1_csv__3[#All],6,FALSE)</f>
        <v>0.3</v>
      </c>
      <c r="N315">
        <f>VLOOKUP(Demand_Data___Hourly_OverviewSearch_1_csv[[#This Row],[Date]],Supply_Data___Hourly_DriverActivity_1_csv__3[#All],7,FALSE)</f>
        <v>0.56000000000000005</v>
      </c>
      <c r="O315">
        <f>VLOOKUP(Demand_Data___Hourly_OverviewSearch_1_csv[[#This Row],[Date]],Supply_Data___Hourly_DriverActivity_1_csv__3[#All],8,FALSE)</f>
        <v>15</v>
      </c>
      <c r="P315">
        <f>(Demand_Data___Hourly_OverviewSearch_1_csv[[#This Row],[People saw 0 cars (unique)]]+Demand_Data___Hourly_OverviewSearch_1_csv[[#This Row],[People saw +1 cars (unique)]])</f>
        <v>46</v>
      </c>
      <c r="Q315" s="143">
        <f t="shared" si="19"/>
        <v>20</v>
      </c>
    </row>
    <row r="316" spans="1:17" x14ac:dyDescent="0.3">
      <c r="A316" t="s">
        <v>323</v>
      </c>
      <c r="B316" t="str">
        <f t="shared" si="16"/>
        <v xml:space="preserve"> 20</v>
      </c>
      <c r="C316">
        <f t="shared" si="17"/>
        <v>1</v>
      </c>
      <c r="D316" t="str">
        <f t="shared" si="18"/>
        <v xml:space="preserve">2016-12-05 </v>
      </c>
      <c r="E316" t="str">
        <f>TEXT(Demand_Data___Hourly_OverviewSearch_1_csv[[#This Row],[Day]],"dddd")</f>
        <v>Sunday</v>
      </c>
      <c r="F316">
        <v>9</v>
      </c>
      <c r="G316">
        <v>65</v>
      </c>
      <c r="H316">
        <v>88</v>
      </c>
      <c r="I316">
        <f>VLOOKUP(Demand_Data___Hourly_OverviewSearch_1_csv[[#This Row],[Date]],Supply_Data___Hourly_DriverActivity_1_csv__3[#All],2,FALSE)</f>
        <v>96</v>
      </c>
      <c r="J316">
        <f>VLOOKUP(Demand_Data___Hourly_OverviewSearch_1_csv[[#This Row],[Date]],Supply_Data___Hourly_DriverActivity_1_csv__3[#All],3,FALSE)</f>
        <v>36</v>
      </c>
      <c r="K316">
        <f>VLOOKUP(Demand_Data___Hourly_OverviewSearch_1_csv[[#This Row],[Date]],Supply_Data___Hourly_DriverActivity_1_csv__3[#All],4,FALSE)</f>
        <v>11</v>
      </c>
      <c r="L316">
        <f>VLOOKUP(Demand_Data___Hourly_OverviewSearch_1_csv[[#This Row],[Date]],Supply_Data___Hourly_DriverActivity_1_csv__3[#All],5,FALSE)</f>
        <v>25</v>
      </c>
      <c r="M316">
        <f>VLOOKUP(Demand_Data___Hourly_OverviewSearch_1_csv[[#This Row],[Date]],Supply_Data___Hourly_DriverActivity_1_csv__3[#All],6,FALSE)</f>
        <v>0.4</v>
      </c>
      <c r="N316">
        <f>VLOOKUP(Demand_Data___Hourly_OverviewSearch_1_csv[[#This Row],[Date]],Supply_Data___Hourly_DriverActivity_1_csv__3[#All],7,FALSE)</f>
        <v>0.61</v>
      </c>
      <c r="O316">
        <f>VLOOKUP(Demand_Data___Hourly_OverviewSearch_1_csv[[#This Row],[Date]],Supply_Data___Hourly_DriverActivity_1_csv__3[#All],8,FALSE)</f>
        <v>22</v>
      </c>
      <c r="P316">
        <f>(Demand_Data___Hourly_OverviewSearch_1_csv[[#This Row],[People saw 0 cars (unique)]]+Demand_Data___Hourly_OverviewSearch_1_csv[[#This Row],[People saw +1 cars (unique)]])</f>
        <v>74</v>
      </c>
      <c r="Q316" s="143">
        <f t="shared" si="19"/>
        <v>25</v>
      </c>
    </row>
    <row r="317" spans="1:17" x14ac:dyDescent="0.3">
      <c r="A317" t="s">
        <v>324</v>
      </c>
      <c r="B317" t="str">
        <f t="shared" si="16"/>
        <v xml:space="preserve"> 19</v>
      </c>
      <c r="C317">
        <f t="shared" si="17"/>
        <v>1</v>
      </c>
      <c r="D317" t="str">
        <f t="shared" si="18"/>
        <v xml:space="preserve">2016-12-05 </v>
      </c>
      <c r="E317" t="str">
        <f>TEXT(Demand_Data___Hourly_OverviewSearch_1_csv[[#This Row],[Day]],"dddd")</f>
        <v>Sunday</v>
      </c>
      <c r="F317">
        <v>28</v>
      </c>
      <c r="G317">
        <v>85</v>
      </c>
      <c r="H317">
        <v>75</v>
      </c>
      <c r="I317">
        <f>VLOOKUP(Demand_Data___Hourly_OverviewSearch_1_csv[[#This Row],[Date]],Supply_Data___Hourly_DriverActivity_1_csv__3[#All],2,FALSE)</f>
        <v>93</v>
      </c>
      <c r="J317">
        <f>VLOOKUP(Demand_Data___Hourly_OverviewSearch_1_csv[[#This Row],[Date]],Supply_Data___Hourly_DriverActivity_1_csv__3[#All],3,FALSE)</f>
        <v>39</v>
      </c>
      <c r="K317">
        <f>VLOOKUP(Demand_Data___Hourly_OverviewSearch_1_csv[[#This Row],[Date]],Supply_Data___Hourly_DriverActivity_1_csv__3[#All],4,FALSE)</f>
        <v>24</v>
      </c>
      <c r="L317">
        <f>VLOOKUP(Demand_Data___Hourly_OverviewSearch_1_csv[[#This Row],[Date]],Supply_Data___Hourly_DriverActivity_1_csv__3[#All],5,FALSE)</f>
        <v>15</v>
      </c>
      <c r="M317">
        <f>VLOOKUP(Demand_Data___Hourly_OverviewSearch_1_csv[[#This Row],[Date]],Supply_Data___Hourly_DriverActivity_1_csv__3[#All],6,FALSE)</f>
        <v>0.4</v>
      </c>
      <c r="N317">
        <f>VLOOKUP(Demand_Data___Hourly_OverviewSearch_1_csv[[#This Row],[Date]],Supply_Data___Hourly_DriverActivity_1_csv__3[#All],7,FALSE)</f>
        <v>0.92</v>
      </c>
      <c r="O317">
        <f>VLOOKUP(Demand_Data___Hourly_OverviewSearch_1_csv[[#This Row],[Date]],Supply_Data___Hourly_DriverActivity_1_csv__3[#All],8,FALSE)</f>
        <v>36</v>
      </c>
      <c r="P317">
        <f>(Demand_Data___Hourly_OverviewSearch_1_csv[[#This Row],[People saw 0 cars (unique)]]+Demand_Data___Hourly_OverviewSearch_1_csv[[#This Row],[People saw +1 cars (unique)]])</f>
        <v>113</v>
      </c>
      <c r="Q317" s="143">
        <f t="shared" si="19"/>
        <v>15</v>
      </c>
    </row>
    <row r="318" spans="1:17" x14ac:dyDescent="0.3">
      <c r="A318" t="s">
        <v>325</v>
      </c>
      <c r="B318" t="str">
        <f t="shared" si="16"/>
        <v xml:space="preserve"> 18</v>
      </c>
      <c r="C318">
        <f t="shared" si="17"/>
        <v>1</v>
      </c>
      <c r="D318" t="str">
        <f t="shared" si="18"/>
        <v xml:space="preserve">2016-12-05 </v>
      </c>
      <c r="E318" t="str">
        <f>TEXT(Demand_Data___Hourly_OverviewSearch_1_csv[[#This Row],[Day]],"dddd")</f>
        <v>Sunday</v>
      </c>
      <c r="F318">
        <v>31</v>
      </c>
      <c r="G318">
        <v>91</v>
      </c>
      <c r="H318">
        <v>75</v>
      </c>
      <c r="I318">
        <f>VLOOKUP(Demand_Data___Hourly_OverviewSearch_1_csv[[#This Row],[Date]],Supply_Data___Hourly_DriverActivity_1_csv__3[#All],2,FALSE)</f>
        <v>86</v>
      </c>
      <c r="J318">
        <f>VLOOKUP(Demand_Data___Hourly_OverviewSearch_1_csv[[#This Row],[Date]],Supply_Data___Hourly_DriverActivity_1_csv__3[#All],3,FALSE)</f>
        <v>34</v>
      </c>
      <c r="K318">
        <f>VLOOKUP(Demand_Data___Hourly_OverviewSearch_1_csv[[#This Row],[Date]],Supply_Data___Hourly_DriverActivity_1_csv__3[#All],4,FALSE)</f>
        <v>23</v>
      </c>
      <c r="L318">
        <f>VLOOKUP(Demand_Data___Hourly_OverviewSearch_1_csv[[#This Row],[Date]],Supply_Data___Hourly_DriverActivity_1_csv__3[#All],5,FALSE)</f>
        <v>12</v>
      </c>
      <c r="M318">
        <f>VLOOKUP(Demand_Data___Hourly_OverviewSearch_1_csv[[#This Row],[Date]],Supply_Data___Hourly_DriverActivity_1_csv__3[#All],6,FALSE)</f>
        <v>0.4</v>
      </c>
      <c r="N318">
        <f>VLOOKUP(Demand_Data___Hourly_OverviewSearch_1_csv[[#This Row],[Date]],Supply_Data___Hourly_DriverActivity_1_csv__3[#All],7,FALSE)</f>
        <v>1.18</v>
      </c>
      <c r="O318">
        <f>VLOOKUP(Demand_Data___Hourly_OverviewSearch_1_csv[[#This Row],[Date]],Supply_Data___Hourly_DriverActivity_1_csv__3[#All],8,FALSE)</f>
        <v>40</v>
      </c>
      <c r="P318">
        <f>(Demand_Data___Hourly_OverviewSearch_1_csv[[#This Row],[People saw 0 cars (unique)]]+Demand_Data___Hourly_OverviewSearch_1_csv[[#This Row],[People saw +1 cars (unique)]])</f>
        <v>122</v>
      </c>
      <c r="Q318" s="143">
        <f t="shared" si="19"/>
        <v>11</v>
      </c>
    </row>
    <row r="319" spans="1:17" x14ac:dyDescent="0.3">
      <c r="A319" t="s">
        <v>326</v>
      </c>
      <c r="B319" t="str">
        <f t="shared" si="16"/>
        <v xml:space="preserve"> 17</v>
      </c>
      <c r="C319">
        <f t="shared" si="17"/>
        <v>1</v>
      </c>
      <c r="D319" t="str">
        <f t="shared" si="18"/>
        <v xml:space="preserve">2016-12-05 </v>
      </c>
      <c r="E319" t="str">
        <f>TEXT(Demand_Data___Hourly_OverviewSearch_1_csv[[#This Row],[Day]],"dddd")</f>
        <v>Sunday</v>
      </c>
      <c r="F319">
        <v>4</v>
      </c>
      <c r="G319">
        <v>57</v>
      </c>
      <c r="H319">
        <v>93</v>
      </c>
      <c r="I319">
        <f>VLOOKUP(Demand_Data___Hourly_OverviewSearch_1_csv[[#This Row],[Date]],Supply_Data___Hourly_DriverActivity_1_csv__3[#All],2,FALSE)</f>
        <v>94</v>
      </c>
      <c r="J319">
        <f>VLOOKUP(Demand_Data___Hourly_OverviewSearch_1_csv[[#This Row],[Date]],Supply_Data___Hourly_DriverActivity_1_csv__3[#All],3,FALSE)</f>
        <v>34</v>
      </c>
      <c r="K319">
        <f>VLOOKUP(Demand_Data___Hourly_OverviewSearch_1_csv[[#This Row],[Date]],Supply_Data___Hourly_DriverActivity_1_csv__3[#All],4,FALSE)</f>
        <v>12</v>
      </c>
      <c r="L319">
        <f>VLOOKUP(Demand_Data___Hourly_OverviewSearch_1_csv[[#This Row],[Date]],Supply_Data___Hourly_DriverActivity_1_csv__3[#All],5,FALSE)</f>
        <v>22</v>
      </c>
      <c r="M319">
        <f>VLOOKUP(Demand_Data___Hourly_OverviewSearch_1_csv[[#This Row],[Date]],Supply_Data___Hourly_DriverActivity_1_csv__3[#All],6,FALSE)</f>
        <v>0.4</v>
      </c>
      <c r="N319">
        <f>VLOOKUP(Demand_Data___Hourly_OverviewSearch_1_csv[[#This Row],[Date]],Supply_Data___Hourly_DriverActivity_1_csv__3[#All],7,FALSE)</f>
        <v>0.68</v>
      </c>
      <c r="O319">
        <f>VLOOKUP(Demand_Data___Hourly_OverviewSearch_1_csv[[#This Row],[Date]],Supply_Data___Hourly_DriverActivity_1_csv__3[#All],8,FALSE)</f>
        <v>23</v>
      </c>
      <c r="P319">
        <f>(Demand_Data___Hourly_OverviewSearch_1_csv[[#This Row],[People saw 0 cars (unique)]]+Demand_Data___Hourly_OverviewSearch_1_csv[[#This Row],[People saw +1 cars (unique)]])</f>
        <v>61</v>
      </c>
      <c r="Q319" s="143">
        <f t="shared" si="19"/>
        <v>22</v>
      </c>
    </row>
    <row r="320" spans="1:17" x14ac:dyDescent="0.3">
      <c r="A320" t="s">
        <v>327</v>
      </c>
      <c r="B320" t="str">
        <f t="shared" si="16"/>
        <v xml:space="preserve"> 16</v>
      </c>
      <c r="C320">
        <f t="shared" si="17"/>
        <v>1</v>
      </c>
      <c r="D320" t="str">
        <f t="shared" si="18"/>
        <v xml:space="preserve">2016-12-05 </v>
      </c>
      <c r="E320" t="str">
        <f>TEXT(Demand_Data___Hourly_OverviewSearch_1_csv[[#This Row],[Day]],"dddd")</f>
        <v>Sunday</v>
      </c>
      <c r="F320">
        <v>8</v>
      </c>
      <c r="G320">
        <v>36</v>
      </c>
      <c r="H320">
        <v>82</v>
      </c>
      <c r="I320">
        <f>VLOOKUP(Demand_Data___Hourly_OverviewSearch_1_csv[[#This Row],[Date]],Supply_Data___Hourly_DriverActivity_1_csv__3[#All],2,FALSE)</f>
        <v>81</v>
      </c>
      <c r="J320">
        <f>VLOOKUP(Demand_Data___Hourly_OverviewSearch_1_csv[[#This Row],[Date]],Supply_Data___Hourly_DriverActivity_1_csv__3[#All],3,FALSE)</f>
        <v>28</v>
      </c>
      <c r="K320">
        <f>VLOOKUP(Demand_Data___Hourly_OverviewSearch_1_csv[[#This Row],[Date]],Supply_Data___Hourly_DriverActivity_1_csv__3[#All],4,FALSE)</f>
        <v>4</v>
      </c>
      <c r="L320">
        <f>VLOOKUP(Demand_Data___Hourly_OverviewSearch_1_csv[[#This Row],[Date]],Supply_Data___Hourly_DriverActivity_1_csv__3[#All],5,FALSE)</f>
        <v>24</v>
      </c>
      <c r="M320">
        <f>VLOOKUP(Demand_Data___Hourly_OverviewSearch_1_csv[[#This Row],[Date]],Supply_Data___Hourly_DriverActivity_1_csv__3[#All],6,FALSE)</f>
        <v>0.3</v>
      </c>
      <c r="N320">
        <f>VLOOKUP(Demand_Data___Hourly_OverviewSearch_1_csv[[#This Row],[Date]],Supply_Data___Hourly_DriverActivity_1_csv__3[#All],7,FALSE)</f>
        <v>0.32</v>
      </c>
      <c r="O320">
        <f>VLOOKUP(Demand_Data___Hourly_OverviewSearch_1_csv[[#This Row],[Date]],Supply_Data___Hourly_DriverActivity_1_csv__3[#All],8,FALSE)</f>
        <v>9</v>
      </c>
      <c r="P320">
        <f>(Demand_Data___Hourly_OverviewSearch_1_csv[[#This Row],[People saw 0 cars (unique)]]+Demand_Data___Hourly_OverviewSearch_1_csv[[#This Row],[People saw +1 cars (unique)]])</f>
        <v>44</v>
      </c>
      <c r="Q320" s="143">
        <f t="shared" si="19"/>
        <v>24</v>
      </c>
    </row>
    <row r="321" spans="1:17" x14ac:dyDescent="0.3">
      <c r="A321" t="s">
        <v>328</v>
      </c>
      <c r="B321" t="str">
        <f t="shared" si="16"/>
        <v xml:space="preserve"> 15</v>
      </c>
      <c r="C321">
        <f t="shared" si="17"/>
        <v>1</v>
      </c>
      <c r="D321" t="str">
        <f t="shared" si="18"/>
        <v xml:space="preserve">2016-12-05 </v>
      </c>
      <c r="E321" t="str">
        <f>TEXT(Demand_Data___Hourly_OverviewSearch_1_csv[[#This Row],[Day]],"dddd")</f>
        <v>Sunday</v>
      </c>
      <c r="F321">
        <v>7</v>
      </c>
      <c r="G321">
        <v>22</v>
      </c>
      <c r="H321">
        <v>76</v>
      </c>
      <c r="I321">
        <f>VLOOKUP(Demand_Data___Hourly_OverviewSearch_1_csv[[#This Row],[Date]],Supply_Data___Hourly_DriverActivity_1_csv__3[#All],2,FALSE)</f>
        <v>81</v>
      </c>
      <c r="J321">
        <f>VLOOKUP(Demand_Data___Hourly_OverviewSearch_1_csv[[#This Row],[Date]],Supply_Data___Hourly_DriverActivity_1_csv__3[#All],3,FALSE)</f>
        <v>29</v>
      </c>
      <c r="K321">
        <f>VLOOKUP(Demand_Data___Hourly_OverviewSearch_1_csv[[#This Row],[Date]],Supply_Data___Hourly_DriverActivity_1_csv__3[#All],4,FALSE)</f>
        <v>3</v>
      </c>
      <c r="L321">
        <f>VLOOKUP(Demand_Data___Hourly_OverviewSearch_1_csv[[#This Row],[Date]],Supply_Data___Hourly_DriverActivity_1_csv__3[#All],5,FALSE)</f>
        <v>26</v>
      </c>
      <c r="M321">
        <f>VLOOKUP(Demand_Data___Hourly_OverviewSearch_1_csv[[#This Row],[Date]],Supply_Data___Hourly_DriverActivity_1_csv__3[#All],6,FALSE)</f>
        <v>0.4</v>
      </c>
      <c r="N321">
        <f>VLOOKUP(Demand_Data___Hourly_OverviewSearch_1_csv[[#This Row],[Date]],Supply_Data___Hourly_DriverActivity_1_csv__3[#All],7,FALSE)</f>
        <v>0.24</v>
      </c>
      <c r="O321">
        <f>VLOOKUP(Demand_Data___Hourly_OverviewSearch_1_csv[[#This Row],[Date]],Supply_Data___Hourly_DriverActivity_1_csv__3[#All],8,FALSE)</f>
        <v>7</v>
      </c>
      <c r="P321">
        <f>(Demand_Data___Hourly_OverviewSearch_1_csv[[#This Row],[People saw 0 cars (unique)]]+Demand_Data___Hourly_OverviewSearch_1_csv[[#This Row],[People saw +1 cars (unique)]])</f>
        <v>29</v>
      </c>
      <c r="Q321" s="143">
        <f t="shared" si="19"/>
        <v>26</v>
      </c>
    </row>
    <row r="322" spans="1:17" x14ac:dyDescent="0.3">
      <c r="A322" t="s">
        <v>329</v>
      </c>
      <c r="B322" t="str">
        <f t="shared" ref="B322:B385" si="20">RIGHT(A322,3)</f>
        <v xml:space="preserve"> 14</v>
      </c>
      <c r="C322">
        <f t="shared" ref="C322:C385" si="21">WEEKDAY(DATEVALUE(LEFT(A322,FIND(" ",A322))),2)</f>
        <v>1</v>
      </c>
      <c r="D322" t="str">
        <f t="shared" ref="D322:D385" si="22">LEFT(A322,11)</f>
        <v xml:space="preserve">2016-12-05 </v>
      </c>
      <c r="E322" t="str">
        <f>TEXT(Demand_Data___Hourly_OverviewSearch_1_csv[[#This Row],[Day]],"dddd")</f>
        <v>Sunday</v>
      </c>
      <c r="F322">
        <v>6</v>
      </c>
      <c r="G322">
        <v>30</v>
      </c>
      <c r="H322">
        <v>83</v>
      </c>
      <c r="I322">
        <f>VLOOKUP(Demand_Data___Hourly_OverviewSearch_1_csv[[#This Row],[Date]],Supply_Data___Hourly_DriverActivity_1_csv__3[#All],2,FALSE)</f>
        <v>71</v>
      </c>
      <c r="J322">
        <f>VLOOKUP(Demand_Data___Hourly_OverviewSearch_1_csv[[#This Row],[Date]],Supply_Data___Hourly_DriverActivity_1_csv__3[#All],3,FALSE)</f>
        <v>23</v>
      </c>
      <c r="K322">
        <f>VLOOKUP(Demand_Data___Hourly_OverviewSearch_1_csv[[#This Row],[Date]],Supply_Data___Hourly_DriverActivity_1_csv__3[#All],4,FALSE)</f>
        <v>3</v>
      </c>
      <c r="L322">
        <f>VLOOKUP(Demand_Data___Hourly_OverviewSearch_1_csv[[#This Row],[Date]],Supply_Data___Hourly_DriverActivity_1_csv__3[#All],5,FALSE)</f>
        <v>20</v>
      </c>
      <c r="M322">
        <f>VLOOKUP(Demand_Data___Hourly_OverviewSearch_1_csv[[#This Row],[Date]],Supply_Data___Hourly_DriverActivity_1_csv__3[#All],6,FALSE)</f>
        <v>0.3</v>
      </c>
      <c r="N322">
        <f>VLOOKUP(Demand_Data___Hourly_OverviewSearch_1_csv[[#This Row],[Date]],Supply_Data___Hourly_DriverActivity_1_csv__3[#All],7,FALSE)</f>
        <v>0.22</v>
      </c>
      <c r="O322">
        <f>VLOOKUP(Demand_Data___Hourly_OverviewSearch_1_csv[[#This Row],[Date]],Supply_Data___Hourly_DriverActivity_1_csv__3[#All],8,FALSE)</f>
        <v>5</v>
      </c>
      <c r="P322">
        <f>(Demand_Data___Hourly_OverviewSearch_1_csv[[#This Row],[People saw 0 cars (unique)]]+Demand_Data___Hourly_OverviewSearch_1_csv[[#This Row],[People saw +1 cars (unique)]])</f>
        <v>36</v>
      </c>
      <c r="Q322" s="143">
        <f t="shared" ref="Q322:Q385" si="23">(J322-K322)</f>
        <v>20</v>
      </c>
    </row>
    <row r="323" spans="1:17" x14ac:dyDescent="0.3">
      <c r="A323" t="s">
        <v>330</v>
      </c>
      <c r="B323" t="str">
        <f t="shared" si="20"/>
        <v xml:space="preserve"> 13</v>
      </c>
      <c r="C323">
        <f t="shared" si="21"/>
        <v>1</v>
      </c>
      <c r="D323" t="str">
        <f t="shared" si="22"/>
        <v xml:space="preserve">2016-12-05 </v>
      </c>
      <c r="E323" t="str">
        <f>TEXT(Demand_Data___Hourly_OverviewSearch_1_csv[[#This Row],[Day]],"dddd")</f>
        <v>Sunday</v>
      </c>
      <c r="F323">
        <v>6</v>
      </c>
      <c r="G323">
        <v>26</v>
      </c>
      <c r="H323">
        <v>81</v>
      </c>
      <c r="I323">
        <f>VLOOKUP(Demand_Data___Hourly_OverviewSearch_1_csv[[#This Row],[Date]],Supply_Data___Hourly_DriverActivity_1_csv__3[#All],2,FALSE)</f>
        <v>70</v>
      </c>
      <c r="J323">
        <f>VLOOKUP(Demand_Data___Hourly_OverviewSearch_1_csv[[#This Row],[Date]],Supply_Data___Hourly_DriverActivity_1_csv__3[#All],3,FALSE)</f>
        <v>20</v>
      </c>
      <c r="K323">
        <f>VLOOKUP(Demand_Data___Hourly_OverviewSearch_1_csv[[#This Row],[Date]],Supply_Data___Hourly_DriverActivity_1_csv__3[#All],4,FALSE)</f>
        <v>4</v>
      </c>
      <c r="L323">
        <f>VLOOKUP(Demand_Data___Hourly_OverviewSearch_1_csv[[#This Row],[Date]],Supply_Data___Hourly_DriverActivity_1_csv__3[#All],5,FALSE)</f>
        <v>16</v>
      </c>
      <c r="M323">
        <f>VLOOKUP(Demand_Data___Hourly_OverviewSearch_1_csv[[#This Row],[Date]],Supply_Data___Hourly_DriverActivity_1_csv__3[#All],6,FALSE)</f>
        <v>0.3</v>
      </c>
      <c r="N323">
        <f>VLOOKUP(Demand_Data___Hourly_OverviewSearch_1_csv[[#This Row],[Date]],Supply_Data___Hourly_DriverActivity_1_csv__3[#All],7,FALSE)</f>
        <v>0.45</v>
      </c>
      <c r="O323">
        <f>VLOOKUP(Demand_Data___Hourly_OverviewSearch_1_csv[[#This Row],[Date]],Supply_Data___Hourly_DriverActivity_1_csv__3[#All],8,FALSE)</f>
        <v>9</v>
      </c>
      <c r="P323">
        <f>(Demand_Data___Hourly_OverviewSearch_1_csv[[#This Row],[People saw 0 cars (unique)]]+Demand_Data___Hourly_OverviewSearch_1_csv[[#This Row],[People saw +1 cars (unique)]])</f>
        <v>32</v>
      </c>
      <c r="Q323" s="143">
        <f t="shared" si="23"/>
        <v>16</v>
      </c>
    </row>
    <row r="324" spans="1:17" x14ac:dyDescent="0.3">
      <c r="A324" t="s">
        <v>331</v>
      </c>
      <c r="B324" t="str">
        <f t="shared" si="20"/>
        <v xml:space="preserve"> 12</v>
      </c>
      <c r="C324">
        <f t="shared" si="21"/>
        <v>1</v>
      </c>
      <c r="D324" t="str">
        <f t="shared" si="22"/>
        <v xml:space="preserve">2016-12-05 </v>
      </c>
      <c r="E324" t="str">
        <f>TEXT(Demand_Data___Hourly_OverviewSearch_1_csv[[#This Row],[Day]],"dddd")</f>
        <v>Sunday</v>
      </c>
      <c r="F324">
        <v>5</v>
      </c>
      <c r="G324">
        <v>34</v>
      </c>
      <c r="H324">
        <v>87</v>
      </c>
      <c r="I324">
        <f>VLOOKUP(Demand_Data___Hourly_OverviewSearch_1_csv[[#This Row],[Date]],Supply_Data___Hourly_DriverActivity_1_csv__3[#All],2,FALSE)</f>
        <v>74</v>
      </c>
      <c r="J324">
        <f>VLOOKUP(Demand_Data___Hourly_OverviewSearch_1_csv[[#This Row],[Date]],Supply_Data___Hourly_DriverActivity_1_csv__3[#All],3,FALSE)</f>
        <v>28</v>
      </c>
      <c r="K324">
        <f>VLOOKUP(Demand_Data___Hourly_OverviewSearch_1_csv[[#This Row],[Date]],Supply_Data___Hourly_DriverActivity_1_csv__3[#All],4,FALSE)</f>
        <v>4</v>
      </c>
      <c r="L324">
        <f>VLOOKUP(Demand_Data___Hourly_OverviewSearch_1_csv[[#This Row],[Date]],Supply_Data___Hourly_DriverActivity_1_csv__3[#All],5,FALSE)</f>
        <v>24</v>
      </c>
      <c r="M324">
        <f>VLOOKUP(Demand_Data___Hourly_OverviewSearch_1_csv[[#This Row],[Date]],Supply_Data___Hourly_DriverActivity_1_csv__3[#All],6,FALSE)</f>
        <v>0.4</v>
      </c>
      <c r="N324">
        <f>VLOOKUP(Demand_Data___Hourly_OverviewSearch_1_csv[[#This Row],[Date]],Supply_Data___Hourly_DriverActivity_1_csv__3[#All],7,FALSE)</f>
        <v>0.32</v>
      </c>
      <c r="O324">
        <f>VLOOKUP(Demand_Data___Hourly_OverviewSearch_1_csv[[#This Row],[Date]],Supply_Data___Hourly_DriverActivity_1_csv__3[#All],8,FALSE)</f>
        <v>9</v>
      </c>
      <c r="P324">
        <f>(Demand_Data___Hourly_OverviewSearch_1_csv[[#This Row],[People saw 0 cars (unique)]]+Demand_Data___Hourly_OverviewSearch_1_csv[[#This Row],[People saw +1 cars (unique)]])</f>
        <v>39</v>
      </c>
      <c r="Q324" s="143">
        <f t="shared" si="23"/>
        <v>24</v>
      </c>
    </row>
    <row r="325" spans="1:17" x14ac:dyDescent="0.3">
      <c r="A325" t="s">
        <v>332</v>
      </c>
      <c r="B325" t="str">
        <f t="shared" si="20"/>
        <v xml:space="preserve"> 11</v>
      </c>
      <c r="C325">
        <f t="shared" si="21"/>
        <v>1</v>
      </c>
      <c r="D325" t="str">
        <f t="shared" si="22"/>
        <v xml:space="preserve">2016-12-05 </v>
      </c>
      <c r="E325" t="str">
        <f>TEXT(Demand_Data___Hourly_OverviewSearch_1_csv[[#This Row],[Day]],"dddd")</f>
        <v>Sunday</v>
      </c>
      <c r="F325">
        <v>4</v>
      </c>
      <c r="G325">
        <v>33</v>
      </c>
      <c r="H325">
        <v>89</v>
      </c>
      <c r="I325">
        <f>VLOOKUP(Demand_Data___Hourly_OverviewSearch_1_csv[[#This Row],[Date]],Supply_Data___Hourly_DriverActivity_1_csv__3[#All],2,FALSE)</f>
        <v>78</v>
      </c>
      <c r="J325">
        <f>VLOOKUP(Demand_Data___Hourly_OverviewSearch_1_csv[[#This Row],[Date]],Supply_Data___Hourly_DriverActivity_1_csv__3[#All],3,FALSE)</f>
        <v>32</v>
      </c>
      <c r="K325">
        <f>VLOOKUP(Demand_Data___Hourly_OverviewSearch_1_csv[[#This Row],[Date]],Supply_Data___Hourly_DriverActivity_1_csv__3[#All],4,FALSE)</f>
        <v>4</v>
      </c>
      <c r="L325">
        <f>VLOOKUP(Demand_Data___Hourly_OverviewSearch_1_csv[[#This Row],[Date]],Supply_Data___Hourly_DriverActivity_1_csv__3[#All],5,FALSE)</f>
        <v>28</v>
      </c>
      <c r="M325">
        <f>VLOOKUP(Demand_Data___Hourly_OverviewSearch_1_csv[[#This Row],[Date]],Supply_Data___Hourly_DriverActivity_1_csv__3[#All],6,FALSE)</f>
        <v>0.4</v>
      </c>
      <c r="N325">
        <f>VLOOKUP(Demand_Data___Hourly_OverviewSearch_1_csv[[#This Row],[Date]],Supply_Data___Hourly_DriverActivity_1_csv__3[#All],7,FALSE)</f>
        <v>0.31</v>
      </c>
      <c r="O325">
        <f>VLOOKUP(Demand_Data___Hourly_OverviewSearch_1_csv[[#This Row],[Date]],Supply_Data___Hourly_DriverActivity_1_csv__3[#All],8,FALSE)</f>
        <v>10</v>
      </c>
      <c r="P325">
        <f>(Demand_Data___Hourly_OverviewSearch_1_csv[[#This Row],[People saw 0 cars (unique)]]+Demand_Data___Hourly_OverviewSearch_1_csv[[#This Row],[People saw +1 cars (unique)]])</f>
        <v>37</v>
      </c>
      <c r="Q325" s="143">
        <f t="shared" si="23"/>
        <v>28</v>
      </c>
    </row>
    <row r="326" spans="1:17" x14ac:dyDescent="0.3">
      <c r="A326" t="s">
        <v>333</v>
      </c>
      <c r="B326" t="str">
        <f t="shared" si="20"/>
        <v xml:space="preserve"> 10</v>
      </c>
      <c r="C326">
        <f t="shared" si="21"/>
        <v>1</v>
      </c>
      <c r="D326" t="str">
        <f t="shared" si="22"/>
        <v xml:space="preserve">2016-12-05 </v>
      </c>
      <c r="E326" t="str">
        <f>TEXT(Demand_Data___Hourly_OverviewSearch_1_csv[[#This Row],[Day]],"dddd")</f>
        <v>Sunday</v>
      </c>
      <c r="F326">
        <v>10</v>
      </c>
      <c r="G326">
        <v>38</v>
      </c>
      <c r="H326">
        <v>79</v>
      </c>
      <c r="I326">
        <f>VLOOKUP(Demand_Data___Hourly_OverviewSearch_1_csv[[#This Row],[Date]],Supply_Data___Hourly_DriverActivity_1_csv__3[#All],2,FALSE)</f>
        <v>85</v>
      </c>
      <c r="J326">
        <f>VLOOKUP(Demand_Data___Hourly_OverviewSearch_1_csv[[#This Row],[Date]],Supply_Data___Hourly_DriverActivity_1_csv__3[#All],3,FALSE)</f>
        <v>29</v>
      </c>
      <c r="K326">
        <f>VLOOKUP(Demand_Data___Hourly_OverviewSearch_1_csv[[#This Row],[Date]],Supply_Data___Hourly_DriverActivity_1_csv__3[#All],4,FALSE)</f>
        <v>7</v>
      </c>
      <c r="L326">
        <f>VLOOKUP(Demand_Data___Hourly_OverviewSearch_1_csv[[#This Row],[Date]],Supply_Data___Hourly_DriverActivity_1_csv__3[#All],5,FALSE)</f>
        <v>22</v>
      </c>
      <c r="M326">
        <f>VLOOKUP(Demand_Data___Hourly_OverviewSearch_1_csv[[#This Row],[Date]],Supply_Data___Hourly_DriverActivity_1_csv__3[#All],6,FALSE)</f>
        <v>0.3</v>
      </c>
      <c r="N326">
        <f>VLOOKUP(Demand_Data___Hourly_OverviewSearch_1_csv[[#This Row],[Date]],Supply_Data___Hourly_DriverActivity_1_csv__3[#All],7,FALSE)</f>
        <v>0.34</v>
      </c>
      <c r="O326">
        <f>VLOOKUP(Demand_Data___Hourly_OverviewSearch_1_csv[[#This Row],[Date]],Supply_Data___Hourly_DriverActivity_1_csv__3[#All],8,FALSE)</f>
        <v>10</v>
      </c>
      <c r="P326">
        <f>(Demand_Data___Hourly_OverviewSearch_1_csv[[#This Row],[People saw 0 cars (unique)]]+Demand_Data___Hourly_OverviewSearch_1_csv[[#This Row],[People saw +1 cars (unique)]])</f>
        <v>48</v>
      </c>
      <c r="Q326" s="143">
        <f t="shared" si="23"/>
        <v>22</v>
      </c>
    </row>
    <row r="327" spans="1:17" x14ac:dyDescent="0.3">
      <c r="A327" t="s">
        <v>334</v>
      </c>
      <c r="B327" t="str">
        <f t="shared" si="20"/>
        <v xml:space="preserve"> 09</v>
      </c>
      <c r="C327">
        <f t="shared" si="21"/>
        <v>1</v>
      </c>
      <c r="D327" t="str">
        <f t="shared" si="22"/>
        <v xml:space="preserve">2016-12-05 </v>
      </c>
      <c r="E327" t="str">
        <f>TEXT(Demand_Data___Hourly_OverviewSearch_1_csv[[#This Row],[Day]],"dddd")</f>
        <v>Sunday</v>
      </c>
      <c r="F327">
        <v>32</v>
      </c>
      <c r="G327">
        <v>66</v>
      </c>
      <c r="H327">
        <v>67</v>
      </c>
      <c r="I327">
        <f>VLOOKUP(Demand_Data___Hourly_OverviewSearch_1_csv[[#This Row],[Date]],Supply_Data___Hourly_DriverActivity_1_csv__3[#All],2,FALSE)</f>
        <v>75</v>
      </c>
      <c r="J327">
        <f>VLOOKUP(Demand_Data___Hourly_OverviewSearch_1_csv[[#This Row],[Date]],Supply_Data___Hourly_DriverActivity_1_csv__3[#All],3,FALSE)</f>
        <v>27</v>
      </c>
      <c r="K327">
        <f>VLOOKUP(Demand_Data___Hourly_OverviewSearch_1_csv[[#This Row],[Date]],Supply_Data___Hourly_DriverActivity_1_csv__3[#All],4,FALSE)</f>
        <v>15</v>
      </c>
      <c r="L327">
        <f>VLOOKUP(Demand_Data___Hourly_OverviewSearch_1_csv[[#This Row],[Date]],Supply_Data___Hourly_DriverActivity_1_csv__3[#All],5,FALSE)</f>
        <v>12</v>
      </c>
      <c r="M327">
        <f>VLOOKUP(Demand_Data___Hourly_OverviewSearch_1_csv[[#This Row],[Date]],Supply_Data___Hourly_DriverActivity_1_csv__3[#All],6,FALSE)</f>
        <v>0.4</v>
      </c>
      <c r="N327">
        <f>VLOOKUP(Demand_Data___Hourly_OverviewSearch_1_csv[[#This Row],[Date]],Supply_Data___Hourly_DriverActivity_1_csv__3[#All],7,FALSE)</f>
        <v>1.07</v>
      </c>
      <c r="O327">
        <f>VLOOKUP(Demand_Data___Hourly_OverviewSearch_1_csv[[#This Row],[Date]],Supply_Data___Hourly_DriverActivity_1_csv__3[#All],8,FALSE)</f>
        <v>29</v>
      </c>
      <c r="P327">
        <f>(Demand_Data___Hourly_OverviewSearch_1_csv[[#This Row],[People saw 0 cars (unique)]]+Demand_Data___Hourly_OverviewSearch_1_csv[[#This Row],[People saw +1 cars (unique)]])</f>
        <v>98</v>
      </c>
      <c r="Q327" s="143">
        <f t="shared" si="23"/>
        <v>12</v>
      </c>
    </row>
    <row r="328" spans="1:17" x14ac:dyDescent="0.3">
      <c r="A328" t="s">
        <v>335</v>
      </c>
      <c r="B328" t="str">
        <f t="shared" si="20"/>
        <v xml:space="preserve"> 08</v>
      </c>
      <c r="C328">
        <f t="shared" si="21"/>
        <v>1</v>
      </c>
      <c r="D328" t="str">
        <f t="shared" si="22"/>
        <v xml:space="preserve">2016-12-05 </v>
      </c>
      <c r="E328" t="str">
        <f>TEXT(Demand_Data___Hourly_OverviewSearch_1_csv[[#This Row],[Day]],"dddd")</f>
        <v>Sunday</v>
      </c>
      <c r="F328">
        <v>20</v>
      </c>
      <c r="G328">
        <v>41</v>
      </c>
      <c r="H328">
        <v>67</v>
      </c>
      <c r="I328">
        <f>VLOOKUP(Demand_Data___Hourly_OverviewSearch_1_csv[[#This Row],[Date]],Supply_Data___Hourly_DriverActivity_1_csv__3[#All],2,FALSE)</f>
        <v>61</v>
      </c>
      <c r="J328">
        <f>VLOOKUP(Demand_Data___Hourly_OverviewSearch_1_csv[[#This Row],[Date]],Supply_Data___Hourly_DriverActivity_1_csv__3[#All],3,FALSE)</f>
        <v>23</v>
      </c>
      <c r="K328">
        <f>VLOOKUP(Demand_Data___Hourly_OverviewSearch_1_csv[[#This Row],[Date]],Supply_Data___Hourly_DriverActivity_1_csv__3[#All],4,FALSE)</f>
        <v>11</v>
      </c>
      <c r="L328">
        <f>VLOOKUP(Demand_Data___Hourly_OverviewSearch_1_csv[[#This Row],[Date]],Supply_Data___Hourly_DriverActivity_1_csv__3[#All],5,FALSE)</f>
        <v>12</v>
      </c>
      <c r="M328">
        <f>VLOOKUP(Demand_Data___Hourly_OverviewSearch_1_csv[[#This Row],[Date]],Supply_Data___Hourly_DriverActivity_1_csv__3[#All],6,FALSE)</f>
        <v>0.4</v>
      </c>
      <c r="N328">
        <f>VLOOKUP(Demand_Data___Hourly_OverviewSearch_1_csv[[#This Row],[Date]],Supply_Data___Hourly_DriverActivity_1_csv__3[#All],7,FALSE)</f>
        <v>0.78</v>
      </c>
      <c r="O328">
        <f>VLOOKUP(Demand_Data___Hourly_OverviewSearch_1_csv[[#This Row],[Date]],Supply_Data___Hourly_DriverActivity_1_csv__3[#All],8,FALSE)</f>
        <v>18</v>
      </c>
      <c r="P328">
        <f>(Demand_Data___Hourly_OverviewSearch_1_csv[[#This Row],[People saw 0 cars (unique)]]+Demand_Data___Hourly_OverviewSearch_1_csv[[#This Row],[People saw +1 cars (unique)]])</f>
        <v>61</v>
      </c>
      <c r="Q328" s="143">
        <f t="shared" si="23"/>
        <v>12</v>
      </c>
    </row>
    <row r="329" spans="1:17" x14ac:dyDescent="0.3">
      <c r="A329" t="s">
        <v>336</v>
      </c>
      <c r="B329" t="str">
        <f t="shared" si="20"/>
        <v xml:space="preserve"> 07</v>
      </c>
      <c r="C329">
        <f t="shared" si="21"/>
        <v>1</v>
      </c>
      <c r="D329" t="str">
        <f t="shared" si="22"/>
        <v xml:space="preserve">2016-12-05 </v>
      </c>
      <c r="E329" t="str">
        <f>TEXT(Demand_Data___Hourly_OverviewSearch_1_csv[[#This Row],[Day]],"dddd")</f>
        <v>Sunday</v>
      </c>
      <c r="F329">
        <v>13</v>
      </c>
      <c r="G329">
        <v>33</v>
      </c>
      <c r="H329">
        <v>72</v>
      </c>
      <c r="I329">
        <f>VLOOKUP(Demand_Data___Hourly_OverviewSearch_1_csv[[#This Row],[Date]],Supply_Data___Hourly_DriverActivity_1_csv__3[#All],2,FALSE)</f>
        <v>41</v>
      </c>
      <c r="J329">
        <f>VLOOKUP(Demand_Data___Hourly_OverviewSearch_1_csv[[#This Row],[Date]],Supply_Data___Hourly_DriverActivity_1_csv__3[#All],3,FALSE)</f>
        <v>14</v>
      </c>
      <c r="K329">
        <f>VLOOKUP(Demand_Data___Hourly_OverviewSearch_1_csv[[#This Row],[Date]],Supply_Data___Hourly_DriverActivity_1_csv__3[#All],4,FALSE)</f>
        <v>4</v>
      </c>
      <c r="L329">
        <f>VLOOKUP(Demand_Data___Hourly_OverviewSearch_1_csv[[#This Row],[Date]],Supply_Data___Hourly_DriverActivity_1_csv__3[#All],5,FALSE)</f>
        <v>9</v>
      </c>
      <c r="M329">
        <f>VLOOKUP(Demand_Data___Hourly_OverviewSearch_1_csv[[#This Row],[Date]],Supply_Data___Hourly_DriverActivity_1_csv__3[#All],6,FALSE)</f>
        <v>0.3</v>
      </c>
      <c r="N329">
        <f>VLOOKUP(Demand_Data___Hourly_OverviewSearch_1_csv[[#This Row],[Date]],Supply_Data___Hourly_DriverActivity_1_csv__3[#All],7,FALSE)</f>
        <v>0.79</v>
      </c>
      <c r="O329">
        <f>VLOOKUP(Demand_Data___Hourly_OverviewSearch_1_csv[[#This Row],[Date]],Supply_Data___Hourly_DriverActivity_1_csv__3[#All],8,FALSE)</f>
        <v>11</v>
      </c>
      <c r="P329">
        <f>(Demand_Data___Hourly_OverviewSearch_1_csv[[#This Row],[People saw 0 cars (unique)]]+Demand_Data___Hourly_OverviewSearch_1_csv[[#This Row],[People saw +1 cars (unique)]])</f>
        <v>46</v>
      </c>
      <c r="Q329" s="143">
        <f t="shared" si="23"/>
        <v>10</v>
      </c>
    </row>
    <row r="330" spans="1:17" x14ac:dyDescent="0.3">
      <c r="A330" t="s">
        <v>337</v>
      </c>
      <c r="B330" t="str">
        <f t="shared" si="20"/>
        <v xml:space="preserve"> 06</v>
      </c>
      <c r="C330">
        <f t="shared" si="21"/>
        <v>1</v>
      </c>
      <c r="D330" t="str">
        <f t="shared" si="22"/>
        <v xml:space="preserve">2016-12-05 </v>
      </c>
      <c r="E330" t="str">
        <f>TEXT(Demand_Data___Hourly_OverviewSearch_1_csv[[#This Row],[Day]],"dddd")</f>
        <v>Sunday</v>
      </c>
      <c r="F330">
        <v>6</v>
      </c>
      <c r="G330">
        <v>9</v>
      </c>
      <c r="H330">
        <v>60</v>
      </c>
      <c r="I330">
        <f>VLOOKUP(Demand_Data___Hourly_OverviewSearch_1_csv[[#This Row],[Date]],Supply_Data___Hourly_DriverActivity_1_csv__3[#All],2,FALSE)</f>
        <v>29</v>
      </c>
      <c r="J330">
        <f>VLOOKUP(Demand_Data___Hourly_OverviewSearch_1_csv[[#This Row],[Date]],Supply_Data___Hourly_DriverActivity_1_csv__3[#All],3,FALSE)</f>
        <v>8</v>
      </c>
      <c r="K330">
        <f>VLOOKUP(Demand_Data___Hourly_OverviewSearch_1_csv[[#This Row],[Date]],Supply_Data___Hourly_DriverActivity_1_csv__3[#All],4,FALSE)</f>
        <v>0</v>
      </c>
      <c r="L330">
        <f>VLOOKUP(Demand_Data___Hourly_OverviewSearch_1_csv[[#This Row],[Date]],Supply_Data___Hourly_DriverActivity_1_csv__3[#All],5,FALSE)</f>
        <v>8</v>
      </c>
      <c r="M330">
        <f>VLOOKUP(Demand_Data___Hourly_OverviewSearch_1_csv[[#This Row],[Date]],Supply_Data___Hourly_DriverActivity_1_csv__3[#All],6,FALSE)</f>
        <v>0.3</v>
      </c>
      <c r="N330">
        <f>VLOOKUP(Demand_Data___Hourly_OverviewSearch_1_csv[[#This Row],[Date]],Supply_Data___Hourly_DriverActivity_1_csv__3[#All],7,FALSE)</f>
        <v>0.13</v>
      </c>
      <c r="O330">
        <f>VLOOKUP(Demand_Data___Hourly_OverviewSearch_1_csv[[#This Row],[Date]],Supply_Data___Hourly_DriverActivity_1_csv__3[#All],8,FALSE)</f>
        <v>1</v>
      </c>
      <c r="P330">
        <f>(Demand_Data___Hourly_OverviewSearch_1_csv[[#This Row],[People saw 0 cars (unique)]]+Demand_Data___Hourly_OverviewSearch_1_csv[[#This Row],[People saw +1 cars (unique)]])</f>
        <v>15</v>
      </c>
      <c r="Q330" s="143">
        <f t="shared" si="23"/>
        <v>8</v>
      </c>
    </row>
    <row r="331" spans="1:17" x14ac:dyDescent="0.3">
      <c r="A331" t="s">
        <v>338</v>
      </c>
      <c r="B331" t="str">
        <f t="shared" si="20"/>
        <v xml:space="preserve"> 05</v>
      </c>
      <c r="C331">
        <f t="shared" si="21"/>
        <v>1</v>
      </c>
      <c r="D331" t="str">
        <f t="shared" si="22"/>
        <v xml:space="preserve">2016-12-05 </v>
      </c>
      <c r="E331" t="str">
        <f>TEXT(Demand_Data___Hourly_OverviewSearch_1_csv[[#This Row],[Day]],"dddd")</f>
        <v>Sunday</v>
      </c>
      <c r="F331">
        <v>1</v>
      </c>
      <c r="G331">
        <v>1</v>
      </c>
      <c r="H331">
        <v>50</v>
      </c>
      <c r="I331">
        <f>VLOOKUP(Demand_Data___Hourly_OverviewSearch_1_csv[[#This Row],[Date]],Supply_Data___Hourly_DriverActivity_1_csv__3[#All],2,FALSE)</f>
        <v>15</v>
      </c>
      <c r="J331">
        <f>VLOOKUP(Demand_Data___Hourly_OverviewSearch_1_csv[[#This Row],[Date]],Supply_Data___Hourly_DriverActivity_1_csv__3[#All],3,FALSE)</f>
        <v>5</v>
      </c>
      <c r="K331">
        <f>VLOOKUP(Demand_Data___Hourly_OverviewSearch_1_csv[[#This Row],[Date]],Supply_Data___Hourly_DriverActivity_1_csv__3[#All],4,FALSE)</f>
        <v>0</v>
      </c>
      <c r="L331">
        <f>VLOOKUP(Demand_Data___Hourly_OverviewSearch_1_csv[[#This Row],[Date]],Supply_Data___Hourly_DriverActivity_1_csv__3[#All],5,FALSE)</f>
        <v>5</v>
      </c>
      <c r="M331">
        <f>VLOOKUP(Demand_Data___Hourly_OverviewSearch_1_csv[[#This Row],[Date]],Supply_Data___Hourly_DriverActivity_1_csv__3[#All],6,FALSE)</f>
        <v>0.3</v>
      </c>
      <c r="N331">
        <f>VLOOKUP(Demand_Data___Hourly_OverviewSearch_1_csv[[#This Row],[Date]],Supply_Data___Hourly_DriverActivity_1_csv__3[#All],7,FALSE)</f>
        <v>0</v>
      </c>
      <c r="O331">
        <f>VLOOKUP(Demand_Data___Hourly_OverviewSearch_1_csv[[#This Row],[Date]],Supply_Data___Hourly_DriverActivity_1_csv__3[#All],8,FALSE)</f>
        <v>0</v>
      </c>
      <c r="P331">
        <f>(Demand_Data___Hourly_OverviewSearch_1_csv[[#This Row],[People saw 0 cars (unique)]]+Demand_Data___Hourly_OverviewSearch_1_csv[[#This Row],[People saw +1 cars (unique)]])</f>
        <v>2</v>
      </c>
      <c r="Q331" s="143">
        <f t="shared" si="23"/>
        <v>5</v>
      </c>
    </row>
    <row r="332" spans="1:17" x14ac:dyDescent="0.3">
      <c r="A332" t="s">
        <v>339</v>
      </c>
      <c r="B332" t="str">
        <f t="shared" si="20"/>
        <v xml:space="preserve"> 04</v>
      </c>
      <c r="C332">
        <f t="shared" si="21"/>
        <v>1</v>
      </c>
      <c r="D332" t="str">
        <f t="shared" si="22"/>
        <v xml:space="preserve">2016-12-05 </v>
      </c>
      <c r="E332" t="str">
        <f>TEXT(Demand_Data___Hourly_OverviewSearch_1_csv[[#This Row],[Day]],"dddd")</f>
        <v>Sunday</v>
      </c>
      <c r="F332">
        <v>4</v>
      </c>
      <c r="G332">
        <v>3</v>
      </c>
      <c r="H332">
        <v>43</v>
      </c>
      <c r="I332">
        <f>VLOOKUP(Demand_Data___Hourly_OverviewSearch_1_csv[[#This Row],[Date]],Supply_Data___Hourly_DriverActivity_1_csv__3[#All],2,FALSE)</f>
        <v>11</v>
      </c>
      <c r="J332">
        <f>VLOOKUP(Demand_Data___Hourly_OverviewSearch_1_csv[[#This Row],[Date]],Supply_Data___Hourly_DriverActivity_1_csv__3[#All],3,FALSE)</f>
        <v>3</v>
      </c>
      <c r="K332">
        <f>VLOOKUP(Demand_Data___Hourly_OverviewSearch_1_csv[[#This Row],[Date]],Supply_Data___Hourly_DriverActivity_1_csv__3[#All],4,FALSE)</f>
        <v>0</v>
      </c>
      <c r="L332">
        <f>VLOOKUP(Demand_Data___Hourly_OverviewSearch_1_csv[[#This Row],[Date]],Supply_Data___Hourly_DriverActivity_1_csv__3[#All],5,FALSE)</f>
        <v>3</v>
      </c>
      <c r="M332">
        <f>VLOOKUP(Demand_Data___Hourly_OverviewSearch_1_csv[[#This Row],[Date]],Supply_Data___Hourly_DriverActivity_1_csv__3[#All],6,FALSE)</f>
        <v>0.3</v>
      </c>
      <c r="N332">
        <f>VLOOKUP(Demand_Data___Hourly_OverviewSearch_1_csv[[#This Row],[Date]],Supply_Data___Hourly_DriverActivity_1_csv__3[#All],7,FALSE)</f>
        <v>0</v>
      </c>
      <c r="O332">
        <f>VLOOKUP(Demand_Data___Hourly_OverviewSearch_1_csv[[#This Row],[Date]],Supply_Data___Hourly_DriverActivity_1_csv__3[#All],8,FALSE)</f>
        <v>0</v>
      </c>
      <c r="P332">
        <f>(Demand_Data___Hourly_OverviewSearch_1_csv[[#This Row],[People saw 0 cars (unique)]]+Demand_Data___Hourly_OverviewSearch_1_csv[[#This Row],[People saw +1 cars (unique)]])</f>
        <v>7</v>
      </c>
      <c r="Q332" s="143">
        <f t="shared" si="23"/>
        <v>3</v>
      </c>
    </row>
    <row r="333" spans="1:17" x14ac:dyDescent="0.3">
      <c r="A333" t="s">
        <v>340</v>
      </c>
      <c r="B333" t="str">
        <f t="shared" si="20"/>
        <v xml:space="preserve"> 03</v>
      </c>
      <c r="C333">
        <f t="shared" si="21"/>
        <v>1</v>
      </c>
      <c r="D333" t="str">
        <f t="shared" si="22"/>
        <v xml:space="preserve">2016-12-05 </v>
      </c>
      <c r="E333" t="str">
        <f>TEXT(Demand_Data___Hourly_OverviewSearch_1_csv[[#This Row],[Day]],"dddd")</f>
        <v>Sunday</v>
      </c>
      <c r="F333">
        <v>1</v>
      </c>
      <c r="G333">
        <v>4</v>
      </c>
      <c r="H333">
        <v>80</v>
      </c>
      <c r="I333">
        <f>VLOOKUP(Demand_Data___Hourly_OverviewSearch_1_csv[[#This Row],[Date]],Supply_Data___Hourly_DriverActivity_1_csv__3[#All],2,FALSE)</f>
        <v>9</v>
      </c>
      <c r="J333">
        <f>VLOOKUP(Demand_Data___Hourly_OverviewSearch_1_csv[[#This Row],[Date]],Supply_Data___Hourly_DriverActivity_1_csv__3[#All],3,FALSE)</f>
        <v>4</v>
      </c>
      <c r="K333">
        <f>VLOOKUP(Demand_Data___Hourly_OverviewSearch_1_csv[[#This Row],[Date]],Supply_Data___Hourly_DriverActivity_1_csv__3[#All],4,FALSE)</f>
        <v>0</v>
      </c>
      <c r="L333">
        <f>VLOOKUP(Demand_Data___Hourly_OverviewSearch_1_csv[[#This Row],[Date]],Supply_Data___Hourly_DriverActivity_1_csv__3[#All],5,FALSE)</f>
        <v>4</v>
      </c>
      <c r="M333">
        <f>VLOOKUP(Demand_Data___Hourly_OverviewSearch_1_csv[[#This Row],[Date]],Supply_Data___Hourly_DriverActivity_1_csv__3[#All],6,FALSE)</f>
        <v>0.4</v>
      </c>
      <c r="N333">
        <f>VLOOKUP(Demand_Data___Hourly_OverviewSearch_1_csv[[#This Row],[Date]],Supply_Data___Hourly_DriverActivity_1_csv__3[#All],7,FALSE)</f>
        <v>0.25</v>
      </c>
      <c r="O333">
        <f>VLOOKUP(Demand_Data___Hourly_OverviewSearch_1_csv[[#This Row],[Date]],Supply_Data___Hourly_DriverActivity_1_csv__3[#All],8,FALSE)</f>
        <v>1</v>
      </c>
      <c r="P333">
        <f>(Demand_Data___Hourly_OverviewSearch_1_csv[[#This Row],[People saw 0 cars (unique)]]+Demand_Data___Hourly_OverviewSearch_1_csv[[#This Row],[People saw +1 cars (unique)]])</f>
        <v>5</v>
      </c>
      <c r="Q333" s="143">
        <f t="shared" si="23"/>
        <v>4</v>
      </c>
    </row>
    <row r="334" spans="1:17" x14ac:dyDescent="0.3">
      <c r="A334" t="s">
        <v>341</v>
      </c>
      <c r="B334" t="str">
        <f t="shared" si="20"/>
        <v xml:space="preserve"> 02</v>
      </c>
      <c r="C334">
        <f t="shared" si="21"/>
        <v>1</v>
      </c>
      <c r="D334" t="str">
        <f t="shared" si="22"/>
        <v xml:space="preserve">2016-12-05 </v>
      </c>
      <c r="E334" t="str">
        <f>TEXT(Demand_Data___Hourly_OverviewSearch_1_csv[[#This Row],[Day]],"dddd")</f>
        <v>Sunday</v>
      </c>
      <c r="F334">
        <v>2</v>
      </c>
      <c r="G334">
        <v>7</v>
      </c>
      <c r="H334">
        <v>78</v>
      </c>
      <c r="I334">
        <f>VLOOKUP(Demand_Data___Hourly_OverviewSearch_1_csv[[#This Row],[Date]],Supply_Data___Hourly_DriverActivity_1_csv__3[#All],2,FALSE)</f>
        <v>20</v>
      </c>
      <c r="J334">
        <f>VLOOKUP(Demand_Data___Hourly_OverviewSearch_1_csv[[#This Row],[Date]],Supply_Data___Hourly_DriverActivity_1_csv__3[#All],3,FALSE)</f>
        <v>8</v>
      </c>
      <c r="K334">
        <f>VLOOKUP(Demand_Data___Hourly_OverviewSearch_1_csv[[#This Row],[Date]],Supply_Data___Hourly_DriverActivity_1_csv__3[#All],4,FALSE)</f>
        <v>1</v>
      </c>
      <c r="L334">
        <f>VLOOKUP(Demand_Data___Hourly_OverviewSearch_1_csv[[#This Row],[Date]],Supply_Data___Hourly_DriverActivity_1_csv__3[#All],5,FALSE)</f>
        <v>7</v>
      </c>
      <c r="M334">
        <f>VLOOKUP(Demand_Data___Hourly_OverviewSearch_1_csv[[#This Row],[Date]],Supply_Data___Hourly_DriverActivity_1_csv__3[#All],6,FALSE)</f>
        <v>0.4</v>
      </c>
      <c r="N334">
        <f>VLOOKUP(Demand_Data___Hourly_OverviewSearch_1_csv[[#This Row],[Date]],Supply_Data___Hourly_DriverActivity_1_csv__3[#All],7,FALSE)</f>
        <v>0.38</v>
      </c>
      <c r="O334">
        <f>VLOOKUP(Demand_Data___Hourly_OverviewSearch_1_csv[[#This Row],[Date]],Supply_Data___Hourly_DriverActivity_1_csv__3[#All],8,FALSE)</f>
        <v>3</v>
      </c>
      <c r="P334">
        <f>(Demand_Data___Hourly_OverviewSearch_1_csv[[#This Row],[People saw 0 cars (unique)]]+Demand_Data___Hourly_OverviewSearch_1_csv[[#This Row],[People saw +1 cars (unique)]])</f>
        <v>9</v>
      </c>
      <c r="Q334" s="143">
        <f t="shared" si="23"/>
        <v>7</v>
      </c>
    </row>
    <row r="335" spans="1:17" x14ac:dyDescent="0.3">
      <c r="A335" t="s">
        <v>342</v>
      </c>
      <c r="B335" t="str">
        <f t="shared" si="20"/>
        <v xml:space="preserve"> 01</v>
      </c>
      <c r="C335">
        <f t="shared" si="21"/>
        <v>1</v>
      </c>
      <c r="D335" t="str">
        <f t="shared" si="22"/>
        <v xml:space="preserve">2016-12-05 </v>
      </c>
      <c r="E335" t="str">
        <f>TEXT(Demand_Data___Hourly_OverviewSearch_1_csv[[#This Row],[Day]],"dddd")</f>
        <v>Sunday</v>
      </c>
      <c r="F335">
        <v>4</v>
      </c>
      <c r="G335">
        <v>12</v>
      </c>
      <c r="H335">
        <v>75</v>
      </c>
      <c r="I335">
        <f>VLOOKUP(Demand_Data___Hourly_OverviewSearch_1_csv[[#This Row],[Date]],Supply_Data___Hourly_DriverActivity_1_csv__3[#All],2,FALSE)</f>
        <v>31</v>
      </c>
      <c r="J335">
        <f>VLOOKUP(Demand_Data___Hourly_OverviewSearch_1_csv[[#This Row],[Date]],Supply_Data___Hourly_DriverActivity_1_csv__3[#All],3,FALSE)</f>
        <v>10</v>
      </c>
      <c r="K335">
        <f>VLOOKUP(Demand_Data___Hourly_OverviewSearch_1_csv[[#This Row],[Date]],Supply_Data___Hourly_DriverActivity_1_csv__3[#All],4,FALSE)</f>
        <v>1</v>
      </c>
      <c r="L335">
        <f>VLOOKUP(Demand_Data___Hourly_OverviewSearch_1_csv[[#This Row],[Date]],Supply_Data___Hourly_DriverActivity_1_csv__3[#All],5,FALSE)</f>
        <v>10</v>
      </c>
      <c r="M335">
        <f>VLOOKUP(Demand_Data___Hourly_OverviewSearch_1_csv[[#This Row],[Date]],Supply_Data___Hourly_DriverActivity_1_csv__3[#All],6,FALSE)</f>
        <v>0.3</v>
      </c>
      <c r="N335">
        <f>VLOOKUP(Demand_Data___Hourly_OverviewSearch_1_csv[[#This Row],[Date]],Supply_Data___Hourly_DriverActivity_1_csv__3[#All],7,FALSE)</f>
        <v>0</v>
      </c>
      <c r="O335">
        <f>VLOOKUP(Demand_Data___Hourly_OverviewSearch_1_csv[[#This Row],[Date]],Supply_Data___Hourly_DriverActivity_1_csv__3[#All],8,FALSE)</f>
        <v>0</v>
      </c>
      <c r="P335">
        <f>(Demand_Data___Hourly_OverviewSearch_1_csv[[#This Row],[People saw 0 cars (unique)]]+Demand_Data___Hourly_OverviewSearch_1_csv[[#This Row],[People saw +1 cars (unique)]])</f>
        <v>16</v>
      </c>
      <c r="Q335" s="143">
        <f t="shared" si="23"/>
        <v>9</v>
      </c>
    </row>
    <row r="336" spans="1:17" x14ac:dyDescent="0.3">
      <c r="A336" t="s">
        <v>343</v>
      </c>
      <c r="B336" t="str">
        <f t="shared" si="20"/>
        <v xml:space="preserve"> 00</v>
      </c>
      <c r="C336">
        <f t="shared" si="21"/>
        <v>1</v>
      </c>
      <c r="D336" t="str">
        <f t="shared" si="22"/>
        <v xml:space="preserve">2016-12-05 </v>
      </c>
      <c r="E336" t="str">
        <f>TEXT(Demand_Data___Hourly_OverviewSearch_1_csv[[#This Row],[Day]],"dddd")</f>
        <v>Sunday</v>
      </c>
      <c r="F336">
        <v>10</v>
      </c>
      <c r="G336">
        <v>25</v>
      </c>
      <c r="H336">
        <v>71</v>
      </c>
      <c r="I336">
        <f>VLOOKUP(Demand_Data___Hourly_OverviewSearch_1_csv[[#This Row],[Date]],Supply_Data___Hourly_DriverActivity_1_csv__3[#All],2,FALSE)</f>
        <v>38</v>
      </c>
      <c r="J336">
        <f>VLOOKUP(Demand_Data___Hourly_OverviewSearch_1_csv[[#This Row],[Date]],Supply_Data___Hourly_DriverActivity_1_csv__3[#All],3,FALSE)</f>
        <v>13</v>
      </c>
      <c r="K336">
        <f>VLOOKUP(Demand_Data___Hourly_OverviewSearch_1_csv[[#This Row],[Date]],Supply_Data___Hourly_DriverActivity_1_csv__3[#All],4,FALSE)</f>
        <v>1</v>
      </c>
      <c r="L336">
        <f>VLOOKUP(Demand_Data___Hourly_OverviewSearch_1_csv[[#This Row],[Date]],Supply_Data___Hourly_DriverActivity_1_csv__3[#All],5,FALSE)</f>
        <v>12</v>
      </c>
      <c r="M336">
        <f>VLOOKUP(Demand_Data___Hourly_OverviewSearch_1_csv[[#This Row],[Date]],Supply_Data___Hourly_DriverActivity_1_csv__3[#All],6,FALSE)</f>
        <v>0.3</v>
      </c>
      <c r="N336">
        <f>VLOOKUP(Demand_Data___Hourly_OverviewSearch_1_csv[[#This Row],[Date]],Supply_Data___Hourly_DriverActivity_1_csv__3[#All],7,FALSE)</f>
        <v>0.31</v>
      </c>
      <c r="O336">
        <f>VLOOKUP(Demand_Data___Hourly_OverviewSearch_1_csv[[#This Row],[Date]],Supply_Data___Hourly_DriverActivity_1_csv__3[#All],8,FALSE)</f>
        <v>4</v>
      </c>
      <c r="P336">
        <f>(Demand_Data___Hourly_OverviewSearch_1_csv[[#This Row],[People saw 0 cars (unique)]]+Demand_Data___Hourly_OverviewSearch_1_csv[[#This Row],[People saw +1 cars (unique)]])</f>
        <v>35</v>
      </c>
      <c r="Q336" s="143">
        <f t="shared" si="23"/>
        <v>12</v>
      </c>
    </row>
    <row r="337" spans="1:17" x14ac:dyDescent="0.3">
      <c r="A337" t="s">
        <v>344</v>
      </c>
      <c r="B337" t="str">
        <f t="shared" si="20"/>
        <v xml:space="preserve"> 23</v>
      </c>
      <c r="C337">
        <f t="shared" si="21"/>
        <v>7</v>
      </c>
      <c r="D337" t="str">
        <f t="shared" si="22"/>
        <v xml:space="preserve">2016-12-04 </v>
      </c>
      <c r="E337" t="str">
        <f>TEXT(Demand_Data___Hourly_OverviewSearch_1_csv[[#This Row],[Day]],"dddd")</f>
        <v>Saturday</v>
      </c>
      <c r="F337">
        <v>10</v>
      </c>
      <c r="G337">
        <v>30</v>
      </c>
      <c r="H337">
        <v>75</v>
      </c>
      <c r="I337">
        <f>VLOOKUP(Demand_Data___Hourly_OverviewSearch_1_csv[[#This Row],[Date]],Supply_Data___Hourly_DriverActivity_1_csv__3[#All],2,FALSE)</f>
        <v>46</v>
      </c>
      <c r="J337">
        <f>VLOOKUP(Demand_Data___Hourly_OverviewSearch_1_csv[[#This Row],[Date]],Supply_Data___Hourly_DriverActivity_1_csv__3[#All],3,FALSE)</f>
        <v>15</v>
      </c>
      <c r="K337">
        <f>VLOOKUP(Demand_Data___Hourly_OverviewSearch_1_csv[[#This Row],[Date]],Supply_Data___Hourly_DriverActivity_1_csv__3[#All],4,FALSE)</f>
        <v>3</v>
      </c>
      <c r="L337">
        <f>VLOOKUP(Demand_Data___Hourly_OverviewSearch_1_csv[[#This Row],[Date]],Supply_Data___Hourly_DriverActivity_1_csv__3[#All],5,FALSE)</f>
        <v>13</v>
      </c>
      <c r="M337">
        <f>VLOOKUP(Demand_Data___Hourly_OverviewSearch_1_csv[[#This Row],[Date]],Supply_Data___Hourly_DriverActivity_1_csv__3[#All],6,FALSE)</f>
        <v>0.3</v>
      </c>
      <c r="N337">
        <f>VLOOKUP(Demand_Data___Hourly_OverviewSearch_1_csv[[#This Row],[Date]],Supply_Data___Hourly_DriverActivity_1_csv__3[#All],7,FALSE)</f>
        <v>0.4</v>
      </c>
      <c r="O337">
        <f>VLOOKUP(Demand_Data___Hourly_OverviewSearch_1_csv[[#This Row],[Date]],Supply_Data___Hourly_DriverActivity_1_csv__3[#All],8,FALSE)</f>
        <v>6</v>
      </c>
      <c r="P337">
        <f>(Demand_Data___Hourly_OverviewSearch_1_csv[[#This Row],[People saw 0 cars (unique)]]+Demand_Data___Hourly_OverviewSearch_1_csv[[#This Row],[People saw +1 cars (unique)]])</f>
        <v>40</v>
      </c>
      <c r="Q337" s="143">
        <f t="shared" si="23"/>
        <v>12</v>
      </c>
    </row>
    <row r="338" spans="1:17" x14ac:dyDescent="0.3">
      <c r="A338" t="s">
        <v>345</v>
      </c>
      <c r="B338" t="str">
        <f t="shared" si="20"/>
        <v xml:space="preserve"> 22</v>
      </c>
      <c r="C338">
        <f t="shared" si="21"/>
        <v>7</v>
      </c>
      <c r="D338" t="str">
        <f t="shared" si="22"/>
        <v xml:space="preserve">2016-12-04 </v>
      </c>
      <c r="E338" t="str">
        <f>TEXT(Demand_Data___Hourly_OverviewSearch_1_csv[[#This Row],[Day]],"dddd")</f>
        <v>Saturday</v>
      </c>
      <c r="F338">
        <v>8</v>
      </c>
      <c r="G338">
        <v>45</v>
      </c>
      <c r="H338">
        <v>85</v>
      </c>
      <c r="I338">
        <f>VLOOKUP(Demand_Data___Hourly_OverviewSearch_1_csv[[#This Row],[Date]],Supply_Data___Hourly_DriverActivity_1_csv__3[#All],2,FALSE)</f>
        <v>65</v>
      </c>
      <c r="J338">
        <f>VLOOKUP(Demand_Data___Hourly_OverviewSearch_1_csv[[#This Row],[Date]],Supply_Data___Hourly_DriverActivity_1_csv__3[#All],3,FALSE)</f>
        <v>23</v>
      </c>
      <c r="K338">
        <f>VLOOKUP(Demand_Data___Hourly_OverviewSearch_1_csv[[#This Row],[Date]],Supply_Data___Hourly_DriverActivity_1_csv__3[#All],4,FALSE)</f>
        <v>6</v>
      </c>
      <c r="L338">
        <f>VLOOKUP(Demand_Data___Hourly_OverviewSearch_1_csv[[#This Row],[Date]],Supply_Data___Hourly_DriverActivity_1_csv__3[#All],5,FALSE)</f>
        <v>17</v>
      </c>
      <c r="M338">
        <f>VLOOKUP(Demand_Data___Hourly_OverviewSearch_1_csv[[#This Row],[Date]],Supply_Data___Hourly_DriverActivity_1_csv__3[#All],6,FALSE)</f>
        <v>0.4</v>
      </c>
      <c r="N338">
        <f>VLOOKUP(Demand_Data___Hourly_OverviewSearch_1_csv[[#This Row],[Date]],Supply_Data___Hourly_DriverActivity_1_csv__3[#All],7,FALSE)</f>
        <v>0.61</v>
      </c>
      <c r="O338">
        <f>VLOOKUP(Demand_Data___Hourly_OverviewSearch_1_csv[[#This Row],[Date]],Supply_Data___Hourly_DriverActivity_1_csv__3[#All],8,FALSE)</f>
        <v>14</v>
      </c>
      <c r="P338">
        <f>(Demand_Data___Hourly_OverviewSearch_1_csv[[#This Row],[People saw 0 cars (unique)]]+Demand_Data___Hourly_OverviewSearch_1_csv[[#This Row],[People saw +1 cars (unique)]])</f>
        <v>53</v>
      </c>
      <c r="Q338" s="143">
        <f t="shared" si="23"/>
        <v>17</v>
      </c>
    </row>
    <row r="339" spans="1:17" x14ac:dyDescent="0.3">
      <c r="A339" t="s">
        <v>346</v>
      </c>
      <c r="B339" t="str">
        <f t="shared" si="20"/>
        <v xml:space="preserve"> 21</v>
      </c>
      <c r="C339">
        <f t="shared" si="21"/>
        <v>7</v>
      </c>
      <c r="D339" t="str">
        <f t="shared" si="22"/>
        <v xml:space="preserve">2016-12-04 </v>
      </c>
      <c r="E339" t="str">
        <f>TEXT(Demand_Data___Hourly_OverviewSearch_1_csv[[#This Row],[Day]],"dddd")</f>
        <v>Saturday</v>
      </c>
      <c r="F339">
        <v>8</v>
      </c>
      <c r="G339">
        <v>44</v>
      </c>
      <c r="H339">
        <v>85</v>
      </c>
      <c r="I339">
        <f>VLOOKUP(Demand_Data___Hourly_OverviewSearch_1_csv[[#This Row],[Date]],Supply_Data___Hourly_DriverActivity_1_csv__3[#All],2,FALSE)</f>
        <v>77</v>
      </c>
      <c r="J339">
        <f>VLOOKUP(Demand_Data___Hourly_OverviewSearch_1_csv[[#This Row],[Date]],Supply_Data___Hourly_DriverActivity_1_csv__3[#All],3,FALSE)</f>
        <v>29</v>
      </c>
      <c r="K339">
        <f>VLOOKUP(Demand_Data___Hourly_OverviewSearch_1_csv[[#This Row],[Date]],Supply_Data___Hourly_DriverActivity_1_csv__3[#All],4,FALSE)</f>
        <v>6</v>
      </c>
      <c r="L339">
        <f>VLOOKUP(Demand_Data___Hourly_OverviewSearch_1_csv[[#This Row],[Date]],Supply_Data___Hourly_DriverActivity_1_csv__3[#All],5,FALSE)</f>
        <v>23</v>
      </c>
      <c r="M339">
        <f>VLOOKUP(Demand_Data___Hourly_OverviewSearch_1_csv[[#This Row],[Date]],Supply_Data___Hourly_DriverActivity_1_csv__3[#All],6,FALSE)</f>
        <v>0.4</v>
      </c>
      <c r="N339">
        <f>VLOOKUP(Demand_Data___Hourly_OverviewSearch_1_csv[[#This Row],[Date]],Supply_Data___Hourly_DriverActivity_1_csv__3[#All],7,FALSE)</f>
        <v>0.72</v>
      </c>
      <c r="O339">
        <f>VLOOKUP(Demand_Data___Hourly_OverviewSearch_1_csv[[#This Row],[Date]],Supply_Data___Hourly_DriverActivity_1_csv__3[#All],8,FALSE)</f>
        <v>21</v>
      </c>
      <c r="P339">
        <f>(Demand_Data___Hourly_OverviewSearch_1_csv[[#This Row],[People saw 0 cars (unique)]]+Demand_Data___Hourly_OverviewSearch_1_csv[[#This Row],[People saw +1 cars (unique)]])</f>
        <v>52</v>
      </c>
      <c r="Q339" s="143">
        <f t="shared" si="23"/>
        <v>23</v>
      </c>
    </row>
    <row r="340" spans="1:17" x14ac:dyDescent="0.3">
      <c r="A340" t="s">
        <v>347</v>
      </c>
      <c r="B340" t="str">
        <f t="shared" si="20"/>
        <v xml:space="preserve"> 20</v>
      </c>
      <c r="C340">
        <f t="shared" si="21"/>
        <v>7</v>
      </c>
      <c r="D340" t="str">
        <f t="shared" si="22"/>
        <v xml:space="preserve">2016-12-04 </v>
      </c>
      <c r="E340" t="str">
        <f>TEXT(Demand_Data___Hourly_OverviewSearch_1_csv[[#This Row],[Day]],"dddd")</f>
        <v>Saturday</v>
      </c>
      <c r="F340">
        <v>4</v>
      </c>
      <c r="G340">
        <v>59</v>
      </c>
      <c r="H340">
        <v>94</v>
      </c>
      <c r="I340">
        <f>VLOOKUP(Demand_Data___Hourly_OverviewSearch_1_csv[[#This Row],[Date]],Supply_Data___Hourly_DriverActivity_1_csv__3[#All],2,FALSE)</f>
        <v>87</v>
      </c>
      <c r="J340">
        <f>VLOOKUP(Demand_Data___Hourly_OverviewSearch_1_csv[[#This Row],[Date]],Supply_Data___Hourly_DriverActivity_1_csv__3[#All],3,FALSE)</f>
        <v>36</v>
      </c>
      <c r="K340">
        <f>VLOOKUP(Demand_Data___Hourly_OverviewSearch_1_csv[[#This Row],[Date]],Supply_Data___Hourly_DriverActivity_1_csv__3[#All],4,FALSE)</f>
        <v>5</v>
      </c>
      <c r="L340">
        <f>VLOOKUP(Demand_Data___Hourly_OverviewSearch_1_csv[[#This Row],[Date]],Supply_Data___Hourly_DriverActivity_1_csv__3[#All],5,FALSE)</f>
        <v>31</v>
      </c>
      <c r="M340">
        <f>VLOOKUP(Demand_Data___Hourly_OverviewSearch_1_csv[[#This Row],[Date]],Supply_Data___Hourly_DriverActivity_1_csv__3[#All],6,FALSE)</f>
        <v>0.4</v>
      </c>
      <c r="N340">
        <f>VLOOKUP(Demand_Data___Hourly_OverviewSearch_1_csv[[#This Row],[Date]],Supply_Data___Hourly_DriverActivity_1_csv__3[#All],7,FALSE)</f>
        <v>0.36</v>
      </c>
      <c r="O340">
        <f>VLOOKUP(Demand_Data___Hourly_OverviewSearch_1_csv[[#This Row],[Date]],Supply_Data___Hourly_DriverActivity_1_csv__3[#All],8,FALSE)</f>
        <v>13</v>
      </c>
      <c r="P340">
        <f>(Demand_Data___Hourly_OverviewSearch_1_csv[[#This Row],[People saw 0 cars (unique)]]+Demand_Data___Hourly_OverviewSearch_1_csv[[#This Row],[People saw +1 cars (unique)]])</f>
        <v>63</v>
      </c>
      <c r="Q340" s="143">
        <f t="shared" si="23"/>
        <v>31</v>
      </c>
    </row>
    <row r="341" spans="1:17" x14ac:dyDescent="0.3">
      <c r="A341" t="s">
        <v>348</v>
      </c>
      <c r="B341" t="str">
        <f t="shared" si="20"/>
        <v xml:space="preserve"> 19</v>
      </c>
      <c r="C341">
        <f t="shared" si="21"/>
        <v>7</v>
      </c>
      <c r="D341" t="str">
        <f t="shared" si="22"/>
        <v xml:space="preserve">2016-12-04 </v>
      </c>
      <c r="E341" t="str">
        <f>TEXT(Demand_Data___Hourly_OverviewSearch_1_csv[[#This Row],[Day]],"dddd")</f>
        <v>Saturday</v>
      </c>
      <c r="F341">
        <v>8</v>
      </c>
      <c r="G341">
        <v>62</v>
      </c>
      <c r="H341">
        <v>89</v>
      </c>
      <c r="I341">
        <f>VLOOKUP(Demand_Data___Hourly_OverviewSearch_1_csv[[#This Row],[Date]],Supply_Data___Hourly_DriverActivity_1_csv__3[#All],2,FALSE)</f>
        <v>87</v>
      </c>
      <c r="J341">
        <f>VLOOKUP(Demand_Data___Hourly_OverviewSearch_1_csv[[#This Row],[Date]],Supply_Data___Hourly_DriverActivity_1_csv__3[#All],3,FALSE)</f>
        <v>33</v>
      </c>
      <c r="K341">
        <f>VLOOKUP(Demand_Data___Hourly_OverviewSearch_1_csv[[#This Row],[Date]],Supply_Data___Hourly_DriverActivity_1_csv__3[#All],4,FALSE)</f>
        <v>9</v>
      </c>
      <c r="L341">
        <f>VLOOKUP(Demand_Data___Hourly_OverviewSearch_1_csv[[#This Row],[Date]],Supply_Data___Hourly_DriverActivity_1_csv__3[#All],5,FALSE)</f>
        <v>24</v>
      </c>
      <c r="M341">
        <f>VLOOKUP(Demand_Data___Hourly_OverviewSearch_1_csv[[#This Row],[Date]],Supply_Data___Hourly_DriverActivity_1_csv__3[#All],6,FALSE)</f>
        <v>0.4</v>
      </c>
      <c r="N341">
        <f>VLOOKUP(Demand_Data___Hourly_OverviewSearch_1_csv[[#This Row],[Date]],Supply_Data___Hourly_DriverActivity_1_csv__3[#All],7,FALSE)</f>
        <v>0.67</v>
      </c>
      <c r="O341">
        <f>VLOOKUP(Demand_Data___Hourly_OverviewSearch_1_csv[[#This Row],[Date]],Supply_Data___Hourly_DriverActivity_1_csv__3[#All],8,FALSE)</f>
        <v>22</v>
      </c>
      <c r="P341">
        <f>(Demand_Data___Hourly_OverviewSearch_1_csv[[#This Row],[People saw 0 cars (unique)]]+Demand_Data___Hourly_OverviewSearch_1_csv[[#This Row],[People saw +1 cars (unique)]])</f>
        <v>70</v>
      </c>
      <c r="Q341" s="143">
        <f t="shared" si="23"/>
        <v>24</v>
      </c>
    </row>
    <row r="342" spans="1:17" x14ac:dyDescent="0.3">
      <c r="A342" t="s">
        <v>349</v>
      </c>
      <c r="B342" t="str">
        <f t="shared" si="20"/>
        <v xml:space="preserve"> 18</v>
      </c>
      <c r="C342">
        <f t="shared" si="21"/>
        <v>7</v>
      </c>
      <c r="D342" t="str">
        <f t="shared" si="22"/>
        <v xml:space="preserve">2016-12-04 </v>
      </c>
      <c r="E342" t="str">
        <f>TEXT(Demand_Data___Hourly_OverviewSearch_1_csv[[#This Row],[Day]],"dddd")</f>
        <v>Saturday</v>
      </c>
      <c r="F342">
        <v>7</v>
      </c>
      <c r="G342">
        <v>39</v>
      </c>
      <c r="H342">
        <v>85</v>
      </c>
      <c r="I342">
        <f>VLOOKUP(Demand_Data___Hourly_OverviewSearch_1_csv[[#This Row],[Date]],Supply_Data___Hourly_DriverActivity_1_csv__3[#All],2,FALSE)</f>
        <v>80</v>
      </c>
      <c r="J342">
        <f>VLOOKUP(Demand_Data___Hourly_OverviewSearch_1_csv[[#This Row],[Date]],Supply_Data___Hourly_DriverActivity_1_csv__3[#All],3,FALSE)</f>
        <v>27</v>
      </c>
      <c r="K342">
        <f>VLOOKUP(Demand_Data___Hourly_OverviewSearch_1_csv[[#This Row],[Date]],Supply_Data___Hourly_DriverActivity_1_csv__3[#All],4,FALSE)</f>
        <v>6</v>
      </c>
      <c r="L342">
        <f>VLOOKUP(Demand_Data___Hourly_OverviewSearch_1_csv[[#This Row],[Date]],Supply_Data___Hourly_DriverActivity_1_csv__3[#All],5,FALSE)</f>
        <v>21</v>
      </c>
      <c r="M342">
        <f>VLOOKUP(Demand_Data___Hourly_OverviewSearch_1_csv[[#This Row],[Date]],Supply_Data___Hourly_DriverActivity_1_csv__3[#All],6,FALSE)</f>
        <v>0.3</v>
      </c>
      <c r="N342">
        <f>VLOOKUP(Demand_Data___Hourly_OverviewSearch_1_csv[[#This Row],[Date]],Supply_Data___Hourly_DriverActivity_1_csv__3[#All],7,FALSE)</f>
        <v>0.52</v>
      </c>
      <c r="O342">
        <f>VLOOKUP(Demand_Data___Hourly_OverviewSearch_1_csv[[#This Row],[Date]],Supply_Data___Hourly_DriverActivity_1_csv__3[#All],8,FALSE)</f>
        <v>14</v>
      </c>
      <c r="P342">
        <f>(Demand_Data___Hourly_OverviewSearch_1_csv[[#This Row],[People saw 0 cars (unique)]]+Demand_Data___Hourly_OverviewSearch_1_csv[[#This Row],[People saw +1 cars (unique)]])</f>
        <v>46</v>
      </c>
      <c r="Q342" s="143">
        <f t="shared" si="23"/>
        <v>21</v>
      </c>
    </row>
    <row r="343" spans="1:17" x14ac:dyDescent="0.3">
      <c r="A343" t="s">
        <v>350</v>
      </c>
      <c r="B343" t="str">
        <f t="shared" si="20"/>
        <v xml:space="preserve"> 17</v>
      </c>
      <c r="C343">
        <f t="shared" si="21"/>
        <v>7</v>
      </c>
      <c r="D343" t="str">
        <f t="shared" si="22"/>
        <v xml:space="preserve">2016-12-04 </v>
      </c>
      <c r="E343" t="str">
        <f>TEXT(Demand_Data___Hourly_OverviewSearch_1_csv[[#This Row],[Day]],"dddd")</f>
        <v>Saturday</v>
      </c>
      <c r="F343">
        <v>3</v>
      </c>
      <c r="G343">
        <v>55</v>
      </c>
      <c r="H343">
        <v>95</v>
      </c>
      <c r="I343">
        <f>VLOOKUP(Demand_Data___Hourly_OverviewSearch_1_csv[[#This Row],[Date]],Supply_Data___Hourly_DriverActivity_1_csv__3[#All],2,FALSE)</f>
        <v>81</v>
      </c>
      <c r="J343">
        <f>VLOOKUP(Demand_Data___Hourly_OverviewSearch_1_csv[[#This Row],[Date]],Supply_Data___Hourly_DriverActivity_1_csv__3[#All],3,FALSE)</f>
        <v>28</v>
      </c>
      <c r="K343">
        <f>VLOOKUP(Demand_Data___Hourly_OverviewSearch_1_csv[[#This Row],[Date]],Supply_Data___Hourly_DriverActivity_1_csv__3[#All],4,FALSE)</f>
        <v>9</v>
      </c>
      <c r="L343">
        <f>VLOOKUP(Demand_Data___Hourly_OverviewSearch_1_csv[[#This Row],[Date]],Supply_Data___Hourly_DriverActivity_1_csv__3[#All],5,FALSE)</f>
        <v>19</v>
      </c>
      <c r="M343">
        <f>VLOOKUP(Demand_Data___Hourly_OverviewSearch_1_csv[[#This Row],[Date]],Supply_Data___Hourly_DriverActivity_1_csv__3[#All],6,FALSE)</f>
        <v>0.3</v>
      </c>
      <c r="N343">
        <f>VLOOKUP(Demand_Data___Hourly_OverviewSearch_1_csv[[#This Row],[Date]],Supply_Data___Hourly_DriverActivity_1_csv__3[#All],7,FALSE)</f>
        <v>0.75</v>
      </c>
      <c r="O343">
        <f>VLOOKUP(Demand_Data___Hourly_OverviewSearch_1_csv[[#This Row],[Date]],Supply_Data___Hourly_DriverActivity_1_csv__3[#All],8,FALSE)</f>
        <v>21</v>
      </c>
      <c r="P343">
        <f>(Demand_Data___Hourly_OverviewSearch_1_csv[[#This Row],[People saw 0 cars (unique)]]+Demand_Data___Hourly_OverviewSearch_1_csv[[#This Row],[People saw +1 cars (unique)]])</f>
        <v>58</v>
      </c>
      <c r="Q343" s="143">
        <f t="shared" si="23"/>
        <v>19</v>
      </c>
    </row>
    <row r="344" spans="1:17" x14ac:dyDescent="0.3">
      <c r="A344" t="s">
        <v>351</v>
      </c>
      <c r="B344" t="str">
        <f t="shared" si="20"/>
        <v xml:space="preserve"> 16</v>
      </c>
      <c r="C344">
        <f t="shared" si="21"/>
        <v>7</v>
      </c>
      <c r="D344" t="str">
        <f t="shared" si="22"/>
        <v xml:space="preserve">2016-12-04 </v>
      </c>
      <c r="E344" t="str">
        <f>TEXT(Demand_Data___Hourly_OverviewSearch_1_csv[[#This Row],[Day]],"dddd")</f>
        <v>Saturday</v>
      </c>
      <c r="F344">
        <v>4</v>
      </c>
      <c r="G344">
        <v>47</v>
      </c>
      <c r="H344">
        <v>92</v>
      </c>
      <c r="I344">
        <f>VLOOKUP(Demand_Data___Hourly_OverviewSearch_1_csv[[#This Row],[Date]],Supply_Data___Hourly_DriverActivity_1_csv__3[#All],2,FALSE)</f>
        <v>74</v>
      </c>
      <c r="J344">
        <f>VLOOKUP(Demand_Data___Hourly_OverviewSearch_1_csv[[#This Row],[Date]],Supply_Data___Hourly_DriverActivity_1_csv__3[#All],3,FALSE)</f>
        <v>28</v>
      </c>
      <c r="K344">
        <f>VLOOKUP(Demand_Data___Hourly_OverviewSearch_1_csv[[#This Row],[Date]],Supply_Data___Hourly_DriverActivity_1_csv__3[#All],4,FALSE)</f>
        <v>5</v>
      </c>
      <c r="L344">
        <f>VLOOKUP(Demand_Data___Hourly_OverviewSearch_1_csv[[#This Row],[Date]],Supply_Data___Hourly_DriverActivity_1_csv__3[#All],5,FALSE)</f>
        <v>23</v>
      </c>
      <c r="M344">
        <f>VLOOKUP(Demand_Data___Hourly_OverviewSearch_1_csv[[#This Row],[Date]],Supply_Data___Hourly_DriverActivity_1_csv__3[#All],6,FALSE)</f>
        <v>0.4</v>
      </c>
      <c r="N344">
        <f>VLOOKUP(Demand_Data___Hourly_OverviewSearch_1_csv[[#This Row],[Date]],Supply_Data___Hourly_DriverActivity_1_csv__3[#All],7,FALSE)</f>
        <v>0.71</v>
      </c>
      <c r="O344">
        <f>VLOOKUP(Demand_Data___Hourly_OverviewSearch_1_csv[[#This Row],[Date]],Supply_Data___Hourly_DriverActivity_1_csv__3[#All],8,FALSE)</f>
        <v>20</v>
      </c>
      <c r="P344">
        <f>(Demand_Data___Hourly_OverviewSearch_1_csv[[#This Row],[People saw 0 cars (unique)]]+Demand_Data___Hourly_OverviewSearch_1_csv[[#This Row],[People saw +1 cars (unique)]])</f>
        <v>51</v>
      </c>
      <c r="Q344" s="143">
        <f t="shared" si="23"/>
        <v>23</v>
      </c>
    </row>
    <row r="345" spans="1:17" x14ac:dyDescent="0.3">
      <c r="A345" t="s">
        <v>352</v>
      </c>
      <c r="B345" t="str">
        <f t="shared" si="20"/>
        <v xml:space="preserve"> 15</v>
      </c>
      <c r="C345">
        <f t="shared" si="21"/>
        <v>7</v>
      </c>
      <c r="D345" t="str">
        <f t="shared" si="22"/>
        <v xml:space="preserve">2016-12-04 </v>
      </c>
      <c r="E345" t="str">
        <f>TEXT(Demand_Data___Hourly_OverviewSearch_1_csv[[#This Row],[Day]],"dddd")</f>
        <v>Saturday</v>
      </c>
      <c r="F345">
        <v>1</v>
      </c>
      <c r="G345">
        <v>29</v>
      </c>
      <c r="H345">
        <v>97</v>
      </c>
      <c r="I345">
        <f>VLOOKUP(Demand_Data___Hourly_OverviewSearch_1_csv[[#This Row],[Date]],Supply_Data___Hourly_DriverActivity_1_csv__3[#All],2,FALSE)</f>
        <v>72</v>
      </c>
      <c r="J345">
        <f>VLOOKUP(Demand_Data___Hourly_OverviewSearch_1_csv[[#This Row],[Date]],Supply_Data___Hourly_DriverActivity_1_csv__3[#All],3,FALSE)</f>
        <v>30</v>
      </c>
      <c r="K345">
        <f>VLOOKUP(Demand_Data___Hourly_OverviewSearch_1_csv[[#This Row],[Date]],Supply_Data___Hourly_DriverActivity_1_csv__3[#All],4,FALSE)</f>
        <v>3</v>
      </c>
      <c r="L345">
        <f>VLOOKUP(Demand_Data___Hourly_OverviewSearch_1_csv[[#This Row],[Date]],Supply_Data___Hourly_DriverActivity_1_csv__3[#All],5,FALSE)</f>
        <v>27</v>
      </c>
      <c r="M345">
        <f>VLOOKUP(Demand_Data___Hourly_OverviewSearch_1_csv[[#This Row],[Date]],Supply_Data___Hourly_DriverActivity_1_csv__3[#All],6,FALSE)</f>
        <v>0.4</v>
      </c>
      <c r="N345">
        <f>VLOOKUP(Demand_Data___Hourly_OverviewSearch_1_csv[[#This Row],[Date]],Supply_Data___Hourly_DriverActivity_1_csv__3[#All],7,FALSE)</f>
        <v>0.23</v>
      </c>
      <c r="O345">
        <f>VLOOKUP(Demand_Data___Hourly_OverviewSearch_1_csv[[#This Row],[Date]],Supply_Data___Hourly_DriverActivity_1_csv__3[#All],8,FALSE)</f>
        <v>7</v>
      </c>
      <c r="P345">
        <f>(Demand_Data___Hourly_OverviewSearch_1_csv[[#This Row],[People saw 0 cars (unique)]]+Demand_Data___Hourly_OverviewSearch_1_csv[[#This Row],[People saw +1 cars (unique)]])</f>
        <v>30</v>
      </c>
      <c r="Q345" s="143">
        <f t="shared" si="23"/>
        <v>27</v>
      </c>
    </row>
    <row r="346" spans="1:17" x14ac:dyDescent="0.3">
      <c r="A346" t="s">
        <v>353</v>
      </c>
      <c r="B346" t="str">
        <f t="shared" si="20"/>
        <v xml:space="preserve"> 14</v>
      </c>
      <c r="C346">
        <f t="shared" si="21"/>
        <v>7</v>
      </c>
      <c r="D346" t="str">
        <f t="shared" si="22"/>
        <v xml:space="preserve">2016-12-04 </v>
      </c>
      <c r="E346" t="str">
        <f>TEXT(Demand_Data___Hourly_OverviewSearch_1_csv[[#This Row],[Day]],"dddd")</f>
        <v>Saturday</v>
      </c>
      <c r="F346">
        <v>6</v>
      </c>
      <c r="G346">
        <v>24</v>
      </c>
      <c r="H346">
        <v>80</v>
      </c>
      <c r="I346">
        <f>VLOOKUP(Demand_Data___Hourly_OverviewSearch_1_csv[[#This Row],[Date]],Supply_Data___Hourly_DriverActivity_1_csv__3[#All],2,FALSE)</f>
        <v>67</v>
      </c>
      <c r="J346">
        <f>VLOOKUP(Demand_Data___Hourly_OverviewSearch_1_csv[[#This Row],[Date]],Supply_Data___Hourly_DriverActivity_1_csv__3[#All],3,FALSE)</f>
        <v>27</v>
      </c>
      <c r="K346">
        <f>VLOOKUP(Demand_Data___Hourly_OverviewSearch_1_csv[[#This Row],[Date]],Supply_Data___Hourly_DriverActivity_1_csv__3[#All],4,FALSE)</f>
        <v>2</v>
      </c>
      <c r="L346">
        <f>VLOOKUP(Demand_Data___Hourly_OverviewSearch_1_csv[[#This Row],[Date]],Supply_Data___Hourly_DriverActivity_1_csv__3[#All],5,FALSE)</f>
        <v>25</v>
      </c>
      <c r="M346">
        <f>VLOOKUP(Demand_Data___Hourly_OverviewSearch_1_csv[[#This Row],[Date]],Supply_Data___Hourly_DriverActivity_1_csv__3[#All],6,FALSE)</f>
        <v>0.4</v>
      </c>
      <c r="N346">
        <f>VLOOKUP(Demand_Data___Hourly_OverviewSearch_1_csv[[#This Row],[Date]],Supply_Data___Hourly_DriverActivity_1_csv__3[#All],7,FALSE)</f>
        <v>0.19</v>
      </c>
      <c r="O346">
        <f>VLOOKUP(Demand_Data___Hourly_OverviewSearch_1_csv[[#This Row],[Date]],Supply_Data___Hourly_DriverActivity_1_csv__3[#All],8,FALSE)</f>
        <v>5</v>
      </c>
      <c r="P346">
        <f>(Demand_Data___Hourly_OverviewSearch_1_csv[[#This Row],[People saw 0 cars (unique)]]+Demand_Data___Hourly_OverviewSearch_1_csv[[#This Row],[People saw +1 cars (unique)]])</f>
        <v>30</v>
      </c>
      <c r="Q346" s="143">
        <f t="shared" si="23"/>
        <v>25</v>
      </c>
    </row>
    <row r="347" spans="1:17" x14ac:dyDescent="0.3">
      <c r="A347" t="s">
        <v>354</v>
      </c>
      <c r="B347" t="str">
        <f t="shared" si="20"/>
        <v xml:space="preserve"> 13</v>
      </c>
      <c r="C347">
        <f t="shared" si="21"/>
        <v>7</v>
      </c>
      <c r="D347" t="str">
        <f t="shared" si="22"/>
        <v xml:space="preserve">2016-12-04 </v>
      </c>
      <c r="E347" t="str">
        <f>TEXT(Demand_Data___Hourly_OverviewSearch_1_csv[[#This Row],[Day]],"dddd")</f>
        <v>Saturday</v>
      </c>
      <c r="F347">
        <v>4</v>
      </c>
      <c r="G347">
        <v>31</v>
      </c>
      <c r="H347">
        <v>89</v>
      </c>
      <c r="I347">
        <f>VLOOKUP(Demand_Data___Hourly_OverviewSearch_1_csv[[#This Row],[Date]],Supply_Data___Hourly_DriverActivity_1_csv__3[#All],2,FALSE)</f>
        <v>54</v>
      </c>
      <c r="J347">
        <f>VLOOKUP(Demand_Data___Hourly_OverviewSearch_1_csv[[#This Row],[Date]],Supply_Data___Hourly_DriverActivity_1_csv__3[#All],3,FALSE)</f>
        <v>23</v>
      </c>
      <c r="K347">
        <f>VLOOKUP(Demand_Data___Hourly_OverviewSearch_1_csv[[#This Row],[Date]],Supply_Data___Hourly_DriverActivity_1_csv__3[#All],4,FALSE)</f>
        <v>3</v>
      </c>
      <c r="L347">
        <f>VLOOKUP(Demand_Data___Hourly_OverviewSearch_1_csv[[#This Row],[Date]],Supply_Data___Hourly_DriverActivity_1_csv__3[#All],5,FALSE)</f>
        <v>20</v>
      </c>
      <c r="M347">
        <f>VLOOKUP(Demand_Data___Hourly_OverviewSearch_1_csv[[#This Row],[Date]],Supply_Data___Hourly_DriverActivity_1_csv__3[#All],6,FALSE)</f>
        <v>0.4</v>
      </c>
      <c r="N347">
        <f>VLOOKUP(Demand_Data___Hourly_OverviewSearch_1_csv[[#This Row],[Date]],Supply_Data___Hourly_DriverActivity_1_csv__3[#All],7,FALSE)</f>
        <v>0.35</v>
      </c>
      <c r="O347">
        <f>VLOOKUP(Demand_Data___Hourly_OverviewSearch_1_csv[[#This Row],[Date]],Supply_Data___Hourly_DriverActivity_1_csv__3[#All],8,FALSE)</f>
        <v>8</v>
      </c>
      <c r="P347">
        <f>(Demand_Data___Hourly_OverviewSearch_1_csv[[#This Row],[People saw 0 cars (unique)]]+Demand_Data___Hourly_OverviewSearch_1_csv[[#This Row],[People saw +1 cars (unique)]])</f>
        <v>35</v>
      </c>
      <c r="Q347" s="143">
        <f t="shared" si="23"/>
        <v>20</v>
      </c>
    </row>
    <row r="348" spans="1:17" x14ac:dyDescent="0.3">
      <c r="A348" t="s">
        <v>355</v>
      </c>
      <c r="B348" t="str">
        <f t="shared" si="20"/>
        <v xml:space="preserve"> 12</v>
      </c>
      <c r="C348">
        <f t="shared" si="21"/>
        <v>7</v>
      </c>
      <c r="D348" t="str">
        <f t="shared" si="22"/>
        <v xml:space="preserve">2016-12-04 </v>
      </c>
      <c r="E348" t="str">
        <f>TEXT(Demand_Data___Hourly_OverviewSearch_1_csv[[#This Row],[Day]],"dddd")</f>
        <v>Saturday</v>
      </c>
      <c r="F348">
        <v>4</v>
      </c>
      <c r="G348">
        <v>25</v>
      </c>
      <c r="H348">
        <v>86</v>
      </c>
      <c r="I348">
        <f>VLOOKUP(Demand_Data___Hourly_OverviewSearch_1_csv[[#This Row],[Date]],Supply_Data___Hourly_DriverActivity_1_csv__3[#All],2,FALSE)</f>
        <v>45</v>
      </c>
      <c r="J348">
        <f>VLOOKUP(Demand_Data___Hourly_OverviewSearch_1_csv[[#This Row],[Date]],Supply_Data___Hourly_DriverActivity_1_csv__3[#All],3,FALSE)</f>
        <v>19</v>
      </c>
      <c r="K348">
        <f>VLOOKUP(Demand_Data___Hourly_OverviewSearch_1_csv[[#This Row],[Date]],Supply_Data___Hourly_DriverActivity_1_csv__3[#All],4,FALSE)</f>
        <v>2</v>
      </c>
      <c r="L348">
        <f>VLOOKUP(Demand_Data___Hourly_OverviewSearch_1_csv[[#This Row],[Date]],Supply_Data___Hourly_DriverActivity_1_csv__3[#All],5,FALSE)</f>
        <v>17</v>
      </c>
      <c r="M348">
        <f>VLOOKUP(Demand_Data___Hourly_OverviewSearch_1_csv[[#This Row],[Date]],Supply_Data___Hourly_DriverActivity_1_csv__3[#All],6,FALSE)</f>
        <v>0.4</v>
      </c>
      <c r="N348">
        <f>VLOOKUP(Demand_Data___Hourly_OverviewSearch_1_csv[[#This Row],[Date]],Supply_Data___Hourly_DriverActivity_1_csv__3[#All],7,FALSE)</f>
        <v>0.42</v>
      </c>
      <c r="O348">
        <f>VLOOKUP(Demand_Data___Hourly_OverviewSearch_1_csv[[#This Row],[Date]],Supply_Data___Hourly_DriverActivity_1_csv__3[#All],8,FALSE)</f>
        <v>8</v>
      </c>
      <c r="P348">
        <f>(Demand_Data___Hourly_OverviewSearch_1_csv[[#This Row],[People saw 0 cars (unique)]]+Demand_Data___Hourly_OverviewSearch_1_csv[[#This Row],[People saw +1 cars (unique)]])</f>
        <v>29</v>
      </c>
      <c r="Q348" s="143">
        <f t="shared" si="23"/>
        <v>17</v>
      </c>
    </row>
    <row r="349" spans="1:17" x14ac:dyDescent="0.3">
      <c r="A349" t="s">
        <v>356</v>
      </c>
      <c r="B349" t="str">
        <f t="shared" si="20"/>
        <v xml:space="preserve"> 11</v>
      </c>
      <c r="C349">
        <f t="shared" si="21"/>
        <v>7</v>
      </c>
      <c r="D349" t="str">
        <f t="shared" si="22"/>
        <v xml:space="preserve">2016-12-04 </v>
      </c>
      <c r="E349" t="str">
        <f>TEXT(Demand_Data___Hourly_OverviewSearch_1_csv[[#This Row],[Day]],"dddd")</f>
        <v>Saturday</v>
      </c>
      <c r="F349">
        <v>4</v>
      </c>
      <c r="G349">
        <v>23</v>
      </c>
      <c r="H349">
        <v>85</v>
      </c>
      <c r="I349">
        <f>VLOOKUP(Demand_Data___Hourly_OverviewSearch_1_csv[[#This Row],[Date]],Supply_Data___Hourly_DriverActivity_1_csv__3[#All],2,FALSE)</f>
        <v>47</v>
      </c>
      <c r="J349">
        <f>VLOOKUP(Demand_Data___Hourly_OverviewSearch_1_csv[[#This Row],[Date]],Supply_Data___Hourly_DriverActivity_1_csv__3[#All],3,FALSE)</f>
        <v>18</v>
      </c>
      <c r="K349">
        <f>VLOOKUP(Demand_Data___Hourly_OverviewSearch_1_csv[[#This Row],[Date]],Supply_Data___Hourly_DriverActivity_1_csv__3[#All],4,FALSE)</f>
        <v>0</v>
      </c>
      <c r="L349">
        <f>VLOOKUP(Demand_Data___Hourly_OverviewSearch_1_csv[[#This Row],[Date]],Supply_Data___Hourly_DriverActivity_1_csv__3[#All],5,FALSE)</f>
        <v>18</v>
      </c>
      <c r="M349">
        <f>VLOOKUP(Demand_Data___Hourly_OverviewSearch_1_csv[[#This Row],[Date]],Supply_Data___Hourly_DriverActivity_1_csv__3[#All],6,FALSE)</f>
        <v>0.4</v>
      </c>
      <c r="N349">
        <f>VLOOKUP(Demand_Data___Hourly_OverviewSearch_1_csv[[#This Row],[Date]],Supply_Data___Hourly_DriverActivity_1_csv__3[#All],7,FALSE)</f>
        <v>0.11</v>
      </c>
      <c r="O349">
        <f>VLOOKUP(Demand_Data___Hourly_OverviewSearch_1_csv[[#This Row],[Date]],Supply_Data___Hourly_DriverActivity_1_csv__3[#All],8,FALSE)</f>
        <v>2</v>
      </c>
      <c r="P349">
        <f>(Demand_Data___Hourly_OverviewSearch_1_csv[[#This Row],[People saw 0 cars (unique)]]+Demand_Data___Hourly_OverviewSearch_1_csv[[#This Row],[People saw +1 cars (unique)]])</f>
        <v>27</v>
      </c>
      <c r="Q349" s="143">
        <f t="shared" si="23"/>
        <v>18</v>
      </c>
    </row>
    <row r="350" spans="1:17" x14ac:dyDescent="0.3">
      <c r="A350" t="s">
        <v>357</v>
      </c>
      <c r="B350" t="str">
        <f t="shared" si="20"/>
        <v xml:space="preserve"> 10</v>
      </c>
      <c r="C350">
        <f t="shared" si="21"/>
        <v>7</v>
      </c>
      <c r="D350" t="str">
        <f t="shared" si="22"/>
        <v xml:space="preserve">2016-12-04 </v>
      </c>
      <c r="E350" t="str">
        <f>TEXT(Demand_Data___Hourly_OverviewSearch_1_csv[[#This Row],[Day]],"dddd")</f>
        <v>Saturday</v>
      </c>
      <c r="F350">
        <v>2</v>
      </c>
      <c r="G350">
        <v>18</v>
      </c>
      <c r="H350">
        <v>90</v>
      </c>
      <c r="I350">
        <f>VLOOKUP(Demand_Data___Hourly_OverviewSearch_1_csv[[#This Row],[Date]],Supply_Data___Hourly_DriverActivity_1_csv__3[#All],2,FALSE)</f>
        <v>44</v>
      </c>
      <c r="J350">
        <f>VLOOKUP(Demand_Data___Hourly_OverviewSearch_1_csv[[#This Row],[Date]],Supply_Data___Hourly_DriverActivity_1_csv__3[#All],3,FALSE)</f>
        <v>20</v>
      </c>
      <c r="K350">
        <f>VLOOKUP(Demand_Data___Hourly_OverviewSearch_1_csv[[#This Row],[Date]],Supply_Data___Hourly_DriverActivity_1_csv__3[#All],4,FALSE)</f>
        <v>1</v>
      </c>
      <c r="L350">
        <f>VLOOKUP(Demand_Data___Hourly_OverviewSearch_1_csv[[#This Row],[Date]],Supply_Data___Hourly_DriverActivity_1_csv__3[#All],5,FALSE)</f>
        <v>19</v>
      </c>
      <c r="M350">
        <f>VLOOKUP(Demand_Data___Hourly_OverviewSearch_1_csv[[#This Row],[Date]],Supply_Data___Hourly_DriverActivity_1_csv__3[#All],6,FALSE)</f>
        <v>0.5</v>
      </c>
      <c r="N350">
        <f>VLOOKUP(Demand_Data___Hourly_OverviewSearch_1_csv[[#This Row],[Date]],Supply_Data___Hourly_DriverActivity_1_csv__3[#All],7,FALSE)</f>
        <v>0.2</v>
      </c>
      <c r="O350">
        <f>VLOOKUP(Demand_Data___Hourly_OverviewSearch_1_csv[[#This Row],[Date]],Supply_Data___Hourly_DriverActivity_1_csv__3[#All],8,FALSE)</f>
        <v>4</v>
      </c>
      <c r="P350">
        <f>(Demand_Data___Hourly_OverviewSearch_1_csv[[#This Row],[People saw 0 cars (unique)]]+Demand_Data___Hourly_OverviewSearch_1_csv[[#This Row],[People saw +1 cars (unique)]])</f>
        <v>20</v>
      </c>
      <c r="Q350" s="143">
        <f t="shared" si="23"/>
        <v>19</v>
      </c>
    </row>
    <row r="351" spans="1:17" x14ac:dyDescent="0.3">
      <c r="A351" t="s">
        <v>358</v>
      </c>
      <c r="B351" t="str">
        <f t="shared" si="20"/>
        <v xml:space="preserve"> 09</v>
      </c>
      <c r="C351">
        <f t="shared" si="21"/>
        <v>7</v>
      </c>
      <c r="D351" t="str">
        <f t="shared" si="22"/>
        <v xml:space="preserve">2016-12-04 </v>
      </c>
      <c r="E351" t="str">
        <f>TEXT(Demand_Data___Hourly_OverviewSearch_1_csv[[#This Row],[Day]],"dddd")</f>
        <v>Saturday</v>
      </c>
      <c r="F351">
        <v>3</v>
      </c>
      <c r="G351">
        <v>15</v>
      </c>
      <c r="H351">
        <v>83</v>
      </c>
      <c r="I351">
        <f>VLOOKUP(Demand_Data___Hourly_OverviewSearch_1_csv[[#This Row],[Date]],Supply_Data___Hourly_DriverActivity_1_csv__3[#All],2,FALSE)</f>
        <v>39</v>
      </c>
      <c r="J351">
        <f>VLOOKUP(Demand_Data___Hourly_OverviewSearch_1_csv[[#This Row],[Date]],Supply_Data___Hourly_DriverActivity_1_csv__3[#All],3,FALSE)</f>
        <v>14</v>
      </c>
      <c r="K351">
        <f>VLOOKUP(Demand_Data___Hourly_OverviewSearch_1_csv[[#This Row],[Date]],Supply_Data___Hourly_DriverActivity_1_csv__3[#All],4,FALSE)</f>
        <v>0</v>
      </c>
      <c r="L351">
        <f>VLOOKUP(Demand_Data___Hourly_OverviewSearch_1_csv[[#This Row],[Date]],Supply_Data___Hourly_DriverActivity_1_csv__3[#All],5,FALSE)</f>
        <v>14</v>
      </c>
      <c r="M351">
        <f>VLOOKUP(Demand_Data___Hourly_OverviewSearch_1_csv[[#This Row],[Date]],Supply_Data___Hourly_DriverActivity_1_csv__3[#All],6,FALSE)</f>
        <v>0.4</v>
      </c>
      <c r="N351">
        <f>VLOOKUP(Demand_Data___Hourly_OverviewSearch_1_csv[[#This Row],[Date]],Supply_Data___Hourly_DriverActivity_1_csv__3[#All],7,FALSE)</f>
        <v>0</v>
      </c>
      <c r="O351">
        <f>VLOOKUP(Demand_Data___Hourly_OverviewSearch_1_csv[[#This Row],[Date]],Supply_Data___Hourly_DriverActivity_1_csv__3[#All],8,FALSE)</f>
        <v>0</v>
      </c>
      <c r="P351">
        <f>(Demand_Data___Hourly_OverviewSearch_1_csv[[#This Row],[People saw 0 cars (unique)]]+Demand_Data___Hourly_OverviewSearch_1_csv[[#This Row],[People saw +1 cars (unique)]])</f>
        <v>18</v>
      </c>
      <c r="Q351" s="143">
        <f t="shared" si="23"/>
        <v>14</v>
      </c>
    </row>
    <row r="352" spans="1:17" x14ac:dyDescent="0.3">
      <c r="A352" t="s">
        <v>359</v>
      </c>
      <c r="B352" t="str">
        <f t="shared" si="20"/>
        <v xml:space="preserve"> 08</v>
      </c>
      <c r="C352">
        <f t="shared" si="21"/>
        <v>7</v>
      </c>
      <c r="D352" t="str">
        <f t="shared" si="22"/>
        <v xml:space="preserve">2016-12-04 </v>
      </c>
      <c r="E352" t="str">
        <f>TEXT(Demand_Data___Hourly_OverviewSearch_1_csv[[#This Row],[Day]],"dddd")</f>
        <v>Saturday</v>
      </c>
      <c r="F352">
        <v>6</v>
      </c>
      <c r="G352">
        <v>5</v>
      </c>
      <c r="H352">
        <v>45</v>
      </c>
      <c r="I352">
        <f>VLOOKUP(Demand_Data___Hourly_OverviewSearch_1_csv[[#This Row],[Date]],Supply_Data___Hourly_DriverActivity_1_csv__3[#All],2,FALSE)</f>
        <v>31</v>
      </c>
      <c r="J352">
        <f>VLOOKUP(Demand_Data___Hourly_OverviewSearch_1_csv[[#This Row],[Date]],Supply_Data___Hourly_DriverActivity_1_csv__3[#All],3,FALSE)</f>
        <v>10</v>
      </c>
      <c r="K352">
        <f>VLOOKUP(Demand_Data___Hourly_OverviewSearch_1_csv[[#This Row],[Date]],Supply_Data___Hourly_DriverActivity_1_csv__3[#All],4,FALSE)</f>
        <v>1</v>
      </c>
      <c r="L352">
        <f>VLOOKUP(Demand_Data___Hourly_OverviewSearch_1_csv[[#This Row],[Date]],Supply_Data___Hourly_DriverActivity_1_csv__3[#All],5,FALSE)</f>
        <v>9</v>
      </c>
      <c r="M352">
        <f>VLOOKUP(Demand_Data___Hourly_OverviewSearch_1_csv[[#This Row],[Date]],Supply_Data___Hourly_DriverActivity_1_csv__3[#All],6,FALSE)</f>
        <v>0.3</v>
      </c>
      <c r="N352">
        <f>VLOOKUP(Demand_Data___Hourly_OverviewSearch_1_csv[[#This Row],[Date]],Supply_Data___Hourly_DriverActivity_1_csv__3[#All],7,FALSE)</f>
        <v>0.1</v>
      </c>
      <c r="O352">
        <f>VLOOKUP(Demand_Data___Hourly_OverviewSearch_1_csv[[#This Row],[Date]],Supply_Data___Hourly_DriverActivity_1_csv__3[#All],8,FALSE)</f>
        <v>1</v>
      </c>
      <c r="P352">
        <f>(Demand_Data___Hourly_OverviewSearch_1_csv[[#This Row],[People saw 0 cars (unique)]]+Demand_Data___Hourly_OverviewSearch_1_csv[[#This Row],[People saw +1 cars (unique)]])</f>
        <v>11</v>
      </c>
      <c r="Q352" s="143">
        <f t="shared" si="23"/>
        <v>9</v>
      </c>
    </row>
    <row r="353" spans="1:17" x14ac:dyDescent="0.3">
      <c r="A353" t="s">
        <v>360</v>
      </c>
      <c r="B353" t="str">
        <f t="shared" si="20"/>
        <v xml:space="preserve"> 07</v>
      </c>
      <c r="C353">
        <f t="shared" si="21"/>
        <v>7</v>
      </c>
      <c r="D353" t="str">
        <f t="shared" si="22"/>
        <v xml:space="preserve">2016-12-04 </v>
      </c>
      <c r="E353" t="str">
        <f>TEXT(Demand_Data___Hourly_OverviewSearch_1_csv[[#This Row],[Day]],"dddd")</f>
        <v>Saturday</v>
      </c>
      <c r="F353">
        <v>1</v>
      </c>
      <c r="G353">
        <v>5</v>
      </c>
      <c r="H353">
        <v>83</v>
      </c>
      <c r="I353">
        <f>VLOOKUP(Demand_Data___Hourly_OverviewSearch_1_csv[[#This Row],[Date]],Supply_Data___Hourly_DriverActivity_1_csv__3[#All],2,FALSE)</f>
        <v>30</v>
      </c>
      <c r="J353">
        <f>VLOOKUP(Demand_Data___Hourly_OverviewSearch_1_csv[[#This Row],[Date]],Supply_Data___Hourly_DriverActivity_1_csv__3[#All],3,FALSE)</f>
        <v>11</v>
      </c>
      <c r="K353">
        <f>VLOOKUP(Demand_Data___Hourly_OverviewSearch_1_csv[[#This Row],[Date]],Supply_Data___Hourly_DriverActivity_1_csv__3[#All],4,FALSE)</f>
        <v>1</v>
      </c>
      <c r="L353">
        <f>VLOOKUP(Demand_Data___Hourly_OverviewSearch_1_csv[[#This Row],[Date]],Supply_Data___Hourly_DriverActivity_1_csv__3[#All],5,FALSE)</f>
        <v>11</v>
      </c>
      <c r="M353">
        <f>VLOOKUP(Demand_Data___Hourly_OverviewSearch_1_csv[[#This Row],[Date]],Supply_Data___Hourly_DriverActivity_1_csv__3[#All],6,FALSE)</f>
        <v>0.4</v>
      </c>
      <c r="N353">
        <f>VLOOKUP(Demand_Data___Hourly_OverviewSearch_1_csv[[#This Row],[Date]],Supply_Data___Hourly_DriverActivity_1_csv__3[#All],7,FALSE)</f>
        <v>0.36</v>
      </c>
      <c r="O353">
        <f>VLOOKUP(Demand_Data___Hourly_OverviewSearch_1_csv[[#This Row],[Date]],Supply_Data___Hourly_DriverActivity_1_csv__3[#All],8,FALSE)</f>
        <v>4</v>
      </c>
      <c r="P353">
        <f>(Demand_Data___Hourly_OverviewSearch_1_csv[[#This Row],[People saw 0 cars (unique)]]+Demand_Data___Hourly_OverviewSearch_1_csv[[#This Row],[People saw +1 cars (unique)]])</f>
        <v>6</v>
      </c>
      <c r="Q353" s="143">
        <f t="shared" si="23"/>
        <v>10</v>
      </c>
    </row>
    <row r="354" spans="1:17" x14ac:dyDescent="0.3">
      <c r="A354" t="s">
        <v>361</v>
      </c>
      <c r="B354" t="str">
        <f t="shared" si="20"/>
        <v xml:space="preserve"> 06</v>
      </c>
      <c r="C354">
        <f t="shared" si="21"/>
        <v>7</v>
      </c>
      <c r="D354" t="str">
        <f t="shared" si="22"/>
        <v xml:space="preserve">2016-12-04 </v>
      </c>
      <c r="E354" t="str">
        <f>TEXT(Demand_Data___Hourly_OverviewSearch_1_csv[[#This Row],[Day]],"dddd")</f>
        <v>Saturday</v>
      </c>
      <c r="F354">
        <v>2</v>
      </c>
      <c r="G354">
        <v>7</v>
      </c>
      <c r="H354">
        <v>78</v>
      </c>
      <c r="I354">
        <f>VLOOKUP(Demand_Data___Hourly_OverviewSearch_1_csv[[#This Row],[Date]],Supply_Data___Hourly_DriverActivity_1_csv__3[#All],2,FALSE)</f>
        <v>32</v>
      </c>
      <c r="J354">
        <f>VLOOKUP(Demand_Data___Hourly_OverviewSearch_1_csv[[#This Row],[Date]],Supply_Data___Hourly_DriverActivity_1_csv__3[#All],3,FALSE)</f>
        <v>10</v>
      </c>
      <c r="K354">
        <f>VLOOKUP(Demand_Data___Hourly_OverviewSearch_1_csv[[#This Row],[Date]],Supply_Data___Hourly_DriverActivity_1_csv__3[#All],4,FALSE)</f>
        <v>1</v>
      </c>
      <c r="L354">
        <f>VLOOKUP(Demand_Data___Hourly_OverviewSearch_1_csv[[#This Row],[Date]],Supply_Data___Hourly_DriverActivity_1_csv__3[#All],5,FALSE)</f>
        <v>9</v>
      </c>
      <c r="M354">
        <f>VLOOKUP(Demand_Data___Hourly_OverviewSearch_1_csv[[#This Row],[Date]],Supply_Data___Hourly_DriverActivity_1_csv__3[#All],6,FALSE)</f>
        <v>0.3</v>
      </c>
      <c r="N354">
        <f>VLOOKUP(Demand_Data___Hourly_OverviewSearch_1_csv[[#This Row],[Date]],Supply_Data___Hourly_DriverActivity_1_csv__3[#All],7,FALSE)</f>
        <v>0.1</v>
      </c>
      <c r="O354">
        <f>VLOOKUP(Demand_Data___Hourly_OverviewSearch_1_csv[[#This Row],[Date]],Supply_Data___Hourly_DriverActivity_1_csv__3[#All],8,FALSE)</f>
        <v>1</v>
      </c>
      <c r="P354">
        <f>(Demand_Data___Hourly_OverviewSearch_1_csv[[#This Row],[People saw 0 cars (unique)]]+Demand_Data___Hourly_OverviewSearch_1_csv[[#This Row],[People saw +1 cars (unique)]])</f>
        <v>9</v>
      </c>
      <c r="Q354" s="143">
        <f t="shared" si="23"/>
        <v>9</v>
      </c>
    </row>
    <row r="355" spans="1:17" x14ac:dyDescent="0.3">
      <c r="A355" t="s">
        <v>362</v>
      </c>
      <c r="B355" t="str">
        <f t="shared" si="20"/>
        <v xml:space="preserve"> 05</v>
      </c>
      <c r="C355">
        <f t="shared" si="21"/>
        <v>7</v>
      </c>
      <c r="D355" t="str">
        <f t="shared" si="22"/>
        <v xml:space="preserve">2016-12-04 </v>
      </c>
      <c r="E355" t="str">
        <f>TEXT(Demand_Data___Hourly_OverviewSearch_1_csv[[#This Row],[Day]],"dddd")</f>
        <v>Saturday</v>
      </c>
      <c r="F355">
        <v>6</v>
      </c>
      <c r="G355">
        <v>17</v>
      </c>
      <c r="H355">
        <v>74</v>
      </c>
      <c r="I355">
        <f>VLOOKUP(Demand_Data___Hourly_OverviewSearch_1_csv[[#This Row],[Date]],Supply_Data___Hourly_DriverActivity_1_csv__3[#All],2,FALSE)</f>
        <v>40</v>
      </c>
      <c r="J355">
        <f>VLOOKUP(Demand_Data___Hourly_OverviewSearch_1_csv[[#This Row],[Date]],Supply_Data___Hourly_DriverActivity_1_csv__3[#All],3,FALSE)</f>
        <v>13</v>
      </c>
      <c r="K355">
        <f>VLOOKUP(Demand_Data___Hourly_OverviewSearch_1_csv[[#This Row],[Date]],Supply_Data___Hourly_DriverActivity_1_csv__3[#All],4,FALSE)</f>
        <v>2</v>
      </c>
      <c r="L355">
        <f>VLOOKUP(Demand_Data___Hourly_OverviewSearch_1_csv[[#This Row],[Date]],Supply_Data___Hourly_DriverActivity_1_csv__3[#All],5,FALSE)</f>
        <v>11</v>
      </c>
      <c r="M355">
        <f>VLOOKUP(Demand_Data___Hourly_OverviewSearch_1_csv[[#This Row],[Date]],Supply_Data___Hourly_DriverActivity_1_csv__3[#All],6,FALSE)</f>
        <v>0.3</v>
      </c>
      <c r="N355">
        <f>VLOOKUP(Demand_Data___Hourly_OverviewSearch_1_csv[[#This Row],[Date]],Supply_Data___Hourly_DriverActivity_1_csv__3[#All],7,FALSE)</f>
        <v>0.54</v>
      </c>
      <c r="O355">
        <f>VLOOKUP(Demand_Data___Hourly_OverviewSearch_1_csv[[#This Row],[Date]],Supply_Data___Hourly_DriverActivity_1_csv__3[#All],8,FALSE)</f>
        <v>7</v>
      </c>
      <c r="P355">
        <f>(Demand_Data___Hourly_OverviewSearch_1_csv[[#This Row],[People saw 0 cars (unique)]]+Demand_Data___Hourly_OverviewSearch_1_csv[[#This Row],[People saw +1 cars (unique)]])</f>
        <v>23</v>
      </c>
      <c r="Q355" s="143">
        <f t="shared" si="23"/>
        <v>11</v>
      </c>
    </row>
    <row r="356" spans="1:17" x14ac:dyDescent="0.3">
      <c r="A356" t="s">
        <v>363</v>
      </c>
      <c r="B356" t="str">
        <f t="shared" si="20"/>
        <v xml:space="preserve"> 04</v>
      </c>
      <c r="C356">
        <f t="shared" si="21"/>
        <v>7</v>
      </c>
      <c r="D356" t="str">
        <f t="shared" si="22"/>
        <v xml:space="preserve">2016-12-04 </v>
      </c>
      <c r="E356" t="str">
        <f>TEXT(Demand_Data___Hourly_OverviewSearch_1_csv[[#This Row],[Day]],"dddd")</f>
        <v>Saturday</v>
      </c>
      <c r="F356">
        <v>4</v>
      </c>
      <c r="G356">
        <v>28</v>
      </c>
      <c r="H356">
        <v>88</v>
      </c>
      <c r="I356">
        <f>VLOOKUP(Demand_Data___Hourly_OverviewSearch_1_csv[[#This Row],[Date]],Supply_Data___Hourly_DriverActivity_1_csv__3[#All],2,FALSE)</f>
        <v>45</v>
      </c>
      <c r="J356">
        <f>VLOOKUP(Demand_Data___Hourly_OverviewSearch_1_csv[[#This Row],[Date]],Supply_Data___Hourly_DriverActivity_1_csv__3[#All],3,FALSE)</f>
        <v>18</v>
      </c>
      <c r="K356">
        <f>VLOOKUP(Demand_Data___Hourly_OverviewSearch_1_csv[[#This Row],[Date]],Supply_Data___Hourly_DriverActivity_1_csv__3[#All],4,FALSE)</f>
        <v>5</v>
      </c>
      <c r="L356">
        <f>VLOOKUP(Demand_Data___Hourly_OverviewSearch_1_csv[[#This Row],[Date]],Supply_Data___Hourly_DriverActivity_1_csv__3[#All],5,FALSE)</f>
        <v>13</v>
      </c>
      <c r="M356">
        <f>VLOOKUP(Demand_Data___Hourly_OverviewSearch_1_csv[[#This Row],[Date]],Supply_Data___Hourly_DriverActivity_1_csv__3[#All],6,FALSE)</f>
        <v>0.4</v>
      </c>
      <c r="N356">
        <f>VLOOKUP(Demand_Data___Hourly_OverviewSearch_1_csv[[#This Row],[Date]],Supply_Data___Hourly_DriverActivity_1_csv__3[#All],7,FALSE)</f>
        <v>0.61</v>
      </c>
      <c r="O356">
        <f>VLOOKUP(Demand_Data___Hourly_OverviewSearch_1_csv[[#This Row],[Date]],Supply_Data___Hourly_DriverActivity_1_csv__3[#All],8,FALSE)</f>
        <v>11</v>
      </c>
      <c r="P356">
        <f>(Demand_Data___Hourly_OverviewSearch_1_csv[[#This Row],[People saw 0 cars (unique)]]+Demand_Data___Hourly_OverviewSearch_1_csv[[#This Row],[People saw +1 cars (unique)]])</f>
        <v>32</v>
      </c>
      <c r="Q356" s="143">
        <f t="shared" si="23"/>
        <v>13</v>
      </c>
    </row>
    <row r="357" spans="1:17" x14ac:dyDescent="0.3">
      <c r="A357" t="s">
        <v>364</v>
      </c>
      <c r="B357" t="str">
        <f t="shared" si="20"/>
        <v xml:space="preserve"> 03</v>
      </c>
      <c r="C357">
        <f t="shared" si="21"/>
        <v>7</v>
      </c>
      <c r="D357" t="str">
        <f t="shared" si="22"/>
        <v xml:space="preserve">2016-12-04 </v>
      </c>
      <c r="E357" t="str">
        <f>TEXT(Demand_Data___Hourly_OverviewSearch_1_csv[[#This Row],[Day]],"dddd")</f>
        <v>Saturday</v>
      </c>
      <c r="F357">
        <v>3</v>
      </c>
      <c r="G357">
        <v>20</v>
      </c>
      <c r="H357">
        <v>87</v>
      </c>
      <c r="I357">
        <f>VLOOKUP(Demand_Data___Hourly_OverviewSearch_1_csv[[#This Row],[Date]],Supply_Data___Hourly_DriverActivity_1_csv__3[#All],2,FALSE)</f>
        <v>51</v>
      </c>
      <c r="J357">
        <f>VLOOKUP(Demand_Data___Hourly_OverviewSearch_1_csv[[#This Row],[Date]],Supply_Data___Hourly_DriverActivity_1_csv__3[#All],3,FALSE)</f>
        <v>19</v>
      </c>
      <c r="K357">
        <f>VLOOKUP(Demand_Data___Hourly_OverviewSearch_1_csv[[#This Row],[Date]],Supply_Data___Hourly_DriverActivity_1_csv__3[#All],4,FALSE)</f>
        <v>3</v>
      </c>
      <c r="L357">
        <f>VLOOKUP(Demand_Data___Hourly_OverviewSearch_1_csv[[#This Row],[Date]],Supply_Data___Hourly_DriverActivity_1_csv__3[#All],5,FALSE)</f>
        <v>16</v>
      </c>
      <c r="M357">
        <f>VLOOKUP(Demand_Data___Hourly_OverviewSearch_1_csv[[#This Row],[Date]],Supply_Data___Hourly_DriverActivity_1_csv__3[#All],6,FALSE)</f>
        <v>0.4</v>
      </c>
      <c r="N357">
        <f>VLOOKUP(Demand_Data___Hourly_OverviewSearch_1_csv[[#This Row],[Date]],Supply_Data___Hourly_DriverActivity_1_csv__3[#All],7,FALSE)</f>
        <v>0.47</v>
      </c>
      <c r="O357">
        <f>VLOOKUP(Demand_Data___Hourly_OverviewSearch_1_csv[[#This Row],[Date]],Supply_Data___Hourly_DriverActivity_1_csv__3[#All],8,FALSE)</f>
        <v>9</v>
      </c>
      <c r="P357">
        <f>(Demand_Data___Hourly_OverviewSearch_1_csv[[#This Row],[People saw 0 cars (unique)]]+Demand_Data___Hourly_OverviewSearch_1_csv[[#This Row],[People saw +1 cars (unique)]])</f>
        <v>23</v>
      </c>
      <c r="Q357" s="143">
        <f t="shared" si="23"/>
        <v>16</v>
      </c>
    </row>
    <row r="358" spans="1:17" x14ac:dyDescent="0.3">
      <c r="A358" t="s">
        <v>365</v>
      </c>
      <c r="B358" t="str">
        <f t="shared" si="20"/>
        <v xml:space="preserve"> 02</v>
      </c>
      <c r="C358">
        <f t="shared" si="21"/>
        <v>7</v>
      </c>
      <c r="D358" t="str">
        <f t="shared" si="22"/>
        <v xml:space="preserve">2016-12-04 </v>
      </c>
      <c r="E358" t="str">
        <f>TEXT(Demand_Data___Hourly_OverviewSearch_1_csv[[#This Row],[Day]],"dddd")</f>
        <v>Saturday</v>
      </c>
      <c r="F358">
        <v>4</v>
      </c>
      <c r="G358">
        <v>30</v>
      </c>
      <c r="H358">
        <v>88</v>
      </c>
      <c r="I358">
        <f>VLOOKUP(Demand_Data___Hourly_OverviewSearch_1_csv[[#This Row],[Date]],Supply_Data___Hourly_DriverActivity_1_csv__3[#All],2,FALSE)</f>
        <v>57</v>
      </c>
      <c r="J358">
        <f>VLOOKUP(Demand_Data___Hourly_OverviewSearch_1_csv[[#This Row],[Date]],Supply_Data___Hourly_DriverActivity_1_csv__3[#All],3,FALSE)</f>
        <v>24</v>
      </c>
      <c r="K358">
        <f>VLOOKUP(Demand_Data___Hourly_OverviewSearch_1_csv[[#This Row],[Date]],Supply_Data___Hourly_DriverActivity_1_csv__3[#All],4,FALSE)</f>
        <v>5</v>
      </c>
      <c r="L358">
        <f>VLOOKUP(Demand_Data___Hourly_OverviewSearch_1_csv[[#This Row],[Date]],Supply_Data___Hourly_DriverActivity_1_csv__3[#All],5,FALSE)</f>
        <v>19</v>
      </c>
      <c r="M358">
        <f>VLOOKUP(Demand_Data___Hourly_OverviewSearch_1_csv[[#This Row],[Date]],Supply_Data___Hourly_DriverActivity_1_csv__3[#All],6,FALSE)</f>
        <v>0.4</v>
      </c>
      <c r="N358">
        <f>VLOOKUP(Demand_Data___Hourly_OverviewSearch_1_csv[[#This Row],[Date]],Supply_Data___Hourly_DriverActivity_1_csv__3[#All],7,FALSE)</f>
        <v>0.5</v>
      </c>
      <c r="O358">
        <f>VLOOKUP(Demand_Data___Hourly_OverviewSearch_1_csv[[#This Row],[Date]],Supply_Data___Hourly_DriverActivity_1_csv__3[#All],8,FALSE)</f>
        <v>12</v>
      </c>
      <c r="P358">
        <f>(Demand_Data___Hourly_OverviewSearch_1_csv[[#This Row],[People saw 0 cars (unique)]]+Demand_Data___Hourly_OverviewSearch_1_csv[[#This Row],[People saw +1 cars (unique)]])</f>
        <v>34</v>
      </c>
      <c r="Q358" s="143">
        <f t="shared" si="23"/>
        <v>19</v>
      </c>
    </row>
    <row r="359" spans="1:17" x14ac:dyDescent="0.3">
      <c r="A359" t="s">
        <v>366</v>
      </c>
      <c r="B359" t="str">
        <f t="shared" si="20"/>
        <v xml:space="preserve"> 01</v>
      </c>
      <c r="C359">
        <f t="shared" si="21"/>
        <v>7</v>
      </c>
      <c r="D359" t="str">
        <f t="shared" si="22"/>
        <v xml:space="preserve">2016-12-04 </v>
      </c>
      <c r="E359" t="str">
        <f>TEXT(Demand_Data___Hourly_OverviewSearch_1_csv[[#This Row],[Day]],"dddd")</f>
        <v>Saturday</v>
      </c>
      <c r="F359">
        <v>8</v>
      </c>
      <c r="G359">
        <v>31</v>
      </c>
      <c r="H359">
        <v>79</v>
      </c>
      <c r="I359">
        <f>VLOOKUP(Demand_Data___Hourly_OverviewSearch_1_csv[[#This Row],[Date]],Supply_Data___Hourly_DriverActivity_1_csv__3[#All],2,FALSE)</f>
        <v>65</v>
      </c>
      <c r="J359">
        <f>VLOOKUP(Demand_Data___Hourly_OverviewSearch_1_csv[[#This Row],[Date]],Supply_Data___Hourly_DriverActivity_1_csv__3[#All],3,FALSE)</f>
        <v>32</v>
      </c>
      <c r="K359">
        <f>VLOOKUP(Demand_Data___Hourly_OverviewSearch_1_csv[[#This Row],[Date]],Supply_Data___Hourly_DriverActivity_1_csv__3[#All],4,FALSE)</f>
        <v>4</v>
      </c>
      <c r="L359">
        <f>VLOOKUP(Demand_Data___Hourly_OverviewSearch_1_csv[[#This Row],[Date]],Supply_Data___Hourly_DriverActivity_1_csv__3[#All],5,FALSE)</f>
        <v>28</v>
      </c>
      <c r="M359">
        <f>VLOOKUP(Demand_Data___Hourly_OverviewSearch_1_csv[[#This Row],[Date]],Supply_Data___Hourly_DriverActivity_1_csv__3[#All],6,FALSE)</f>
        <v>0.5</v>
      </c>
      <c r="N359">
        <f>VLOOKUP(Demand_Data___Hourly_OverviewSearch_1_csv[[#This Row],[Date]],Supply_Data___Hourly_DriverActivity_1_csv__3[#All],7,FALSE)</f>
        <v>0.38</v>
      </c>
      <c r="O359">
        <f>VLOOKUP(Demand_Data___Hourly_OverviewSearch_1_csv[[#This Row],[Date]],Supply_Data___Hourly_DriverActivity_1_csv__3[#All],8,FALSE)</f>
        <v>12</v>
      </c>
      <c r="P359">
        <f>(Demand_Data___Hourly_OverviewSearch_1_csv[[#This Row],[People saw 0 cars (unique)]]+Demand_Data___Hourly_OverviewSearch_1_csv[[#This Row],[People saw +1 cars (unique)]])</f>
        <v>39</v>
      </c>
      <c r="Q359" s="143">
        <f t="shared" si="23"/>
        <v>28</v>
      </c>
    </row>
    <row r="360" spans="1:17" x14ac:dyDescent="0.3">
      <c r="A360" t="s">
        <v>367</v>
      </c>
      <c r="B360" t="str">
        <f t="shared" si="20"/>
        <v xml:space="preserve"> 00</v>
      </c>
      <c r="C360">
        <f t="shared" si="21"/>
        <v>7</v>
      </c>
      <c r="D360" t="str">
        <f t="shared" si="22"/>
        <v xml:space="preserve">2016-12-04 </v>
      </c>
      <c r="E360" t="str">
        <f>TEXT(Demand_Data___Hourly_OverviewSearch_1_csv[[#This Row],[Day]],"dddd")</f>
        <v>Saturday</v>
      </c>
      <c r="F360">
        <v>6</v>
      </c>
      <c r="G360">
        <v>49</v>
      </c>
      <c r="H360">
        <v>89</v>
      </c>
      <c r="I360">
        <f>VLOOKUP(Demand_Data___Hourly_OverviewSearch_1_csv[[#This Row],[Date]],Supply_Data___Hourly_DriverActivity_1_csv__3[#All],2,FALSE)</f>
        <v>70</v>
      </c>
      <c r="J360">
        <f>VLOOKUP(Demand_Data___Hourly_OverviewSearch_1_csv[[#This Row],[Date]],Supply_Data___Hourly_DriverActivity_1_csv__3[#All],3,FALSE)</f>
        <v>34</v>
      </c>
      <c r="K360">
        <f>VLOOKUP(Demand_Data___Hourly_OverviewSearch_1_csv[[#This Row],[Date]],Supply_Data___Hourly_DriverActivity_1_csv__3[#All],4,FALSE)</f>
        <v>6</v>
      </c>
      <c r="L360">
        <f>VLOOKUP(Demand_Data___Hourly_OverviewSearch_1_csv[[#This Row],[Date]],Supply_Data___Hourly_DriverActivity_1_csv__3[#All],5,FALSE)</f>
        <v>28</v>
      </c>
      <c r="M360">
        <f>VLOOKUP(Demand_Data___Hourly_OverviewSearch_1_csv[[#This Row],[Date]],Supply_Data___Hourly_DriverActivity_1_csv__3[#All],6,FALSE)</f>
        <v>0.5</v>
      </c>
      <c r="N360">
        <f>VLOOKUP(Demand_Data___Hourly_OverviewSearch_1_csv[[#This Row],[Date]],Supply_Data___Hourly_DriverActivity_1_csv__3[#All],7,FALSE)</f>
        <v>0.59</v>
      </c>
      <c r="O360">
        <f>VLOOKUP(Demand_Data___Hourly_OverviewSearch_1_csv[[#This Row],[Date]],Supply_Data___Hourly_DriverActivity_1_csv__3[#All],8,FALSE)</f>
        <v>20</v>
      </c>
      <c r="P360">
        <f>(Demand_Data___Hourly_OverviewSearch_1_csv[[#This Row],[People saw 0 cars (unique)]]+Demand_Data___Hourly_OverviewSearch_1_csv[[#This Row],[People saw +1 cars (unique)]])</f>
        <v>55</v>
      </c>
      <c r="Q360" s="143">
        <f t="shared" si="23"/>
        <v>28</v>
      </c>
    </row>
    <row r="361" spans="1:17" x14ac:dyDescent="0.3">
      <c r="A361" t="s">
        <v>368</v>
      </c>
      <c r="B361" t="str">
        <f t="shared" si="20"/>
        <v xml:space="preserve"> 23</v>
      </c>
      <c r="C361">
        <f t="shared" si="21"/>
        <v>6</v>
      </c>
      <c r="D361" t="str">
        <f t="shared" si="22"/>
        <v xml:space="preserve">2016-12-03 </v>
      </c>
      <c r="E361" t="str">
        <f>TEXT(Demand_Data___Hourly_OverviewSearch_1_csv[[#This Row],[Day]],"dddd")</f>
        <v>Friday</v>
      </c>
      <c r="F361">
        <v>1</v>
      </c>
      <c r="G361">
        <v>30</v>
      </c>
      <c r="H361">
        <v>97</v>
      </c>
      <c r="I361">
        <f>VLOOKUP(Demand_Data___Hourly_OverviewSearch_1_csv[[#This Row],[Date]],Supply_Data___Hourly_DriverActivity_1_csv__3[#All],2,FALSE)</f>
        <v>81</v>
      </c>
      <c r="J361">
        <f>VLOOKUP(Demand_Data___Hourly_OverviewSearch_1_csv[[#This Row],[Date]],Supply_Data___Hourly_DriverActivity_1_csv__3[#All],3,FALSE)</f>
        <v>41</v>
      </c>
      <c r="K361">
        <f>VLOOKUP(Demand_Data___Hourly_OverviewSearch_1_csv[[#This Row],[Date]],Supply_Data___Hourly_DriverActivity_1_csv__3[#All],4,FALSE)</f>
        <v>6</v>
      </c>
      <c r="L361">
        <f>VLOOKUP(Demand_Data___Hourly_OverviewSearch_1_csv[[#This Row],[Date]],Supply_Data___Hourly_DriverActivity_1_csv__3[#All],5,FALSE)</f>
        <v>34</v>
      </c>
      <c r="M361">
        <f>VLOOKUP(Demand_Data___Hourly_OverviewSearch_1_csv[[#This Row],[Date]],Supply_Data___Hourly_DriverActivity_1_csv__3[#All],6,FALSE)</f>
        <v>0.5</v>
      </c>
      <c r="N361">
        <f>VLOOKUP(Demand_Data___Hourly_OverviewSearch_1_csv[[#This Row],[Date]],Supply_Data___Hourly_DriverActivity_1_csv__3[#All],7,FALSE)</f>
        <v>0.34</v>
      </c>
      <c r="O361">
        <f>VLOOKUP(Demand_Data___Hourly_OverviewSearch_1_csv[[#This Row],[Date]],Supply_Data___Hourly_DriverActivity_1_csv__3[#All],8,FALSE)</f>
        <v>14</v>
      </c>
      <c r="P361">
        <f>(Demand_Data___Hourly_OverviewSearch_1_csv[[#This Row],[People saw 0 cars (unique)]]+Demand_Data___Hourly_OverviewSearch_1_csv[[#This Row],[People saw +1 cars (unique)]])</f>
        <v>31</v>
      </c>
      <c r="Q361" s="143">
        <f t="shared" si="23"/>
        <v>35</v>
      </c>
    </row>
    <row r="362" spans="1:17" x14ac:dyDescent="0.3">
      <c r="A362" t="s">
        <v>369</v>
      </c>
      <c r="B362" t="str">
        <f t="shared" si="20"/>
        <v xml:space="preserve"> 22</v>
      </c>
      <c r="C362">
        <f t="shared" si="21"/>
        <v>6</v>
      </c>
      <c r="D362" t="str">
        <f t="shared" si="22"/>
        <v xml:space="preserve">2016-12-03 </v>
      </c>
      <c r="E362" t="str">
        <f>TEXT(Demand_Data___Hourly_OverviewSearch_1_csv[[#This Row],[Day]],"dddd")</f>
        <v>Friday</v>
      </c>
      <c r="F362">
        <v>1</v>
      </c>
      <c r="G362">
        <v>34</v>
      </c>
      <c r="H362">
        <v>97</v>
      </c>
      <c r="I362">
        <f>VLOOKUP(Demand_Data___Hourly_OverviewSearch_1_csv[[#This Row],[Date]],Supply_Data___Hourly_DriverActivity_1_csv__3[#All],2,FALSE)</f>
        <v>92</v>
      </c>
      <c r="J362">
        <f>VLOOKUP(Demand_Data___Hourly_OverviewSearch_1_csv[[#This Row],[Date]],Supply_Data___Hourly_DriverActivity_1_csv__3[#All],3,FALSE)</f>
        <v>41</v>
      </c>
      <c r="K362">
        <f>VLOOKUP(Demand_Data___Hourly_OverviewSearch_1_csv[[#This Row],[Date]],Supply_Data___Hourly_DriverActivity_1_csv__3[#All],4,FALSE)</f>
        <v>5</v>
      </c>
      <c r="L362">
        <f>VLOOKUP(Demand_Data___Hourly_OverviewSearch_1_csv[[#This Row],[Date]],Supply_Data___Hourly_DriverActivity_1_csv__3[#All],5,FALSE)</f>
        <v>36</v>
      </c>
      <c r="M362">
        <f>VLOOKUP(Demand_Data___Hourly_OverviewSearch_1_csv[[#This Row],[Date]],Supply_Data___Hourly_DriverActivity_1_csv__3[#All],6,FALSE)</f>
        <v>0.4</v>
      </c>
      <c r="N362">
        <f>VLOOKUP(Demand_Data___Hourly_OverviewSearch_1_csv[[#This Row],[Date]],Supply_Data___Hourly_DriverActivity_1_csv__3[#All],7,FALSE)</f>
        <v>0.34</v>
      </c>
      <c r="O362">
        <f>VLOOKUP(Demand_Data___Hourly_OverviewSearch_1_csv[[#This Row],[Date]],Supply_Data___Hourly_DriverActivity_1_csv__3[#All],8,FALSE)</f>
        <v>14</v>
      </c>
      <c r="P362">
        <f>(Demand_Data___Hourly_OverviewSearch_1_csv[[#This Row],[People saw 0 cars (unique)]]+Demand_Data___Hourly_OverviewSearch_1_csv[[#This Row],[People saw +1 cars (unique)]])</f>
        <v>35</v>
      </c>
      <c r="Q362" s="143">
        <f t="shared" si="23"/>
        <v>36</v>
      </c>
    </row>
    <row r="363" spans="1:17" x14ac:dyDescent="0.3">
      <c r="A363" t="s">
        <v>370</v>
      </c>
      <c r="B363" t="str">
        <f t="shared" si="20"/>
        <v xml:space="preserve"> 21</v>
      </c>
      <c r="C363">
        <f t="shared" si="21"/>
        <v>6</v>
      </c>
      <c r="D363" t="str">
        <f t="shared" si="22"/>
        <v xml:space="preserve">2016-12-03 </v>
      </c>
      <c r="E363" t="str">
        <f>TEXT(Demand_Data___Hourly_OverviewSearch_1_csv[[#This Row],[Day]],"dddd")</f>
        <v>Friday</v>
      </c>
      <c r="F363">
        <v>3</v>
      </c>
      <c r="G363">
        <v>32</v>
      </c>
      <c r="H363">
        <v>91</v>
      </c>
      <c r="I363">
        <f>VLOOKUP(Demand_Data___Hourly_OverviewSearch_1_csv[[#This Row],[Date]],Supply_Data___Hourly_DriverActivity_1_csv__3[#All],2,FALSE)</f>
        <v>92</v>
      </c>
      <c r="J363">
        <f>VLOOKUP(Demand_Data___Hourly_OverviewSearch_1_csv[[#This Row],[Date]],Supply_Data___Hourly_DriverActivity_1_csv__3[#All],3,FALSE)</f>
        <v>40</v>
      </c>
      <c r="K363">
        <f>VLOOKUP(Demand_Data___Hourly_OverviewSearch_1_csv[[#This Row],[Date]],Supply_Data___Hourly_DriverActivity_1_csv__3[#All],4,FALSE)</f>
        <v>5</v>
      </c>
      <c r="L363">
        <f>VLOOKUP(Demand_Data___Hourly_OverviewSearch_1_csv[[#This Row],[Date]],Supply_Data___Hourly_DriverActivity_1_csv__3[#All],5,FALSE)</f>
        <v>35</v>
      </c>
      <c r="M363">
        <f>VLOOKUP(Demand_Data___Hourly_OverviewSearch_1_csv[[#This Row],[Date]],Supply_Data___Hourly_DriverActivity_1_csv__3[#All],6,FALSE)</f>
        <v>0.4</v>
      </c>
      <c r="N363">
        <f>VLOOKUP(Demand_Data___Hourly_OverviewSearch_1_csv[[#This Row],[Date]],Supply_Data___Hourly_DriverActivity_1_csv__3[#All],7,FALSE)</f>
        <v>0.28000000000000003</v>
      </c>
      <c r="O363">
        <f>VLOOKUP(Demand_Data___Hourly_OverviewSearch_1_csv[[#This Row],[Date]],Supply_Data___Hourly_DriverActivity_1_csv__3[#All],8,FALSE)</f>
        <v>11</v>
      </c>
      <c r="P363">
        <f>(Demand_Data___Hourly_OverviewSearch_1_csv[[#This Row],[People saw 0 cars (unique)]]+Demand_Data___Hourly_OverviewSearch_1_csv[[#This Row],[People saw +1 cars (unique)]])</f>
        <v>35</v>
      </c>
      <c r="Q363" s="143">
        <f t="shared" si="23"/>
        <v>35</v>
      </c>
    </row>
    <row r="364" spans="1:17" x14ac:dyDescent="0.3">
      <c r="A364" t="s">
        <v>371</v>
      </c>
      <c r="B364" t="str">
        <f t="shared" si="20"/>
        <v xml:space="preserve"> 20</v>
      </c>
      <c r="C364">
        <f t="shared" si="21"/>
        <v>6</v>
      </c>
      <c r="D364" t="str">
        <f t="shared" si="22"/>
        <v xml:space="preserve">2016-12-03 </v>
      </c>
      <c r="E364" t="str">
        <f>TEXT(Demand_Data___Hourly_OverviewSearch_1_csv[[#This Row],[Day]],"dddd")</f>
        <v>Friday</v>
      </c>
      <c r="F364">
        <v>8</v>
      </c>
      <c r="G364">
        <v>38</v>
      </c>
      <c r="H364">
        <v>83</v>
      </c>
      <c r="I364">
        <f>VLOOKUP(Demand_Data___Hourly_OverviewSearch_1_csv[[#This Row],[Date]],Supply_Data___Hourly_DriverActivity_1_csv__3[#All],2,FALSE)</f>
        <v>94</v>
      </c>
      <c r="J364">
        <f>VLOOKUP(Demand_Data___Hourly_OverviewSearch_1_csv[[#This Row],[Date]],Supply_Data___Hourly_DriverActivity_1_csv__3[#All],3,FALSE)</f>
        <v>45</v>
      </c>
      <c r="K364">
        <f>VLOOKUP(Demand_Data___Hourly_OverviewSearch_1_csv[[#This Row],[Date]],Supply_Data___Hourly_DriverActivity_1_csv__3[#All],4,FALSE)</f>
        <v>4</v>
      </c>
      <c r="L364">
        <f>VLOOKUP(Demand_Data___Hourly_OverviewSearch_1_csv[[#This Row],[Date]],Supply_Data___Hourly_DriverActivity_1_csv__3[#All],5,FALSE)</f>
        <v>41</v>
      </c>
      <c r="M364">
        <f>VLOOKUP(Demand_Data___Hourly_OverviewSearch_1_csv[[#This Row],[Date]],Supply_Data___Hourly_DriverActivity_1_csv__3[#All],6,FALSE)</f>
        <v>0.5</v>
      </c>
      <c r="N364">
        <f>VLOOKUP(Demand_Data___Hourly_OverviewSearch_1_csv[[#This Row],[Date]],Supply_Data___Hourly_DriverActivity_1_csv__3[#All],7,FALSE)</f>
        <v>0.31</v>
      </c>
      <c r="O364">
        <f>VLOOKUP(Demand_Data___Hourly_OverviewSearch_1_csv[[#This Row],[Date]],Supply_Data___Hourly_DriverActivity_1_csv__3[#All],8,FALSE)</f>
        <v>14</v>
      </c>
      <c r="P364">
        <f>(Demand_Data___Hourly_OverviewSearch_1_csv[[#This Row],[People saw 0 cars (unique)]]+Demand_Data___Hourly_OverviewSearch_1_csv[[#This Row],[People saw +1 cars (unique)]])</f>
        <v>46</v>
      </c>
      <c r="Q364" s="143">
        <f t="shared" si="23"/>
        <v>41</v>
      </c>
    </row>
    <row r="365" spans="1:17" x14ac:dyDescent="0.3">
      <c r="A365" t="s">
        <v>372</v>
      </c>
      <c r="B365" t="str">
        <f t="shared" si="20"/>
        <v xml:space="preserve"> 19</v>
      </c>
      <c r="C365">
        <f t="shared" si="21"/>
        <v>6</v>
      </c>
      <c r="D365" t="str">
        <f t="shared" si="22"/>
        <v xml:space="preserve">2016-12-03 </v>
      </c>
      <c r="E365" t="str">
        <f>TEXT(Demand_Data___Hourly_OverviewSearch_1_csv[[#This Row],[Day]],"dddd")</f>
        <v>Friday</v>
      </c>
      <c r="F365">
        <v>3</v>
      </c>
      <c r="G365">
        <v>29</v>
      </c>
      <c r="H365">
        <v>91</v>
      </c>
      <c r="I365">
        <f>VLOOKUP(Demand_Data___Hourly_OverviewSearch_1_csv[[#This Row],[Date]],Supply_Data___Hourly_DriverActivity_1_csv__3[#All],2,FALSE)</f>
        <v>98</v>
      </c>
      <c r="J365">
        <f>VLOOKUP(Demand_Data___Hourly_OverviewSearch_1_csv[[#This Row],[Date]],Supply_Data___Hourly_DriverActivity_1_csv__3[#All],3,FALSE)</f>
        <v>42</v>
      </c>
      <c r="K365">
        <f>VLOOKUP(Demand_Data___Hourly_OverviewSearch_1_csv[[#This Row],[Date]],Supply_Data___Hourly_DriverActivity_1_csv__3[#All],4,FALSE)</f>
        <v>6</v>
      </c>
      <c r="L365">
        <f>VLOOKUP(Demand_Data___Hourly_OverviewSearch_1_csv[[#This Row],[Date]],Supply_Data___Hourly_DriverActivity_1_csv__3[#All],5,FALSE)</f>
        <v>37</v>
      </c>
      <c r="M365">
        <f>VLOOKUP(Demand_Data___Hourly_OverviewSearch_1_csv[[#This Row],[Date]],Supply_Data___Hourly_DriverActivity_1_csv__3[#All],6,FALSE)</f>
        <v>0.4</v>
      </c>
      <c r="N365">
        <f>VLOOKUP(Demand_Data___Hourly_OverviewSearch_1_csv[[#This Row],[Date]],Supply_Data___Hourly_DriverActivity_1_csv__3[#All],7,FALSE)</f>
        <v>0.28999999999999998</v>
      </c>
      <c r="O365">
        <f>VLOOKUP(Demand_Data___Hourly_OverviewSearch_1_csv[[#This Row],[Date]],Supply_Data___Hourly_DriverActivity_1_csv__3[#All],8,FALSE)</f>
        <v>12</v>
      </c>
      <c r="P365">
        <f>(Demand_Data___Hourly_OverviewSearch_1_csv[[#This Row],[People saw 0 cars (unique)]]+Demand_Data___Hourly_OverviewSearch_1_csv[[#This Row],[People saw +1 cars (unique)]])</f>
        <v>32</v>
      </c>
      <c r="Q365" s="143">
        <f t="shared" si="23"/>
        <v>36</v>
      </c>
    </row>
    <row r="366" spans="1:17" x14ac:dyDescent="0.3">
      <c r="A366" t="s">
        <v>373</v>
      </c>
      <c r="B366" t="str">
        <f t="shared" si="20"/>
        <v xml:space="preserve"> 18</v>
      </c>
      <c r="C366">
        <f t="shared" si="21"/>
        <v>6</v>
      </c>
      <c r="D366" t="str">
        <f t="shared" si="22"/>
        <v xml:space="preserve">2016-12-03 </v>
      </c>
      <c r="E366" t="str">
        <f>TEXT(Demand_Data___Hourly_OverviewSearch_1_csv[[#This Row],[Day]],"dddd")</f>
        <v>Friday</v>
      </c>
      <c r="F366">
        <v>3</v>
      </c>
      <c r="G366">
        <v>34</v>
      </c>
      <c r="H366">
        <v>92</v>
      </c>
      <c r="I366">
        <f>VLOOKUP(Demand_Data___Hourly_OverviewSearch_1_csv[[#This Row],[Date]],Supply_Data___Hourly_DriverActivity_1_csv__3[#All],2,FALSE)</f>
        <v>86</v>
      </c>
      <c r="J366">
        <f>VLOOKUP(Demand_Data___Hourly_OverviewSearch_1_csv[[#This Row],[Date]],Supply_Data___Hourly_DriverActivity_1_csv__3[#All],3,FALSE)</f>
        <v>39</v>
      </c>
      <c r="K366">
        <f>VLOOKUP(Demand_Data___Hourly_OverviewSearch_1_csv[[#This Row],[Date]],Supply_Data___Hourly_DriverActivity_1_csv__3[#All],4,FALSE)</f>
        <v>3</v>
      </c>
      <c r="L366">
        <f>VLOOKUP(Demand_Data___Hourly_OverviewSearch_1_csv[[#This Row],[Date]],Supply_Data___Hourly_DriverActivity_1_csv__3[#All],5,FALSE)</f>
        <v>36</v>
      </c>
      <c r="M366">
        <f>VLOOKUP(Demand_Data___Hourly_OverviewSearch_1_csv[[#This Row],[Date]],Supply_Data___Hourly_DriverActivity_1_csv__3[#All],6,FALSE)</f>
        <v>0.5</v>
      </c>
      <c r="N366">
        <f>VLOOKUP(Demand_Data___Hourly_OverviewSearch_1_csv[[#This Row],[Date]],Supply_Data___Hourly_DriverActivity_1_csv__3[#All],7,FALSE)</f>
        <v>0.28000000000000003</v>
      </c>
      <c r="O366">
        <f>VLOOKUP(Demand_Data___Hourly_OverviewSearch_1_csv[[#This Row],[Date]],Supply_Data___Hourly_DriverActivity_1_csv__3[#All],8,FALSE)</f>
        <v>11</v>
      </c>
      <c r="P366">
        <f>(Demand_Data___Hourly_OverviewSearch_1_csv[[#This Row],[People saw 0 cars (unique)]]+Demand_Data___Hourly_OverviewSearch_1_csv[[#This Row],[People saw +1 cars (unique)]])</f>
        <v>37</v>
      </c>
      <c r="Q366" s="143">
        <f t="shared" si="23"/>
        <v>36</v>
      </c>
    </row>
    <row r="367" spans="1:17" x14ac:dyDescent="0.3">
      <c r="A367" t="s">
        <v>374</v>
      </c>
      <c r="B367" t="str">
        <f t="shared" si="20"/>
        <v xml:space="preserve"> 17</v>
      </c>
      <c r="C367">
        <f t="shared" si="21"/>
        <v>6</v>
      </c>
      <c r="D367" t="str">
        <f t="shared" si="22"/>
        <v xml:space="preserve">2016-12-03 </v>
      </c>
      <c r="E367" t="str">
        <f>TEXT(Demand_Data___Hourly_OverviewSearch_1_csv[[#This Row],[Day]],"dddd")</f>
        <v>Friday</v>
      </c>
      <c r="F367">
        <v>1</v>
      </c>
      <c r="G367">
        <v>22</v>
      </c>
      <c r="H367">
        <v>96</v>
      </c>
      <c r="I367">
        <f>VLOOKUP(Demand_Data___Hourly_OverviewSearch_1_csv[[#This Row],[Date]],Supply_Data___Hourly_DriverActivity_1_csv__3[#All],2,FALSE)</f>
        <v>80</v>
      </c>
      <c r="J367">
        <f>VLOOKUP(Demand_Data___Hourly_OverviewSearch_1_csv[[#This Row],[Date]],Supply_Data___Hourly_DriverActivity_1_csv__3[#All],3,FALSE)</f>
        <v>25</v>
      </c>
      <c r="K367">
        <f>VLOOKUP(Demand_Data___Hourly_OverviewSearch_1_csv[[#This Row],[Date]],Supply_Data___Hourly_DriverActivity_1_csv__3[#All],4,FALSE)</f>
        <v>3</v>
      </c>
      <c r="L367">
        <f>VLOOKUP(Demand_Data___Hourly_OverviewSearch_1_csv[[#This Row],[Date]],Supply_Data___Hourly_DriverActivity_1_csv__3[#All],5,FALSE)</f>
        <v>23</v>
      </c>
      <c r="M367">
        <f>VLOOKUP(Demand_Data___Hourly_OverviewSearch_1_csv[[#This Row],[Date]],Supply_Data___Hourly_DriverActivity_1_csv__3[#All],6,FALSE)</f>
        <v>0.3</v>
      </c>
      <c r="N367">
        <f>VLOOKUP(Demand_Data___Hourly_OverviewSearch_1_csv[[#This Row],[Date]],Supply_Data___Hourly_DriverActivity_1_csv__3[#All],7,FALSE)</f>
        <v>0.24</v>
      </c>
      <c r="O367">
        <f>VLOOKUP(Demand_Data___Hourly_OverviewSearch_1_csv[[#This Row],[Date]],Supply_Data___Hourly_DriverActivity_1_csv__3[#All],8,FALSE)</f>
        <v>6</v>
      </c>
      <c r="P367">
        <f>(Demand_Data___Hourly_OverviewSearch_1_csv[[#This Row],[People saw 0 cars (unique)]]+Demand_Data___Hourly_OverviewSearch_1_csv[[#This Row],[People saw +1 cars (unique)]])</f>
        <v>23</v>
      </c>
      <c r="Q367" s="143">
        <f t="shared" si="23"/>
        <v>22</v>
      </c>
    </row>
    <row r="368" spans="1:17" x14ac:dyDescent="0.3">
      <c r="A368" t="s">
        <v>375</v>
      </c>
      <c r="B368" t="str">
        <f t="shared" si="20"/>
        <v xml:space="preserve"> 16</v>
      </c>
      <c r="C368">
        <f t="shared" si="21"/>
        <v>6</v>
      </c>
      <c r="D368" t="str">
        <f t="shared" si="22"/>
        <v xml:space="preserve">2016-12-03 </v>
      </c>
      <c r="E368" t="str">
        <f>TEXT(Demand_Data___Hourly_OverviewSearch_1_csv[[#This Row],[Day]],"dddd")</f>
        <v>Friday</v>
      </c>
      <c r="F368">
        <v>5</v>
      </c>
      <c r="G368">
        <v>22</v>
      </c>
      <c r="H368">
        <v>81</v>
      </c>
      <c r="I368">
        <f>VLOOKUP(Demand_Data___Hourly_OverviewSearch_1_csv[[#This Row],[Date]],Supply_Data___Hourly_DriverActivity_1_csv__3[#All],2,FALSE)</f>
        <v>72</v>
      </c>
      <c r="J368">
        <f>VLOOKUP(Demand_Data___Hourly_OverviewSearch_1_csv[[#This Row],[Date]],Supply_Data___Hourly_DriverActivity_1_csv__3[#All],3,FALSE)</f>
        <v>28</v>
      </c>
      <c r="K368">
        <f>VLOOKUP(Demand_Data___Hourly_OverviewSearch_1_csv[[#This Row],[Date]],Supply_Data___Hourly_DriverActivity_1_csv__3[#All],4,FALSE)</f>
        <v>4</v>
      </c>
      <c r="L368">
        <f>VLOOKUP(Demand_Data___Hourly_OverviewSearch_1_csv[[#This Row],[Date]],Supply_Data___Hourly_DriverActivity_1_csv__3[#All],5,FALSE)</f>
        <v>25</v>
      </c>
      <c r="M368">
        <f>VLOOKUP(Demand_Data___Hourly_OverviewSearch_1_csv[[#This Row],[Date]],Supply_Data___Hourly_DriverActivity_1_csv__3[#All],6,FALSE)</f>
        <v>0.4</v>
      </c>
      <c r="N368">
        <f>VLOOKUP(Demand_Data___Hourly_OverviewSearch_1_csv[[#This Row],[Date]],Supply_Data___Hourly_DriverActivity_1_csv__3[#All],7,FALSE)</f>
        <v>0.25</v>
      </c>
      <c r="O368">
        <f>VLOOKUP(Demand_Data___Hourly_OverviewSearch_1_csv[[#This Row],[Date]],Supply_Data___Hourly_DriverActivity_1_csv__3[#All],8,FALSE)</f>
        <v>7</v>
      </c>
      <c r="P368">
        <f>(Demand_Data___Hourly_OverviewSearch_1_csv[[#This Row],[People saw 0 cars (unique)]]+Demand_Data___Hourly_OverviewSearch_1_csv[[#This Row],[People saw +1 cars (unique)]])</f>
        <v>27</v>
      </c>
      <c r="Q368" s="143">
        <f t="shared" si="23"/>
        <v>24</v>
      </c>
    </row>
    <row r="369" spans="1:17" x14ac:dyDescent="0.3">
      <c r="A369" t="s">
        <v>376</v>
      </c>
      <c r="B369" t="str">
        <f t="shared" si="20"/>
        <v xml:space="preserve"> 15</v>
      </c>
      <c r="C369">
        <f t="shared" si="21"/>
        <v>6</v>
      </c>
      <c r="D369" t="str">
        <f t="shared" si="22"/>
        <v xml:space="preserve">2016-12-03 </v>
      </c>
      <c r="E369" t="str">
        <f>TEXT(Demand_Data___Hourly_OverviewSearch_1_csv[[#This Row],[Day]],"dddd")</f>
        <v>Friday</v>
      </c>
      <c r="F369">
        <v>1</v>
      </c>
      <c r="G369">
        <v>25</v>
      </c>
      <c r="H369">
        <v>96</v>
      </c>
      <c r="I369">
        <f>VLOOKUP(Demand_Data___Hourly_OverviewSearch_1_csv[[#This Row],[Date]],Supply_Data___Hourly_DriverActivity_1_csv__3[#All],2,FALSE)</f>
        <v>70</v>
      </c>
      <c r="J369">
        <f>VLOOKUP(Demand_Data___Hourly_OverviewSearch_1_csv[[#This Row],[Date]],Supply_Data___Hourly_DriverActivity_1_csv__3[#All],3,FALSE)</f>
        <v>30</v>
      </c>
      <c r="K369">
        <f>VLOOKUP(Demand_Data___Hourly_OverviewSearch_1_csv[[#This Row],[Date]],Supply_Data___Hourly_DriverActivity_1_csv__3[#All],4,FALSE)</f>
        <v>4</v>
      </c>
      <c r="L369">
        <f>VLOOKUP(Demand_Data___Hourly_OverviewSearch_1_csv[[#This Row],[Date]],Supply_Data___Hourly_DriverActivity_1_csv__3[#All],5,FALSE)</f>
        <v>26</v>
      </c>
      <c r="M369">
        <f>VLOOKUP(Demand_Data___Hourly_OverviewSearch_1_csv[[#This Row],[Date]],Supply_Data___Hourly_DriverActivity_1_csv__3[#All],6,FALSE)</f>
        <v>0.4</v>
      </c>
      <c r="N369">
        <f>VLOOKUP(Demand_Data___Hourly_OverviewSearch_1_csv[[#This Row],[Date]],Supply_Data___Hourly_DriverActivity_1_csv__3[#All],7,FALSE)</f>
        <v>0.37</v>
      </c>
      <c r="O369">
        <f>VLOOKUP(Demand_Data___Hourly_OverviewSearch_1_csv[[#This Row],[Date]],Supply_Data___Hourly_DriverActivity_1_csv__3[#All],8,FALSE)</f>
        <v>11</v>
      </c>
      <c r="P369">
        <f>(Demand_Data___Hourly_OverviewSearch_1_csv[[#This Row],[People saw 0 cars (unique)]]+Demand_Data___Hourly_OverviewSearch_1_csv[[#This Row],[People saw +1 cars (unique)]])</f>
        <v>26</v>
      </c>
      <c r="Q369" s="143">
        <f t="shared" si="23"/>
        <v>26</v>
      </c>
    </row>
    <row r="370" spans="1:17" x14ac:dyDescent="0.3">
      <c r="A370" t="s">
        <v>377</v>
      </c>
      <c r="B370" t="str">
        <f t="shared" si="20"/>
        <v xml:space="preserve"> 14</v>
      </c>
      <c r="C370">
        <f t="shared" si="21"/>
        <v>6</v>
      </c>
      <c r="D370" t="str">
        <f t="shared" si="22"/>
        <v xml:space="preserve">2016-12-03 </v>
      </c>
      <c r="E370" t="str">
        <f>TEXT(Demand_Data___Hourly_OverviewSearch_1_csv[[#This Row],[Day]],"dddd")</f>
        <v>Friday</v>
      </c>
      <c r="F370">
        <v>5</v>
      </c>
      <c r="G370">
        <v>26</v>
      </c>
      <c r="H370">
        <v>84</v>
      </c>
      <c r="I370">
        <f>VLOOKUP(Demand_Data___Hourly_OverviewSearch_1_csv[[#This Row],[Date]],Supply_Data___Hourly_DriverActivity_1_csv__3[#All],2,FALSE)</f>
        <v>76</v>
      </c>
      <c r="J370">
        <f>VLOOKUP(Demand_Data___Hourly_OverviewSearch_1_csv[[#This Row],[Date]],Supply_Data___Hourly_DriverActivity_1_csv__3[#All],3,FALSE)</f>
        <v>33</v>
      </c>
      <c r="K370">
        <f>VLOOKUP(Demand_Data___Hourly_OverviewSearch_1_csv[[#This Row],[Date]],Supply_Data___Hourly_DriverActivity_1_csv__3[#All],4,FALSE)</f>
        <v>2</v>
      </c>
      <c r="L370">
        <f>VLOOKUP(Demand_Data___Hourly_OverviewSearch_1_csv[[#This Row],[Date]],Supply_Data___Hourly_DriverActivity_1_csv__3[#All],5,FALSE)</f>
        <v>31</v>
      </c>
      <c r="M370">
        <f>VLOOKUP(Demand_Data___Hourly_OverviewSearch_1_csv[[#This Row],[Date]],Supply_Data___Hourly_DriverActivity_1_csv__3[#All],6,FALSE)</f>
        <v>0.4</v>
      </c>
      <c r="N370">
        <f>VLOOKUP(Demand_Data___Hourly_OverviewSearch_1_csv[[#This Row],[Date]],Supply_Data___Hourly_DriverActivity_1_csv__3[#All],7,FALSE)</f>
        <v>0.24</v>
      </c>
      <c r="O370">
        <f>VLOOKUP(Demand_Data___Hourly_OverviewSearch_1_csv[[#This Row],[Date]],Supply_Data___Hourly_DriverActivity_1_csv__3[#All],8,FALSE)</f>
        <v>8</v>
      </c>
      <c r="P370">
        <f>(Demand_Data___Hourly_OverviewSearch_1_csv[[#This Row],[People saw 0 cars (unique)]]+Demand_Data___Hourly_OverviewSearch_1_csv[[#This Row],[People saw +1 cars (unique)]])</f>
        <v>31</v>
      </c>
      <c r="Q370" s="143">
        <f t="shared" si="23"/>
        <v>31</v>
      </c>
    </row>
    <row r="371" spans="1:17" x14ac:dyDescent="0.3">
      <c r="A371" t="s">
        <v>378</v>
      </c>
      <c r="B371" t="str">
        <f t="shared" si="20"/>
        <v xml:space="preserve"> 13</v>
      </c>
      <c r="C371">
        <f t="shared" si="21"/>
        <v>6</v>
      </c>
      <c r="D371" t="str">
        <f t="shared" si="22"/>
        <v xml:space="preserve">2016-12-03 </v>
      </c>
      <c r="E371" t="str">
        <f>TEXT(Demand_Data___Hourly_OverviewSearch_1_csv[[#This Row],[Day]],"dddd")</f>
        <v>Friday</v>
      </c>
      <c r="F371">
        <v>3</v>
      </c>
      <c r="G371">
        <v>17</v>
      </c>
      <c r="H371">
        <v>85</v>
      </c>
      <c r="I371">
        <f>VLOOKUP(Demand_Data___Hourly_OverviewSearch_1_csv[[#This Row],[Date]],Supply_Data___Hourly_DriverActivity_1_csv__3[#All],2,FALSE)</f>
        <v>73</v>
      </c>
      <c r="J371">
        <f>VLOOKUP(Demand_Data___Hourly_OverviewSearch_1_csv[[#This Row],[Date]],Supply_Data___Hourly_DriverActivity_1_csv__3[#All],3,FALSE)</f>
        <v>31</v>
      </c>
      <c r="K371">
        <f>VLOOKUP(Demand_Data___Hourly_OverviewSearch_1_csv[[#This Row],[Date]],Supply_Data___Hourly_DriverActivity_1_csv__3[#All],4,FALSE)</f>
        <v>1</v>
      </c>
      <c r="L371">
        <f>VLOOKUP(Demand_Data___Hourly_OverviewSearch_1_csv[[#This Row],[Date]],Supply_Data___Hourly_DriverActivity_1_csv__3[#All],5,FALSE)</f>
        <v>30</v>
      </c>
      <c r="M371">
        <f>VLOOKUP(Demand_Data___Hourly_OverviewSearch_1_csv[[#This Row],[Date]],Supply_Data___Hourly_DriverActivity_1_csv__3[#All],6,FALSE)</f>
        <v>0.4</v>
      </c>
      <c r="N371">
        <f>VLOOKUP(Demand_Data___Hourly_OverviewSearch_1_csv[[#This Row],[Date]],Supply_Data___Hourly_DriverActivity_1_csv__3[#All],7,FALSE)</f>
        <v>0</v>
      </c>
      <c r="O371">
        <f>VLOOKUP(Demand_Data___Hourly_OverviewSearch_1_csv[[#This Row],[Date]],Supply_Data___Hourly_DriverActivity_1_csv__3[#All],8,FALSE)</f>
        <v>0</v>
      </c>
      <c r="P371">
        <f>(Demand_Data___Hourly_OverviewSearch_1_csv[[#This Row],[People saw 0 cars (unique)]]+Demand_Data___Hourly_OverviewSearch_1_csv[[#This Row],[People saw +1 cars (unique)]])</f>
        <v>20</v>
      </c>
      <c r="Q371" s="143">
        <f t="shared" si="23"/>
        <v>30</v>
      </c>
    </row>
    <row r="372" spans="1:17" x14ac:dyDescent="0.3">
      <c r="A372" t="s">
        <v>379</v>
      </c>
      <c r="B372" t="str">
        <f t="shared" si="20"/>
        <v xml:space="preserve"> 12</v>
      </c>
      <c r="C372">
        <f t="shared" si="21"/>
        <v>6</v>
      </c>
      <c r="D372" t="str">
        <f t="shared" si="22"/>
        <v xml:space="preserve">2016-12-03 </v>
      </c>
      <c r="E372" t="str">
        <f>TEXT(Demand_Data___Hourly_OverviewSearch_1_csv[[#This Row],[Day]],"dddd")</f>
        <v>Friday</v>
      </c>
      <c r="F372">
        <v>4</v>
      </c>
      <c r="G372">
        <v>25</v>
      </c>
      <c r="H372">
        <v>86</v>
      </c>
      <c r="I372">
        <f>VLOOKUP(Demand_Data___Hourly_OverviewSearch_1_csv[[#This Row],[Date]],Supply_Data___Hourly_DriverActivity_1_csv__3[#All],2,FALSE)</f>
        <v>62</v>
      </c>
      <c r="J372">
        <f>VLOOKUP(Demand_Data___Hourly_OverviewSearch_1_csv[[#This Row],[Date]],Supply_Data___Hourly_DriverActivity_1_csv__3[#All],3,FALSE)</f>
        <v>26</v>
      </c>
      <c r="K372">
        <f>VLOOKUP(Demand_Data___Hourly_OverviewSearch_1_csv[[#This Row],[Date]],Supply_Data___Hourly_DriverActivity_1_csv__3[#All],4,FALSE)</f>
        <v>3</v>
      </c>
      <c r="L372">
        <f>VLOOKUP(Demand_Data___Hourly_OverviewSearch_1_csv[[#This Row],[Date]],Supply_Data___Hourly_DriverActivity_1_csv__3[#All],5,FALSE)</f>
        <v>23</v>
      </c>
      <c r="M372">
        <f>VLOOKUP(Demand_Data___Hourly_OverviewSearch_1_csv[[#This Row],[Date]],Supply_Data___Hourly_DriverActivity_1_csv__3[#All],6,FALSE)</f>
        <v>0.4</v>
      </c>
      <c r="N372">
        <f>VLOOKUP(Demand_Data___Hourly_OverviewSearch_1_csv[[#This Row],[Date]],Supply_Data___Hourly_DriverActivity_1_csv__3[#All],7,FALSE)</f>
        <v>0.27</v>
      </c>
      <c r="O372">
        <f>VLOOKUP(Demand_Data___Hourly_OverviewSearch_1_csv[[#This Row],[Date]],Supply_Data___Hourly_DriverActivity_1_csv__3[#All],8,FALSE)</f>
        <v>7</v>
      </c>
      <c r="P372">
        <f>(Demand_Data___Hourly_OverviewSearch_1_csv[[#This Row],[People saw 0 cars (unique)]]+Demand_Data___Hourly_OverviewSearch_1_csv[[#This Row],[People saw +1 cars (unique)]])</f>
        <v>29</v>
      </c>
      <c r="Q372" s="143">
        <f t="shared" si="23"/>
        <v>23</v>
      </c>
    </row>
    <row r="373" spans="1:17" x14ac:dyDescent="0.3">
      <c r="A373" t="s">
        <v>380</v>
      </c>
      <c r="B373" t="str">
        <f t="shared" si="20"/>
        <v xml:space="preserve"> 11</v>
      </c>
      <c r="C373">
        <f t="shared" si="21"/>
        <v>6</v>
      </c>
      <c r="D373" t="str">
        <f t="shared" si="22"/>
        <v xml:space="preserve">2016-12-03 </v>
      </c>
      <c r="E373" t="str">
        <f>TEXT(Demand_Data___Hourly_OverviewSearch_1_csv[[#This Row],[Day]],"dddd")</f>
        <v>Friday</v>
      </c>
      <c r="F373">
        <v>6</v>
      </c>
      <c r="G373">
        <v>14</v>
      </c>
      <c r="H373">
        <v>70</v>
      </c>
      <c r="I373">
        <f>VLOOKUP(Demand_Data___Hourly_OverviewSearch_1_csv[[#This Row],[Date]],Supply_Data___Hourly_DriverActivity_1_csv__3[#All],2,FALSE)</f>
        <v>56</v>
      </c>
      <c r="J373">
        <f>VLOOKUP(Demand_Data___Hourly_OverviewSearch_1_csv[[#This Row],[Date]],Supply_Data___Hourly_DriverActivity_1_csv__3[#All],3,FALSE)</f>
        <v>23</v>
      </c>
      <c r="K373">
        <f>VLOOKUP(Demand_Data___Hourly_OverviewSearch_1_csv[[#This Row],[Date]],Supply_Data___Hourly_DriverActivity_1_csv__3[#All],4,FALSE)</f>
        <v>1</v>
      </c>
      <c r="L373">
        <f>VLOOKUP(Demand_Data___Hourly_OverviewSearch_1_csv[[#This Row],[Date]],Supply_Data___Hourly_DriverActivity_1_csv__3[#All],5,FALSE)</f>
        <v>22</v>
      </c>
      <c r="M373">
        <f>VLOOKUP(Demand_Data___Hourly_OverviewSearch_1_csv[[#This Row],[Date]],Supply_Data___Hourly_DriverActivity_1_csv__3[#All],6,FALSE)</f>
        <v>0.4</v>
      </c>
      <c r="N373">
        <f>VLOOKUP(Demand_Data___Hourly_OverviewSearch_1_csv[[#This Row],[Date]],Supply_Data___Hourly_DriverActivity_1_csv__3[#All],7,FALSE)</f>
        <v>0.13</v>
      </c>
      <c r="O373">
        <f>VLOOKUP(Demand_Data___Hourly_OverviewSearch_1_csv[[#This Row],[Date]],Supply_Data___Hourly_DriverActivity_1_csv__3[#All],8,FALSE)</f>
        <v>3</v>
      </c>
      <c r="P373">
        <f>(Demand_Data___Hourly_OverviewSearch_1_csv[[#This Row],[People saw 0 cars (unique)]]+Demand_Data___Hourly_OverviewSearch_1_csv[[#This Row],[People saw +1 cars (unique)]])</f>
        <v>20</v>
      </c>
      <c r="Q373" s="143">
        <f t="shared" si="23"/>
        <v>22</v>
      </c>
    </row>
    <row r="374" spans="1:17" x14ac:dyDescent="0.3">
      <c r="A374" t="s">
        <v>381</v>
      </c>
      <c r="B374" t="str">
        <f t="shared" si="20"/>
        <v xml:space="preserve"> 10</v>
      </c>
      <c r="C374">
        <f t="shared" si="21"/>
        <v>6</v>
      </c>
      <c r="D374" t="str">
        <f t="shared" si="22"/>
        <v xml:space="preserve">2016-12-03 </v>
      </c>
      <c r="E374" t="str">
        <f>TEXT(Demand_Data___Hourly_OverviewSearch_1_csv[[#This Row],[Day]],"dddd")</f>
        <v>Friday</v>
      </c>
      <c r="F374">
        <v>2</v>
      </c>
      <c r="G374">
        <v>12</v>
      </c>
      <c r="H374">
        <v>86</v>
      </c>
      <c r="I374">
        <f>VLOOKUP(Demand_Data___Hourly_OverviewSearch_1_csv[[#This Row],[Date]],Supply_Data___Hourly_DriverActivity_1_csv__3[#All],2,FALSE)</f>
        <v>49</v>
      </c>
      <c r="J374">
        <f>VLOOKUP(Demand_Data___Hourly_OverviewSearch_1_csv[[#This Row],[Date]],Supply_Data___Hourly_DriverActivity_1_csv__3[#All],3,FALSE)</f>
        <v>23</v>
      </c>
      <c r="K374">
        <f>VLOOKUP(Demand_Data___Hourly_OverviewSearch_1_csv[[#This Row],[Date]],Supply_Data___Hourly_DriverActivity_1_csv__3[#All],4,FALSE)</f>
        <v>1</v>
      </c>
      <c r="L374">
        <f>VLOOKUP(Demand_Data___Hourly_OverviewSearch_1_csv[[#This Row],[Date]],Supply_Data___Hourly_DriverActivity_1_csv__3[#All],5,FALSE)</f>
        <v>22</v>
      </c>
      <c r="M374">
        <f>VLOOKUP(Demand_Data___Hourly_OverviewSearch_1_csv[[#This Row],[Date]],Supply_Data___Hourly_DriverActivity_1_csv__3[#All],6,FALSE)</f>
        <v>0.5</v>
      </c>
      <c r="N374">
        <f>VLOOKUP(Demand_Data___Hourly_OverviewSearch_1_csv[[#This Row],[Date]],Supply_Data___Hourly_DriverActivity_1_csv__3[#All],7,FALSE)</f>
        <v>0.17</v>
      </c>
      <c r="O374">
        <f>VLOOKUP(Demand_Data___Hourly_OverviewSearch_1_csv[[#This Row],[Date]],Supply_Data___Hourly_DriverActivity_1_csv__3[#All],8,FALSE)</f>
        <v>4</v>
      </c>
      <c r="P374">
        <f>(Demand_Data___Hourly_OverviewSearch_1_csv[[#This Row],[People saw 0 cars (unique)]]+Demand_Data___Hourly_OverviewSearch_1_csv[[#This Row],[People saw +1 cars (unique)]])</f>
        <v>14</v>
      </c>
      <c r="Q374" s="143">
        <f t="shared" si="23"/>
        <v>22</v>
      </c>
    </row>
    <row r="375" spans="1:17" x14ac:dyDescent="0.3">
      <c r="A375" t="s">
        <v>382</v>
      </c>
      <c r="B375" t="str">
        <f t="shared" si="20"/>
        <v xml:space="preserve"> 09</v>
      </c>
      <c r="C375">
        <f t="shared" si="21"/>
        <v>6</v>
      </c>
      <c r="D375" t="str">
        <f t="shared" si="22"/>
        <v xml:space="preserve">2016-12-03 </v>
      </c>
      <c r="E375" t="str">
        <f>TEXT(Demand_Data___Hourly_OverviewSearch_1_csv[[#This Row],[Day]],"dddd")</f>
        <v>Friday</v>
      </c>
      <c r="F375">
        <v>1</v>
      </c>
      <c r="G375">
        <v>9</v>
      </c>
      <c r="H375">
        <v>90</v>
      </c>
      <c r="I375">
        <f>VLOOKUP(Demand_Data___Hourly_OverviewSearch_1_csv[[#This Row],[Date]],Supply_Data___Hourly_DriverActivity_1_csv__3[#All],2,FALSE)</f>
        <v>46</v>
      </c>
      <c r="J375">
        <f>VLOOKUP(Demand_Data___Hourly_OverviewSearch_1_csv[[#This Row],[Date]],Supply_Data___Hourly_DriverActivity_1_csv__3[#All],3,FALSE)</f>
        <v>22</v>
      </c>
      <c r="K375">
        <f>VLOOKUP(Demand_Data___Hourly_OverviewSearch_1_csv[[#This Row],[Date]],Supply_Data___Hourly_DriverActivity_1_csv__3[#All],4,FALSE)</f>
        <v>0</v>
      </c>
      <c r="L375">
        <f>VLOOKUP(Demand_Data___Hourly_OverviewSearch_1_csv[[#This Row],[Date]],Supply_Data___Hourly_DriverActivity_1_csv__3[#All],5,FALSE)</f>
        <v>22</v>
      </c>
      <c r="M375">
        <f>VLOOKUP(Demand_Data___Hourly_OverviewSearch_1_csv[[#This Row],[Date]],Supply_Data___Hourly_DriverActivity_1_csv__3[#All],6,FALSE)</f>
        <v>0.5</v>
      </c>
      <c r="N375">
        <f>VLOOKUP(Demand_Data___Hourly_OverviewSearch_1_csv[[#This Row],[Date]],Supply_Data___Hourly_DriverActivity_1_csv__3[#All],7,FALSE)</f>
        <v>0</v>
      </c>
      <c r="O375">
        <f>VLOOKUP(Demand_Data___Hourly_OverviewSearch_1_csv[[#This Row],[Date]],Supply_Data___Hourly_DriverActivity_1_csv__3[#All],8,FALSE)</f>
        <v>0</v>
      </c>
      <c r="P375">
        <f>(Demand_Data___Hourly_OverviewSearch_1_csv[[#This Row],[People saw 0 cars (unique)]]+Demand_Data___Hourly_OverviewSearch_1_csv[[#This Row],[People saw +1 cars (unique)]])</f>
        <v>10</v>
      </c>
      <c r="Q375" s="143">
        <f t="shared" si="23"/>
        <v>22</v>
      </c>
    </row>
    <row r="376" spans="1:17" x14ac:dyDescent="0.3">
      <c r="A376" t="s">
        <v>383</v>
      </c>
      <c r="B376" t="str">
        <f t="shared" si="20"/>
        <v xml:space="preserve"> 08</v>
      </c>
      <c r="C376">
        <f t="shared" si="21"/>
        <v>6</v>
      </c>
      <c r="D376" t="str">
        <f t="shared" si="22"/>
        <v xml:space="preserve">2016-12-03 </v>
      </c>
      <c r="E376" t="str">
        <f>TEXT(Demand_Data___Hourly_OverviewSearch_1_csv[[#This Row],[Day]],"dddd")</f>
        <v>Friday</v>
      </c>
      <c r="F376">
        <v>3</v>
      </c>
      <c r="G376">
        <v>7</v>
      </c>
      <c r="H376">
        <v>70</v>
      </c>
      <c r="I376">
        <f>VLOOKUP(Demand_Data___Hourly_OverviewSearch_1_csv[[#This Row],[Date]],Supply_Data___Hourly_DriverActivity_1_csv__3[#All],2,FALSE)</f>
        <v>39</v>
      </c>
      <c r="J376">
        <f>VLOOKUP(Demand_Data___Hourly_OverviewSearch_1_csv[[#This Row],[Date]],Supply_Data___Hourly_DriverActivity_1_csv__3[#All],3,FALSE)</f>
        <v>19</v>
      </c>
      <c r="K376">
        <f>VLOOKUP(Demand_Data___Hourly_OverviewSearch_1_csv[[#This Row],[Date]],Supply_Data___Hourly_DriverActivity_1_csv__3[#All],4,FALSE)</f>
        <v>1</v>
      </c>
      <c r="L376">
        <f>VLOOKUP(Demand_Data___Hourly_OverviewSearch_1_csv[[#This Row],[Date]],Supply_Data___Hourly_DriverActivity_1_csv__3[#All],5,FALSE)</f>
        <v>18</v>
      </c>
      <c r="M376">
        <f>VLOOKUP(Demand_Data___Hourly_OverviewSearch_1_csv[[#This Row],[Date]],Supply_Data___Hourly_DriverActivity_1_csv__3[#All],6,FALSE)</f>
        <v>0.5</v>
      </c>
      <c r="N376">
        <f>VLOOKUP(Demand_Data___Hourly_OverviewSearch_1_csv[[#This Row],[Date]],Supply_Data___Hourly_DriverActivity_1_csv__3[#All],7,FALSE)</f>
        <v>0.05</v>
      </c>
      <c r="O376">
        <f>VLOOKUP(Demand_Data___Hourly_OverviewSearch_1_csv[[#This Row],[Date]],Supply_Data___Hourly_DriverActivity_1_csv__3[#All],8,FALSE)</f>
        <v>1</v>
      </c>
      <c r="P376">
        <f>(Demand_Data___Hourly_OverviewSearch_1_csv[[#This Row],[People saw 0 cars (unique)]]+Demand_Data___Hourly_OverviewSearch_1_csv[[#This Row],[People saw +1 cars (unique)]])</f>
        <v>10</v>
      </c>
      <c r="Q376" s="143">
        <f t="shared" si="23"/>
        <v>18</v>
      </c>
    </row>
    <row r="377" spans="1:17" x14ac:dyDescent="0.3">
      <c r="A377" t="s">
        <v>384</v>
      </c>
      <c r="B377" t="str">
        <f t="shared" si="20"/>
        <v xml:space="preserve"> 07</v>
      </c>
      <c r="C377">
        <f t="shared" si="21"/>
        <v>6</v>
      </c>
      <c r="D377" t="str">
        <f t="shared" si="22"/>
        <v xml:space="preserve">2016-12-03 </v>
      </c>
      <c r="E377" t="str">
        <f>TEXT(Demand_Data___Hourly_OverviewSearch_1_csv[[#This Row],[Day]],"dddd")</f>
        <v>Friday</v>
      </c>
      <c r="F377">
        <v>1</v>
      </c>
      <c r="G377">
        <v>2</v>
      </c>
      <c r="H377">
        <v>67</v>
      </c>
      <c r="I377">
        <f>VLOOKUP(Demand_Data___Hourly_OverviewSearch_1_csv[[#This Row],[Date]],Supply_Data___Hourly_DriverActivity_1_csv__3[#All],2,FALSE)</f>
        <v>40</v>
      </c>
      <c r="J377">
        <f>VLOOKUP(Demand_Data___Hourly_OverviewSearch_1_csv[[#This Row],[Date]],Supply_Data___Hourly_DriverActivity_1_csv__3[#All],3,FALSE)</f>
        <v>16</v>
      </c>
      <c r="K377">
        <f>VLOOKUP(Demand_Data___Hourly_OverviewSearch_1_csv[[#This Row],[Date]],Supply_Data___Hourly_DriverActivity_1_csv__3[#All],4,FALSE)</f>
        <v>1</v>
      </c>
      <c r="L377">
        <f>VLOOKUP(Demand_Data___Hourly_OverviewSearch_1_csv[[#This Row],[Date]],Supply_Data___Hourly_DriverActivity_1_csv__3[#All],5,FALSE)</f>
        <v>15</v>
      </c>
      <c r="M377">
        <f>VLOOKUP(Demand_Data___Hourly_OverviewSearch_1_csv[[#This Row],[Date]],Supply_Data___Hourly_DriverActivity_1_csv__3[#All],6,FALSE)</f>
        <v>0.4</v>
      </c>
      <c r="N377">
        <f>VLOOKUP(Demand_Data___Hourly_OverviewSearch_1_csv[[#This Row],[Date]],Supply_Data___Hourly_DriverActivity_1_csv__3[#All],7,FALSE)</f>
        <v>0.06</v>
      </c>
      <c r="O377">
        <f>VLOOKUP(Demand_Data___Hourly_OverviewSearch_1_csv[[#This Row],[Date]],Supply_Data___Hourly_DriverActivity_1_csv__3[#All],8,FALSE)</f>
        <v>1</v>
      </c>
      <c r="P377">
        <f>(Demand_Data___Hourly_OverviewSearch_1_csv[[#This Row],[People saw 0 cars (unique)]]+Demand_Data___Hourly_OverviewSearch_1_csv[[#This Row],[People saw +1 cars (unique)]])</f>
        <v>3</v>
      </c>
      <c r="Q377" s="143">
        <f t="shared" si="23"/>
        <v>15</v>
      </c>
    </row>
    <row r="378" spans="1:17" x14ac:dyDescent="0.3">
      <c r="A378" t="s">
        <v>385</v>
      </c>
      <c r="B378" t="str">
        <f t="shared" si="20"/>
        <v xml:space="preserve"> 06</v>
      </c>
      <c r="C378">
        <f t="shared" si="21"/>
        <v>6</v>
      </c>
      <c r="D378" t="str">
        <f t="shared" si="22"/>
        <v xml:space="preserve">2016-12-03 </v>
      </c>
      <c r="E378" t="str">
        <f>TEXT(Demand_Data___Hourly_OverviewSearch_1_csv[[#This Row],[Day]],"dddd")</f>
        <v>Friday</v>
      </c>
      <c r="F378">
        <v>0</v>
      </c>
      <c r="G378">
        <v>4</v>
      </c>
      <c r="H378">
        <v>100</v>
      </c>
      <c r="I378">
        <f>VLOOKUP(Demand_Data___Hourly_OverviewSearch_1_csv[[#This Row],[Date]],Supply_Data___Hourly_DriverActivity_1_csv__3[#All],2,FALSE)</f>
        <v>43</v>
      </c>
      <c r="J378">
        <f>VLOOKUP(Demand_Data___Hourly_OverviewSearch_1_csv[[#This Row],[Date]],Supply_Data___Hourly_DriverActivity_1_csv__3[#All],3,FALSE)</f>
        <v>19</v>
      </c>
      <c r="K378">
        <f>VLOOKUP(Demand_Data___Hourly_OverviewSearch_1_csv[[#This Row],[Date]],Supply_Data___Hourly_DriverActivity_1_csv__3[#All],4,FALSE)</f>
        <v>0</v>
      </c>
      <c r="L378">
        <f>VLOOKUP(Demand_Data___Hourly_OverviewSearch_1_csv[[#This Row],[Date]],Supply_Data___Hourly_DriverActivity_1_csv__3[#All],5,FALSE)</f>
        <v>19</v>
      </c>
      <c r="M378">
        <f>VLOOKUP(Demand_Data___Hourly_OverviewSearch_1_csv[[#This Row],[Date]],Supply_Data___Hourly_DriverActivity_1_csv__3[#All],6,FALSE)</f>
        <v>0.4</v>
      </c>
      <c r="N378">
        <f>VLOOKUP(Demand_Data___Hourly_OverviewSearch_1_csv[[#This Row],[Date]],Supply_Data___Hourly_DriverActivity_1_csv__3[#All],7,FALSE)</f>
        <v>0.05</v>
      </c>
      <c r="O378">
        <f>VLOOKUP(Demand_Data___Hourly_OverviewSearch_1_csv[[#This Row],[Date]],Supply_Data___Hourly_DriverActivity_1_csv__3[#All],8,FALSE)</f>
        <v>1</v>
      </c>
      <c r="P378">
        <f>(Demand_Data___Hourly_OverviewSearch_1_csv[[#This Row],[People saw 0 cars (unique)]]+Demand_Data___Hourly_OverviewSearch_1_csv[[#This Row],[People saw +1 cars (unique)]])</f>
        <v>4</v>
      </c>
      <c r="Q378" s="143">
        <f t="shared" si="23"/>
        <v>19</v>
      </c>
    </row>
    <row r="379" spans="1:17" x14ac:dyDescent="0.3">
      <c r="A379" t="s">
        <v>386</v>
      </c>
      <c r="B379" t="str">
        <f t="shared" si="20"/>
        <v xml:space="preserve"> 05</v>
      </c>
      <c r="C379">
        <f t="shared" si="21"/>
        <v>6</v>
      </c>
      <c r="D379" t="str">
        <f t="shared" si="22"/>
        <v xml:space="preserve">2016-12-03 </v>
      </c>
      <c r="E379" t="str">
        <f>TEXT(Demand_Data___Hourly_OverviewSearch_1_csv[[#This Row],[Day]],"dddd")</f>
        <v>Friday</v>
      </c>
      <c r="F379">
        <v>1</v>
      </c>
      <c r="G379">
        <v>8</v>
      </c>
      <c r="H379">
        <v>89</v>
      </c>
      <c r="I379">
        <f>VLOOKUP(Demand_Data___Hourly_OverviewSearch_1_csv[[#This Row],[Date]],Supply_Data___Hourly_DriverActivity_1_csv__3[#All],2,FALSE)</f>
        <v>42</v>
      </c>
      <c r="J379">
        <f>VLOOKUP(Demand_Data___Hourly_OverviewSearch_1_csv[[#This Row],[Date]],Supply_Data___Hourly_DriverActivity_1_csv__3[#All],3,FALSE)</f>
        <v>21</v>
      </c>
      <c r="K379">
        <f>VLOOKUP(Demand_Data___Hourly_OverviewSearch_1_csv[[#This Row],[Date]],Supply_Data___Hourly_DriverActivity_1_csv__3[#All],4,FALSE)</f>
        <v>1</v>
      </c>
      <c r="L379">
        <f>VLOOKUP(Demand_Data___Hourly_OverviewSearch_1_csv[[#This Row],[Date]],Supply_Data___Hourly_DriverActivity_1_csv__3[#All],5,FALSE)</f>
        <v>20</v>
      </c>
      <c r="M379">
        <f>VLOOKUP(Demand_Data___Hourly_OverviewSearch_1_csv[[#This Row],[Date]],Supply_Data___Hourly_DriverActivity_1_csv__3[#All],6,FALSE)</f>
        <v>0.5</v>
      </c>
      <c r="N379">
        <f>VLOOKUP(Demand_Data___Hourly_OverviewSearch_1_csv[[#This Row],[Date]],Supply_Data___Hourly_DriverActivity_1_csv__3[#All],7,FALSE)</f>
        <v>0.1</v>
      </c>
      <c r="O379">
        <f>VLOOKUP(Demand_Data___Hourly_OverviewSearch_1_csv[[#This Row],[Date]],Supply_Data___Hourly_DriverActivity_1_csv__3[#All],8,FALSE)</f>
        <v>2</v>
      </c>
      <c r="P379">
        <f>(Demand_Data___Hourly_OverviewSearch_1_csv[[#This Row],[People saw 0 cars (unique)]]+Demand_Data___Hourly_OverviewSearch_1_csv[[#This Row],[People saw +1 cars (unique)]])</f>
        <v>9</v>
      </c>
      <c r="Q379" s="143">
        <f t="shared" si="23"/>
        <v>20</v>
      </c>
    </row>
    <row r="380" spans="1:17" x14ac:dyDescent="0.3">
      <c r="A380" t="s">
        <v>387</v>
      </c>
      <c r="B380" t="str">
        <f t="shared" si="20"/>
        <v xml:space="preserve"> 04</v>
      </c>
      <c r="C380">
        <f t="shared" si="21"/>
        <v>6</v>
      </c>
      <c r="D380" t="str">
        <f t="shared" si="22"/>
        <v xml:space="preserve">2016-12-03 </v>
      </c>
      <c r="E380" t="str">
        <f>TEXT(Demand_Data___Hourly_OverviewSearch_1_csv[[#This Row],[Day]],"dddd")</f>
        <v>Friday</v>
      </c>
      <c r="F380">
        <v>1</v>
      </c>
      <c r="G380">
        <v>12</v>
      </c>
      <c r="H380">
        <v>92</v>
      </c>
      <c r="I380">
        <f>VLOOKUP(Demand_Data___Hourly_OverviewSearch_1_csv[[#This Row],[Date]],Supply_Data___Hourly_DriverActivity_1_csv__3[#All],2,FALSE)</f>
        <v>43</v>
      </c>
      <c r="J380">
        <f>VLOOKUP(Demand_Data___Hourly_OverviewSearch_1_csv[[#This Row],[Date]],Supply_Data___Hourly_DriverActivity_1_csv__3[#All],3,FALSE)</f>
        <v>20</v>
      </c>
      <c r="K380">
        <f>VLOOKUP(Demand_Data___Hourly_OverviewSearch_1_csv[[#This Row],[Date]],Supply_Data___Hourly_DriverActivity_1_csv__3[#All],4,FALSE)</f>
        <v>2</v>
      </c>
      <c r="L380">
        <f>VLOOKUP(Demand_Data___Hourly_OverviewSearch_1_csv[[#This Row],[Date]],Supply_Data___Hourly_DriverActivity_1_csv__3[#All],5,FALSE)</f>
        <v>18</v>
      </c>
      <c r="M380">
        <f>VLOOKUP(Demand_Data___Hourly_OverviewSearch_1_csv[[#This Row],[Date]],Supply_Data___Hourly_DriverActivity_1_csv__3[#All],6,FALSE)</f>
        <v>0.5</v>
      </c>
      <c r="N380">
        <f>VLOOKUP(Demand_Data___Hourly_OverviewSearch_1_csv[[#This Row],[Date]],Supply_Data___Hourly_DriverActivity_1_csv__3[#All],7,FALSE)</f>
        <v>0.35</v>
      </c>
      <c r="O380">
        <f>VLOOKUP(Demand_Data___Hourly_OverviewSearch_1_csv[[#This Row],[Date]],Supply_Data___Hourly_DriverActivity_1_csv__3[#All],8,FALSE)</f>
        <v>7</v>
      </c>
      <c r="P380">
        <f>(Demand_Data___Hourly_OverviewSearch_1_csv[[#This Row],[People saw 0 cars (unique)]]+Demand_Data___Hourly_OverviewSearch_1_csv[[#This Row],[People saw +1 cars (unique)]])</f>
        <v>13</v>
      </c>
      <c r="Q380" s="143">
        <f t="shared" si="23"/>
        <v>18</v>
      </c>
    </row>
    <row r="381" spans="1:17" x14ac:dyDescent="0.3">
      <c r="A381" t="s">
        <v>388</v>
      </c>
      <c r="B381" t="str">
        <f t="shared" si="20"/>
        <v xml:space="preserve"> 03</v>
      </c>
      <c r="C381">
        <f t="shared" si="21"/>
        <v>6</v>
      </c>
      <c r="D381" t="str">
        <f t="shared" si="22"/>
        <v xml:space="preserve">2016-12-03 </v>
      </c>
      <c r="E381" t="str">
        <f>TEXT(Demand_Data___Hourly_OverviewSearch_1_csv[[#This Row],[Day]],"dddd")</f>
        <v>Friday</v>
      </c>
      <c r="F381">
        <v>1</v>
      </c>
      <c r="G381">
        <v>19</v>
      </c>
      <c r="H381">
        <v>95</v>
      </c>
      <c r="I381">
        <f>VLOOKUP(Demand_Data___Hourly_OverviewSearch_1_csv[[#This Row],[Date]],Supply_Data___Hourly_DriverActivity_1_csv__3[#All],2,FALSE)</f>
        <v>53</v>
      </c>
      <c r="J381">
        <f>VLOOKUP(Demand_Data___Hourly_OverviewSearch_1_csv[[#This Row],[Date]],Supply_Data___Hourly_DriverActivity_1_csv__3[#All],3,FALSE)</f>
        <v>23</v>
      </c>
      <c r="K381">
        <f>VLOOKUP(Demand_Data___Hourly_OverviewSearch_1_csv[[#This Row],[Date]],Supply_Data___Hourly_DriverActivity_1_csv__3[#All],4,FALSE)</f>
        <v>2</v>
      </c>
      <c r="L381">
        <f>VLOOKUP(Demand_Data___Hourly_OverviewSearch_1_csv[[#This Row],[Date]],Supply_Data___Hourly_DriverActivity_1_csv__3[#All],5,FALSE)</f>
        <v>21</v>
      </c>
      <c r="M381">
        <f>VLOOKUP(Demand_Data___Hourly_OverviewSearch_1_csv[[#This Row],[Date]],Supply_Data___Hourly_DriverActivity_1_csv__3[#All],6,FALSE)</f>
        <v>0.4</v>
      </c>
      <c r="N381">
        <f>VLOOKUP(Demand_Data___Hourly_OverviewSearch_1_csv[[#This Row],[Date]],Supply_Data___Hourly_DriverActivity_1_csv__3[#All],7,FALSE)</f>
        <v>0.3</v>
      </c>
      <c r="O381">
        <f>VLOOKUP(Demand_Data___Hourly_OverviewSearch_1_csv[[#This Row],[Date]],Supply_Data___Hourly_DriverActivity_1_csv__3[#All],8,FALSE)</f>
        <v>7</v>
      </c>
      <c r="P381">
        <f>(Demand_Data___Hourly_OverviewSearch_1_csv[[#This Row],[People saw 0 cars (unique)]]+Demand_Data___Hourly_OverviewSearch_1_csv[[#This Row],[People saw +1 cars (unique)]])</f>
        <v>20</v>
      </c>
      <c r="Q381" s="143">
        <f t="shared" si="23"/>
        <v>21</v>
      </c>
    </row>
    <row r="382" spans="1:17" x14ac:dyDescent="0.3">
      <c r="A382" t="s">
        <v>389</v>
      </c>
      <c r="B382" t="str">
        <f t="shared" si="20"/>
        <v xml:space="preserve"> 02</v>
      </c>
      <c r="C382">
        <f t="shared" si="21"/>
        <v>6</v>
      </c>
      <c r="D382" t="str">
        <f t="shared" si="22"/>
        <v xml:space="preserve">2016-12-03 </v>
      </c>
      <c r="E382" t="str">
        <f>TEXT(Demand_Data___Hourly_OverviewSearch_1_csv[[#This Row],[Day]],"dddd")</f>
        <v>Friday</v>
      </c>
      <c r="F382">
        <v>0</v>
      </c>
      <c r="G382">
        <v>14</v>
      </c>
      <c r="H382">
        <v>100</v>
      </c>
      <c r="I382">
        <f>VLOOKUP(Demand_Data___Hourly_OverviewSearch_1_csv[[#This Row],[Date]],Supply_Data___Hourly_DriverActivity_1_csv__3[#All],2,FALSE)</f>
        <v>59</v>
      </c>
      <c r="J382">
        <f>VLOOKUP(Demand_Data___Hourly_OverviewSearch_1_csv[[#This Row],[Date]],Supply_Data___Hourly_DriverActivity_1_csv__3[#All],3,FALSE)</f>
        <v>31</v>
      </c>
      <c r="K382">
        <f>VLOOKUP(Demand_Data___Hourly_OverviewSearch_1_csv[[#This Row],[Date]],Supply_Data___Hourly_DriverActivity_1_csv__3[#All],4,FALSE)</f>
        <v>2</v>
      </c>
      <c r="L382">
        <f>VLOOKUP(Demand_Data___Hourly_OverviewSearch_1_csv[[#This Row],[Date]],Supply_Data___Hourly_DriverActivity_1_csv__3[#All],5,FALSE)</f>
        <v>29</v>
      </c>
      <c r="M382">
        <f>VLOOKUP(Demand_Data___Hourly_OverviewSearch_1_csv[[#This Row],[Date]],Supply_Data___Hourly_DriverActivity_1_csv__3[#All],6,FALSE)</f>
        <v>0.5</v>
      </c>
      <c r="N382">
        <f>VLOOKUP(Demand_Data___Hourly_OverviewSearch_1_csv[[#This Row],[Date]],Supply_Data___Hourly_DriverActivity_1_csv__3[#All],7,FALSE)</f>
        <v>0.19</v>
      </c>
      <c r="O382">
        <f>VLOOKUP(Demand_Data___Hourly_OverviewSearch_1_csv[[#This Row],[Date]],Supply_Data___Hourly_DriverActivity_1_csv__3[#All],8,FALSE)</f>
        <v>6</v>
      </c>
      <c r="P382">
        <f>(Demand_Data___Hourly_OverviewSearch_1_csv[[#This Row],[People saw 0 cars (unique)]]+Demand_Data___Hourly_OverviewSearch_1_csv[[#This Row],[People saw +1 cars (unique)]])</f>
        <v>14</v>
      </c>
      <c r="Q382" s="143">
        <f t="shared" si="23"/>
        <v>29</v>
      </c>
    </row>
    <row r="383" spans="1:17" x14ac:dyDescent="0.3">
      <c r="A383" t="s">
        <v>390</v>
      </c>
      <c r="B383" t="str">
        <f t="shared" si="20"/>
        <v xml:space="preserve"> 01</v>
      </c>
      <c r="C383">
        <f t="shared" si="21"/>
        <v>6</v>
      </c>
      <c r="D383" t="str">
        <f t="shared" si="22"/>
        <v xml:space="preserve">2016-12-03 </v>
      </c>
      <c r="E383" t="str">
        <f>TEXT(Demand_Data___Hourly_OverviewSearch_1_csv[[#This Row],[Day]],"dddd")</f>
        <v>Friday</v>
      </c>
      <c r="F383">
        <v>3</v>
      </c>
      <c r="G383">
        <v>26</v>
      </c>
      <c r="H383">
        <v>90</v>
      </c>
      <c r="I383">
        <f>VLOOKUP(Demand_Data___Hourly_OverviewSearch_1_csv[[#This Row],[Date]],Supply_Data___Hourly_DriverActivity_1_csv__3[#All],2,FALSE)</f>
        <v>68</v>
      </c>
      <c r="J383">
        <f>VLOOKUP(Demand_Data___Hourly_OverviewSearch_1_csv[[#This Row],[Date]],Supply_Data___Hourly_DriverActivity_1_csv__3[#All],3,FALSE)</f>
        <v>30</v>
      </c>
      <c r="K383">
        <f>VLOOKUP(Demand_Data___Hourly_OverviewSearch_1_csv[[#This Row],[Date]],Supply_Data___Hourly_DriverActivity_1_csv__3[#All],4,FALSE)</f>
        <v>3</v>
      </c>
      <c r="L383">
        <f>VLOOKUP(Demand_Data___Hourly_OverviewSearch_1_csv[[#This Row],[Date]],Supply_Data___Hourly_DriverActivity_1_csv__3[#All],5,FALSE)</f>
        <v>27</v>
      </c>
      <c r="M383">
        <f>VLOOKUP(Demand_Data___Hourly_OverviewSearch_1_csv[[#This Row],[Date]],Supply_Data___Hourly_DriverActivity_1_csv__3[#All],6,FALSE)</f>
        <v>0.4</v>
      </c>
      <c r="N383">
        <f>VLOOKUP(Demand_Data___Hourly_OverviewSearch_1_csv[[#This Row],[Date]],Supply_Data___Hourly_DriverActivity_1_csv__3[#All],7,FALSE)</f>
        <v>0.27</v>
      </c>
      <c r="O383">
        <f>VLOOKUP(Demand_Data___Hourly_OverviewSearch_1_csv[[#This Row],[Date]],Supply_Data___Hourly_DriverActivity_1_csv__3[#All],8,FALSE)</f>
        <v>8</v>
      </c>
      <c r="P383">
        <f>(Demand_Data___Hourly_OverviewSearch_1_csv[[#This Row],[People saw 0 cars (unique)]]+Demand_Data___Hourly_OverviewSearch_1_csv[[#This Row],[People saw +1 cars (unique)]])</f>
        <v>29</v>
      </c>
      <c r="Q383" s="143">
        <f t="shared" si="23"/>
        <v>27</v>
      </c>
    </row>
    <row r="384" spans="1:17" x14ac:dyDescent="0.3">
      <c r="A384" t="s">
        <v>391</v>
      </c>
      <c r="B384" t="str">
        <f t="shared" si="20"/>
        <v xml:space="preserve"> 00</v>
      </c>
      <c r="C384">
        <f t="shared" si="21"/>
        <v>6</v>
      </c>
      <c r="D384" t="str">
        <f t="shared" si="22"/>
        <v xml:space="preserve">2016-12-03 </v>
      </c>
      <c r="E384" t="str">
        <f>TEXT(Demand_Data___Hourly_OverviewSearch_1_csv[[#This Row],[Day]],"dddd")</f>
        <v>Friday</v>
      </c>
      <c r="F384">
        <v>0</v>
      </c>
      <c r="G384">
        <v>29</v>
      </c>
      <c r="H384">
        <v>100</v>
      </c>
      <c r="I384">
        <f>VLOOKUP(Demand_Data___Hourly_OverviewSearch_1_csv[[#This Row],[Date]],Supply_Data___Hourly_DriverActivity_1_csv__3[#All],2,FALSE)</f>
        <v>73</v>
      </c>
      <c r="J384">
        <f>VLOOKUP(Demand_Data___Hourly_OverviewSearch_1_csv[[#This Row],[Date]],Supply_Data___Hourly_DriverActivity_1_csv__3[#All],3,FALSE)</f>
        <v>30</v>
      </c>
      <c r="K384">
        <f>VLOOKUP(Demand_Data___Hourly_OverviewSearch_1_csv[[#This Row],[Date]],Supply_Data___Hourly_DriverActivity_1_csv__3[#All],4,FALSE)</f>
        <v>3</v>
      </c>
      <c r="L384">
        <f>VLOOKUP(Demand_Data___Hourly_OverviewSearch_1_csv[[#This Row],[Date]],Supply_Data___Hourly_DriverActivity_1_csv__3[#All],5,FALSE)</f>
        <v>26</v>
      </c>
      <c r="M384">
        <f>VLOOKUP(Demand_Data___Hourly_OverviewSearch_1_csv[[#This Row],[Date]],Supply_Data___Hourly_DriverActivity_1_csv__3[#All],6,FALSE)</f>
        <v>0.4</v>
      </c>
      <c r="N384">
        <f>VLOOKUP(Demand_Data___Hourly_OverviewSearch_1_csv[[#This Row],[Date]],Supply_Data___Hourly_DriverActivity_1_csv__3[#All],7,FALSE)</f>
        <v>0.2</v>
      </c>
      <c r="O384">
        <f>VLOOKUP(Demand_Data___Hourly_OverviewSearch_1_csv[[#This Row],[Date]],Supply_Data___Hourly_DriverActivity_1_csv__3[#All],8,FALSE)</f>
        <v>6</v>
      </c>
      <c r="P384">
        <f>(Demand_Data___Hourly_OverviewSearch_1_csv[[#This Row],[People saw 0 cars (unique)]]+Demand_Data___Hourly_OverviewSearch_1_csv[[#This Row],[People saw +1 cars (unique)]])</f>
        <v>29</v>
      </c>
      <c r="Q384" s="143">
        <f t="shared" si="23"/>
        <v>27</v>
      </c>
    </row>
    <row r="385" spans="1:17" x14ac:dyDescent="0.3">
      <c r="A385" t="s">
        <v>392</v>
      </c>
      <c r="B385" t="str">
        <f t="shared" si="20"/>
        <v xml:space="preserve"> 23</v>
      </c>
      <c r="C385">
        <f t="shared" si="21"/>
        <v>5</v>
      </c>
      <c r="D385" t="str">
        <f t="shared" si="22"/>
        <v xml:space="preserve">2016-12-02 </v>
      </c>
      <c r="E385" t="str">
        <f>TEXT(Demand_Data___Hourly_OverviewSearch_1_csv[[#This Row],[Day]],"dddd")</f>
        <v>Thursday</v>
      </c>
      <c r="F385">
        <v>5</v>
      </c>
      <c r="G385">
        <v>31</v>
      </c>
      <c r="H385">
        <v>86</v>
      </c>
      <c r="I385">
        <f>VLOOKUP(Demand_Data___Hourly_OverviewSearch_1_csv[[#This Row],[Date]],Supply_Data___Hourly_DriverActivity_1_csv__3[#All],2,FALSE)</f>
        <v>86</v>
      </c>
      <c r="J385">
        <f>VLOOKUP(Demand_Data___Hourly_OverviewSearch_1_csv[[#This Row],[Date]],Supply_Data___Hourly_DriverActivity_1_csv__3[#All],3,FALSE)</f>
        <v>35</v>
      </c>
      <c r="K385">
        <f>VLOOKUP(Demand_Data___Hourly_OverviewSearch_1_csv[[#This Row],[Date]],Supply_Data___Hourly_DriverActivity_1_csv__3[#All],4,FALSE)</f>
        <v>3</v>
      </c>
      <c r="L385">
        <f>VLOOKUP(Demand_Data___Hourly_OverviewSearch_1_csv[[#This Row],[Date]],Supply_Data___Hourly_DriverActivity_1_csv__3[#All],5,FALSE)</f>
        <v>31</v>
      </c>
      <c r="M385">
        <f>VLOOKUP(Demand_Data___Hourly_OverviewSearch_1_csv[[#This Row],[Date]],Supply_Data___Hourly_DriverActivity_1_csv__3[#All],6,FALSE)</f>
        <v>0.4</v>
      </c>
      <c r="N385">
        <f>VLOOKUP(Demand_Data___Hourly_OverviewSearch_1_csv[[#This Row],[Date]],Supply_Data___Hourly_DriverActivity_1_csv__3[#All],7,FALSE)</f>
        <v>0.28999999999999998</v>
      </c>
      <c r="O385">
        <f>VLOOKUP(Demand_Data___Hourly_OverviewSearch_1_csv[[#This Row],[Date]],Supply_Data___Hourly_DriverActivity_1_csv__3[#All],8,FALSE)</f>
        <v>10</v>
      </c>
      <c r="P385">
        <f>(Demand_Data___Hourly_OverviewSearch_1_csv[[#This Row],[People saw 0 cars (unique)]]+Demand_Data___Hourly_OverviewSearch_1_csv[[#This Row],[People saw +1 cars (unique)]])</f>
        <v>36</v>
      </c>
      <c r="Q385" s="143">
        <f t="shared" si="23"/>
        <v>32</v>
      </c>
    </row>
    <row r="386" spans="1:17" x14ac:dyDescent="0.3">
      <c r="A386" t="s">
        <v>393</v>
      </c>
      <c r="B386" t="str">
        <f t="shared" ref="B386:B449" si="24">RIGHT(A386,3)</f>
        <v xml:space="preserve"> 22</v>
      </c>
      <c r="C386">
        <f t="shared" ref="C386:C449" si="25">WEEKDAY(DATEVALUE(LEFT(A386,FIND(" ",A386))),2)</f>
        <v>5</v>
      </c>
      <c r="D386" t="str">
        <f t="shared" ref="D386:D449" si="26">LEFT(A386,11)</f>
        <v xml:space="preserve">2016-12-02 </v>
      </c>
      <c r="E386" t="str">
        <f>TEXT(Demand_Data___Hourly_OverviewSearch_1_csv[[#This Row],[Day]],"dddd")</f>
        <v>Thursday</v>
      </c>
      <c r="F386">
        <v>2</v>
      </c>
      <c r="G386">
        <v>27</v>
      </c>
      <c r="H386">
        <v>93</v>
      </c>
      <c r="I386">
        <f>VLOOKUP(Demand_Data___Hourly_OverviewSearch_1_csv[[#This Row],[Date]],Supply_Data___Hourly_DriverActivity_1_csv__3[#All],2,FALSE)</f>
        <v>101</v>
      </c>
      <c r="J386">
        <f>VLOOKUP(Demand_Data___Hourly_OverviewSearch_1_csv[[#This Row],[Date]],Supply_Data___Hourly_DriverActivity_1_csv__3[#All],3,FALSE)</f>
        <v>46</v>
      </c>
      <c r="K386">
        <f>VLOOKUP(Demand_Data___Hourly_OverviewSearch_1_csv[[#This Row],[Date]],Supply_Data___Hourly_DriverActivity_1_csv__3[#All],4,FALSE)</f>
        <v>3</v>
      </c>
      <c r="L386">
        <f>VLOOKUP(Demand_Data___Hourly_OverviewSearch_1_csv[[#This Row],[Date]],Supply_Data___Hourly_DriverActivity_1_csv__3[#All],5,FALSE)</f>
        <v>43</v>
      </c>
      <c r="M386">
        <f>VLOOKUP(Demand_Data___Hourly_OverviewSearch_1_csv[[#This Row],[Date]],Supply_Data___Hourly_DriverActivity_1_csv__3[#All],6,FALSE)</f>
        <v>0.5</v>
      </c>
      <c r="N386">
        <f>VLOOKUP(Demand_Data___Hourly_OverviewSearch_1_csv[[#This Row],[Date]],Supply_Data___Hourly_DriverActivity_1_csv__3[#All],7,FALSE)</f>
        <v>0.22</v>
      </c>
      <c r="O386">
        <f>VLOOKUP(Demand_Data___Hourly_OverviewSearch_1_csv[[#This Row],[Date]],Supply_Data___Hourly_DriverActivity_1_csv__3[#All],8,FALSE)</f>
        <v>10</v>
      </c>
      <c r="P386">
        <f>(Demand_Data___Hourly_OverviewSearch_1_csv[[#This Row],[People saw 0 cars (unique)]]+Demand_Data___Hourly_OverviewSearch_1_csv[[#This Row],[People saw +1 cars (unique)]])</f>
        <v>29</v>
      </c>
      <c r="Q386" s="143">
        <f t="shared" ref="Q386:Q449" si="27">(J386-K386)</f>
        <v>43</v>
      </c>
    </row>
    <row r="387" spans="1:17" x14ac:dyDescent="0.3">
      <c r="A387" t="s">
        <v>394</v>
      </c>
      <c r="B387" t="str">
        <f t="shared" si="24"/>
        <v xml:space="preserve"> 21</v>
      </c>
      <c r="C387">
        <f t="shared" si="25"/>
        <v>5</v>
      </c>
      <c r="D387" t="str">
        <f t="shared" si="26"/>
        <v xml:space="preserve">2016-12-02 </v>
      </c>
      <c r="E387" t="str">
        <f>TEXT(Demand_Data___Hourly_OverviewSearch_1_csv[[#This Row],[Day]],"dddd")</f>
        <v>Thursday</v>
      </c>
      <c r="F387">
        <v>1</v>
      </c>
      <c r="G387">
        <v>26</v>
      </c>
      <c r="H387">
        <v>96</v>
      </c>
      <c r="I387">
        <f>VLOOKUP(Demand_Data___Hourly_OverviewSearch_1_csv[[#This Row],[Date]],Supply_Data___Hourly_DriverActivity_1_csv__3[#All],2,FALSE)</f>
        <v>113</v>
      </c>
      <c r="J387">
        <f>VLOOKUP(Demand_Data___Hourly_OverviewSearch_1_csv[[#This Row],[Date]],Supply_Data___Hourly_DriverActivity_1_csv__3[#All],3,FALSE)</f>
        <v>47</v>
      </c>
      <c r="K387">
        <f>VLOOKUP(Demand_Data___Hourly_OverviewSearch_1_csv[[#This Row],[Date]],Supply_Data___Hourly_DriverActivity_1_csv__3[#All],4,FALSE)</f>
        <v>3</v>
      </c>
      <c r="L387">
        <f>VLOOKUP(Demand_Data___Hourly_OverviewSearch_1_csv[[#This Row],[Date]],Supply_Data___Hourly_DriverActivity_1_csv__3[#All],5,FALSE)</f>
        <v>45</v>
      </c>
      <c r="M387">
        <f>VLOOKUP(Demand_Data___Hourly_OverviewSearch_1_csv[[#This Row],[Date]],Supply_Data___Hourly_DriverActivity_1_csv__3[#All],6,FALSE)</f>
        <v>0.4</v>
      </c>
      <c r="N387">
        <f>VLOOKUP(Demand_Data___Hourly_OverviewSearch_1_csv[[#This Row],[Date]],Supply_Data___Hourly_DriverActivity_1_csv__3[#All],7,FALSE)</f>
        <v>0.15</v>
      </c>
      <c r="O387">
        <f>VLOOKUP(Demand_Data___Hourly_OverviewSearch_1_csv[[#This Row],[Date]],Supply_Data___Hourly_DriverActivity_1_csv__3[#All],8,FALSE)</f>
        <v>7</v>
      </c>
      <c r="P387">
        <f>(Demand_Data___Hourly_OverviewSearch_1_csv[[#This Row],[People saw 0 cars (unique)]]+Demand_Data___Hourly_OverviewSearch_1_csv[[#This Row],[People saw +1 cars (unique)]])</f>
        <v>27</v>
      </c>
      <c r="Q387" s="143">
        <f t="shared" si="27"/>
        <v>44</v>
      </c>
    </row>
    <row r="388" spans="1:17" x14ac:dyDescent="0.3">
      <c r="A388" t="s">
        <v>395</v>
      </c>
      <c r="B388" t="str">
        <f t="shared" si="24"/>
        <v xml:space="preserve"> 20</v>
      </c>
      <c r="C388">
        <f t="shared" si="25"/>
        <v>5</v>
      </c>
      <c r="D388" t="str">
        <f t="shared" si="26"/>
        <v xml:space="preserve">2016-12-02 </v>
      </c>
      <c r="E388" t="str">
        <f>TEXT(Demand_Data___Hourly_OverviewSearch_1_csv[[#This Row],[Day]],"dddd")</f>
        <v>Thursday</v>
      </c>
      <c r="F388">
        <v>3</v>
      </c>
      <c r="G388">
        <v>33</v>
      </c>
      <c r="H388">
        <v>92</v>
      </c>
      <c r="I388">
        <f>VLOOKUP(Demand_Data___Hourly_OverviewSearch_1_csv[[#This Row],[Date]],Supply_Data___Hourly_DriverActivity_1_csv__3[#All],2,FALSE)</f>
        <v>110</v>
      </c>
      <c r="J388">
        <f>VLOOKUP(Demand_Data___Hourly_OverviewSearch_1_csv[[#This Row],[Date]],Supply_Data___Hourly_DriverActivity_1_csv__3[#All],3,FALSE)</f>
        <v>46</v>
      </c>
      <c r="K388">
        <f>VLOOKUP(Demand_Data___Hourly_OverviewSearch_1_csv[[#This Row],[Date]],Supply_Data___Hourly_DriverActivity_1_csv__3[#All],4,FALSE)</f>
        <v>4</v>
      </c>
      <c r="L388">
        <f>VLOOKUP(Demand_Data___Hourly_OverviewSearch_1_csv[[#This Row],[Date]],Supply_Data___Hourly_DriverActivity_1_csv__3[#All],5,FALSE)</f>
        <v>42</v>
      </c>
      <c r="M388">
        <f>VLOOKUP(Demand_Data___Hourly_OverviewSearch_1_csv[[#This Row],[Date]],Supply_Data___Hourly_DriverActivity_1_csv__3[#All],6,FALSE)</f>
        <v>0.4</v>
      </c>
      <c r="N388">
        <f>VLOOKUP(Demand_Data___Hourly_OverviewSearch_1_csv[[#This Row],[Date]],Supply_Data___Hourly_DriverActivity_1_csv__3[#All],7,FALSE)</f>
        <v>0.22</v>
      </c>
      <c r="O388">
        <f>VLOOKUP(Demand_Data___Hourly_OverviewSearch_1_csv[[#This Row],[Date]],Supply_Data___Hourly_DriverActivity_1_csv__3[#All],8,FALSE)</f>
        <v>10</v>
      </c>
      <c r="P388">
        <f>(Demand_Data___Hourly_OverviewSearch_1_csv[[#This Row],[People saw 0 cars (unique)]]+Demand_Data___Hourly_OverviewSearch_1_csv[[#This Row],[People saw +1 cars (unique)]])</f>
        <v>36</v>
      </c>
      <c r="Q388" s="143">
        <f t="shared" si="27"/>
        <v>42</v>
      </c>
    </row>
    <row r="389" spans="1:17" x14ac:dyDescent="0.3">
      <c r="A389" t="s">
        <v>396</v>
      </c>
      <c r="B389" t="str">
        <f t="shared" si="24"/>
        <v xml:space="preserve"> 19</v>
      </c>
      <c r="C389">
        <f t="shared" si="25"/>
        <v>5</v>
      </c>
      <c r="D389" t="str">
        <f t="shared" si="26"/>
        <v xml:space="preserve">2016-12-02 </v>
      </c>
      <c r="E389" t="str">
        <f>TEXT(Demand_Data___Hourly_OverviewSearch_1_csv[[#This Row],[Day]],"dddd")</f>
        <v>Thursday</v>
      </c>
      <c r="F389">
        <v>3</v>
      </c>
      <c r="G389">
        <v>36</v>
      </c>
      <c r="H389">
        <v>92</v>
      </c>
      <c r="I389">
        <f>VLOOKUP(Demand_Data___Hourly_OverviewSearch_1_csv[[#This Row],[Date]],Supply_Data___Hourly_DriverActivity_1_csv__3[#All],2,FALSE)</f>
        <v>114</v>
      </c>
      <c r="J389">
        <f>VLOOKUP(Demand_Data___Hourly_OverviewSearch_1_csv[[#This Row],[Date]],Supply_Data___Hourly_DriverActivity_1_csv__3[#All],3,FALSE)</f>
        <v>52</v>
      </c>
      <c r="K389">
        <f>VLOOKUP(Demand_Data___Hourly_OverviewSearch_1_csv[[#This Row],[Date]],Supply_Data___Hourly_DriverActivity_1_csv__3[#All],4,FALSE)</f>
        <v>6</v>
      </c>
      <c r="L389">
        <f>VLOOKUP(Demand_Data___Hourly_OverviewSearch_1_csv[[#This Row],[Date]],Supply_Data___Hourly_DriverActivity_1_csv__3[#All],5,FALSE)</f>
        <v>47</v>
      </c>
      <c r="M389">
        <f>VLOOKUP(Demand_Data___Hourly_OverviewSearch_1_csv[[#This Row],[Date]],Supply_Data___Hourly_DriverActivity_1_csv__3[#All],6,FALSE)</f>
        <v>0.5</v>
      </c>
      <c r="N389">
        <f>VLOOKUP(Demand_Data___Hourly_OverviewSearch_1_csv[[#This Row],[Date]],Supply_Data___Hourly_DriverActivity_1_csv__3[#All],7,FALSE)</f>
        <v>0.27</v>
      </c>
      <c r="O389">
        <f>VLOOKUP(Demand_Data___Hourly_OverviewSearch_1_csv[[#This Row],[Date]],Supply_Data___Hourly_DriverActivity_1_csv__3[#All],8,FALSE)</f>
        <v>14</v>
      </c>
      <c r="P389">
        <f>(Demand_Data___Hourly_OverviewSearch_1_csv[[#This Row],[People saw 0 cars (unique)]]+Demand_Data___Hourly_OverviewSearch_1_csv[[#This Row],[People saw +1 cars (unique)]])</f>
        <v>39</v>
      </c>
      <c r="Q389" s="143">
        <f t="shared" si="27"/>
        <v>46</v>
      </c>
    </row>
    <row r="390" spans="1:17" x14ac:dyDescent="0.3">
      <c r="A390" t="s">
        <v>397</v>
      </c>
      <c r="B390" t="str">
        <f t="shared" si="24"/>
        <v xml:space="preserve"> 18</v>
      </c>
      <c r="C390">
        <f t="shared" si="25"/>
        <v>5</v>
      </c>
      <c r="D390" t="str">
        <f t="shared" si="26"/>
        <v xml:space="preserve">2016-12-02 </v>
      </c>
      <c r="E390" t="str">
        <f>TEXT(Demand_Data___Hourly_OverviewSearch_1_csv[[#This Row],[Day]],"dddd")</f>
        <v>Thursday</v>
      </c>
      <c r="F390">
        <v>1</v>
      </c>
      <c r="G390">
        <v>33</v>
      </c>
      <c r="H390">
        <v>97</v>
      </c>
      <c r="I390">
        <f>VLOOKUP(Demand_Data___Hourly_OverviewSearch_1_csv[[#This Row],[Date]],Supply_Data___Hourly_DriverActivity_1_csv__3[#All],2,FALSE)</f>
        <v>106</v>
      </c>
      <c r="J390">
        <f>VLOOKUP(Demand_Data___Hourly_OverviewSearch_1_csv[[#This Row],[Date]],Supply_Data___Hourly_DriverActivity_1_csv__3[#All],3,FALSE)</f>
        <v>48</v>
      </c>
      <c r="K390">
        <f>VLOOKUP(Demand_Data___Hourly_OverviewSearch_1_csv[[#This Row],[Date]],Supply_Data___Hourly_DriverActivity_1_csv__3[#All],4,FALSE)</f>
        <v>5</v>
      </c>
      <c r="L390">
        <f>VLOOKUP(Demand_Data___Hourly_OverviewSearch_1_csv[[#This Row],[Date]],Supply_Data___Hourly_DriverActivity_1_csv__3[#All],5,FALSE)</f>
        <v>44</v>
      </c>
      <c r="M390">
        <f>VLOOKUP(Demand_Data___Hourly_OverviewSearch_1_csv[[#This Row],[Date]],Supply_Data___Hourly_DriverActivity_1_csv__3[#All],6,FALSE)</f>
        <v>0.5</v>
      </c>
      <c r="N390">
        <f>VLOOKUP(Demand_Data___Hourly_OverviewSearch_1_csv[[#This Row],[Date]],Supply_Data___Hourly_DriverActivity_1_csv__3[#All],7,FALSE)</f>
        <v>0.21</v>
      </c>
      <c r="O390">
        <f>VLOOKUP(Demand_Data___Hourly_OverviewSearch_1_csv[[#This Row],[Date]],Supply_Data___Hourly_DriverActivity_1_csv__3[#All],8,FALSE)</f>
        <v>10</v>
      </c>
      <c r="P390">
        <f>(Demand_Data___Hourly_OverviewSearch_1_csv[[#This Row],[People saw 0 cars (unique)]]+Demand_Data___Hourly_OverviewSearch_1_csv[[#This Row],[People saw +1 cars (unique)]])</f>
        <v>34</v>
      </c>
      <c r="Q390" s="143">
        <f t="shared" si="27"/>
        <v>43</v>
      </c>
    </row>
    <row r="391" spans="1:17" x14ac:dyDescent="0.3">
      <c r="A391" t="s">
        <v>398</v>
      </c>
      <c r="B391" t="str">
        <f t="shared" si="24"/>
        <v xml:space="preserve"> 17</v>
      </c>
      <c r="C391">
        <f t="shared" si="25"/>
        <v>5</v>
      </c>
      <c r="D391" t="str">
        <f t="shared" si="26"/>
        <v xml:space="preserve">2016-12-02 </v>
      </c>
      <c r="E391" t="str">
        <f>TEXT(Demand_Data___Hourly_OverviewSearch_1_csv[[#This Row],[Day]],"dddd")</f>
        <v>Thursday</v>
      </c>
      <c r="F391">
        <v>2</v>
      </c>
      <c r="G391">
        <v>34</v>
      </c>
      <c r="H391">
        <v>94</v>
      </c>
      <c r="I391">
        <f>VLOOKUP(Demand_Data___Hourly_OverviewSearch_1_csv[[#This Row],[Date]],Supply_Data___Hourly_DriverActivity_1_csv__3[#All],2,FALSE)</f>
        <v>100</v>
      </c>
      <c r="J391">
        <f>VLOOKUP(Demand_Data___Hourly_OverviewSearch_1_csv[[#This Row],[Date]],Supply_Data___Hourly_DriverActivity_1_csv__3[#All],3,FALSE)</f>
        <v>50</v>
      </c>
      <c r="K391">
        <f>VLOOKUP(Demand_Data___Hourly_OverviewSearch_1_csv[[#This Row],[Date]],Supply_Data___Hourly_DriverActivity_1_csv__3[#All],4,FALSE)</f>
        <v>4</v>
      </c>
      <c r="L391">
        <f>VLOOKUP(Demand_Data___Hourly_OverviewSearch_1_csv[[#This Row],[Date]],Supply_Data___Hourly_DriverActivity_1_csv__3[#All],5,FALSE)</f>
        <v>45</v>
      </c>
      <c r="M391">
        <f>VLOOKUP(Demand_Data___Hourly_OverviewSearch_1_csv[[#This Row],[Date]],Supply_Data___Hourly_DriverActivity_1_csv__3[#All],6,FALSE)</f>
        <v>0.5</v>
      </c>
      <c r="N391">
        <f>VLOOKUP(Demand_Data___Hourly_OverviewSearch_1_csv[[#This Row],[Date]],Supply_Data___Hourly_DriverActivity_1_csv__3[#All],7,FALSE)</f>
        <v>0.24</v>
      </c>
      <c r="O391">
        <f>VLOOKUP(Demand_Data___Hourly_OverviewSearch_1_csv[[#This Row],[Date]],Supply_Data___Hourly_DriverActivity_1_csv__3[#All],8,FALSE)</f>
        <v>12</v>
      </c>
      <c r="P391">
        <f>(Demand_Data___Hourly_OverviewSearch_1_csv[[#This Row],[People saw 0 cars (unique)]]+Demand_Data___Hourly_OverviewSearch_1_csv[[#This Row],[People saw +1 cars (unique)]])</f>
        <v>36</v>
      </c>
      <c r="Q391" s="143">
        <f t="shared" si="27"/>
        <v>46</v>
      </c>
    </row>
    <row r="392" spans="1:17" x14ac:dyDescent="0.3">
      <c r="A392" t="s">
        <v>399</v>
      </c>
      <c r="B392" t="str">
        <f t="shared" si="24"/>
        <v xml:space="preserve"> 16</v>
      </c>
      <c r="C392">
        <f t="shared" si="25"/>
        <v>5</v>
      </c>
      <c r="D392" t="str">
        <f t="shared" si="26"/>
        <v xml:space="preserve">2016-12-02 </v>
      </c>
      <c r="E392" t="str">
        <f>TEXT(Demand_Data___Hourly_OverviewSearch_1_csv[[#This Row],[Day]],"dddd")</f>
        <v>Thursday</v>
      </c>
      <c r="F392">
        <v>2</v>
      </c>
      <c r="G392">
        <v>29</v>
      </c>
      <c r="H392">
        <v>94</v>
      </c>
      <c r="I392">
        <f>VLOOKUP(Demand_Data___Hourly_OverviewSearch_1_csv[[#This Row],[Date]],Supply_Data___Hourly_DriverActivity_1_csv__3[#All],2,FALSE)</f>
        <v>85</v>
      </c>
      <c r="J392">
        <f>VLOOKUP(Demand_Data___Hourly_OverviewSearch_1_csv[[#This Row],[Date]],Supply_Data___Hourly_DriverActivity_1_csv__3[#All],3,FALSE)</f>
        <v>38</v>
      </c>
      <c r="K392">
        <f>VLOOKUP(Demand_Data___Hourly_OverviewSearch_1_csv[[#This Row],[Date]],Supply_Data___Hourly_DriverActivity_1_csv__3[#All],4,FALSE)</f>
        <v>4</v>
      </c>
      <c r="L392">
        <f>VLOOKUP(Demand_Data___Hourly_OverviewSearch_1_csv[[#This Row],[Date]],Supply_Data___Hourly_DriverActivity_1_csv__3[#All],5,FALSE)</f>
        <v>34</v>
      </c>
      <c r="M392">
        <f>VLOOKUP(Demand_Data___Hourly_OverviewSearch_1_csv[[#This Row],[Date]],Supply_Data___Hourly_DriverActivity_1_csv__3[#All],6,FALSE)</f>
        <v>0.4</v>
      </c>
      <c r="N392">
        <f>VLOOKUP(Demand_Data___Hourly_OverviewSearch_1_csv[[#This Row],[Date]],Supply_Data___Hourly_DriverActivity_1_csv__3[#All],7,FALSE)</f>
        <v>0.28999999999999998</v>
      </c>
      <c r="O392">
        <f>VLOOKUP(Demand_Data___Hourly_OverviewSearch_1_csv[[#This Row],[Date]],Supply_Data___Hourly_DriverActivity_1_csv__3[#All],8,FALSE)</f>
        <v>11</v>
      </c>
      <c r="P392">
        <f>(Demand_Data___Hourly_OverviewSearch_1_csv[[#This Row],[People saw 0 cars (unique)]]+Demand_Data___Hourly_OverviewSearch_1_csv[[#This Row],[People saw +1 cars (unique)]])</f>
        <v>31</v>
      </c>
      <c r="Q392" s="143">
        <f t="shared" si="27"/>
        <v>34</v>
      </c>
    </row>
    <row r="393" spans="1:17" x14ac:dyDescent="0.3">
      <c r="A393" t="s">
        <v>400</v>
      </c>
      <c r="B393" t="str">
        <f t="shared" si="24"/>
        <v xml:space="preserve"> 15</v>
      </c>
      <c r="C393">
        <f t="shared" si="25"/>
        <v>5</v>
      </c>
      <c r="D393" t="str">
        <f t="shared" si="26"/>
        <v xml:space="preserve">2016-12-02 </v>
      </c>
      <c r="E393" t="str">
        <f>TEXT(Demand_Data___Hourly_OverviewSearch_1_csv[[#This Row],[Day]],"dddd")</f>
        <v>Thursday</v>
      </c>
      <c r="F393">
        <v>4</v>
      </c>
      <c r="G393">
        <v>25</v>
      </c>
      <c r="H393">
        <v>86</v>
      </c>
      <c r="I393">
        <f>VLOOKUP(Demand_Data___Hourly_OverviewSearch_1_csv[[#This Row],[Date]],Supply_Data___Hourly_DriverActivity_1_csv__3[#All],2,FALSE)</f>
        <v>71</v>
      </c>
      <c r="J393">
        <f>VLOOKUP(Demand_Data___Hourly_OverviewSearch_1_csv[[#This Row],[Date]],Supply_Data___Hourly_DriverActivity_1_csv__3[#All],3,FALSE)</f>
        <v>29</v>
      </c>
      <c r="K393">
        <f>VLOOKUP(Demand_Data___Hourly_OverviewSearch_1_csv[[#This Row],[Date]],Supply_Data___Hourly_DriverActivity_1_csv__3[#All],4,FALSE)</f>
        <v>4</v>
      </c>
      <c r="L393">
        <f>VLOOKUP(Demand_Data___Hourly_OverviewSearch_1_csv[[#This Row],[Date]],Supply_Data___Hourly_DriverActivity_1_csv__3[#All],5,FALSE)</f>
        <v>25</v>
      </c>
      <c r="M393">
        <f>VLOOKUP(Demand_Data___Hourly_OverviewSearch_1_csv[[#This Row],[Date]],Supply_Data___Hourly_DriverActivity_1_csv__3[#All],6,FALSE)</f>
        <v>0.4</v>
      </c>
      <c r="N393">
        <f>VLOOKUP(Demand_Data___Hourly_OverviewSearch_1_csv[[#This Row],[Date]],Supply_Data___Hourly_DriverActivity_1_csv__3[#All],7,FALSE)</f>
        <v>0.34</v>
      </c>
      <c r="O393">
        <f>VLOOKUP(Demand_Data___Hourly_OverviewSearch_1_csv[[#This Row],[Date]],Supply_Data___Hourly_DriverActivity_1_csv__3[#All],8,FALSE)</f>
        <v>10</v>
      </c>
      <c r="P393">
        <f>(Demand_Data___Hourly_OverviewSearch_1_csv[[#This Row],[People saw 0 cars (unique)]]+Demand_Data___Hourly_OverviewSearch_1_csv[[#This Row],[People saw +1 cars (unique)]])</f>
        <v>29</v>
      </c>
      <c r="Q393" s="143">
        <f t="shared" si="27"/>
        <v>25</v>
      </c>
    </row>
    <row r="394" spans="1:17" x14ac:dyDescent="0.3">
      <c r="A394" t="s">
        <v>401</v>
      </c>
      <c r="B394" t="str">
        <f t="shared" si="24"/>
        <v xml:space="preserve"> 14</v>
      </c>
      <c r="C394">
        <f t="shared" si="25"/>
        <v>5</v>
      </c>
      <c r="D394" t="str">
        <f t="shared" si="26"/>
        <v xml:space="preserve">2016-12-02 </v>
      </c>
      <c r="E394" t="str">
        <f>TEXT(Demand_Data___Hourly_OverviewSearch_1_csv[[#This Row],[Day]],"dddd")</f>
        <v>Thursday</v>
      </c>
      <c r="F394">
        <v>2</v>
      </c>
      <c r="G394">
        <v>19</v>
      </c>
      <c r="H394">
        <v>90</v>
      </c>
      <c r="I394">
        <f>VLOOKUP(Demand_Data___Hourly_OverviewSearch_1_csv[[#This Row],[Date]],Supply_Data___Hourly_DriverActivity_1_csv__3[#All],2,FALSE)</f>
        <v>76</v>
      </c>
      <c r="J394">
        <f>VLOOKUP(Demand_Data___Hourly_OverviewSearch_1_csv[[#This Row],[Date]],Supply_Data___Hourly_DriverActivity_1_csv__3[#All],3,FALSE)</f>
        <v>26</v>
      </c>
      <c r="K394">
        <f>VLOOKUP(Demand_Data___Hourly_OverviewSearch_1_csv[[#This Row],[Date]],Supply_Data___Hourly_DriverActivity_1_csv__3[#All],4,FALSE)</f>
        <v>2</v>
      </c>
      <c r="L394">
        <f>VLOOKUP(Demand_Data___Hourly_OverviewSearch_1_csv[[#This Row],[Date]],Supply_Data___Hourly_DriverActivity_1_csv__3[#All],5,FALSE)</f>
        <v>24</v>
      </c>
      <c r="M394">
        <f>VLOOKUP(Demand_Data___Hourly_OverviewSearch_1_csv[[#This Row],[Date]],Supply_Data___Hourly_DriverActivity_1_csv__3[#All],6,FALSE)</f>
        <v>0.3</v>
      </c>
      <c r="N394">
        <f>VLOOKUP(Demand_Data___Hourly_OverviewSearch_1_csv[[#This Row],[Date]],Supply_Data___Hourly_DriverActivity_1_csv__3[#All],7,FALSE)</f>
        <v>0.19</v>
      </c>
      <c r="O394">
        <f>VLOOKUP(Demand_Data___Hourly_OverviewSearch_1_csv[[#This Row],[Date]],Supply_Data___Hourly_DriverActivity_1_csv__3[#All],8,FALSE)</f>
        <v>5</v>
      </c>
      <c r="P394">
        <f>(Demand_Data___Hourly_OverviewSearch_1_csv[[#This Row],[People saw 0 cars (unique)]]+Demand_Data___Hourly_OverviewSearch_1_csv[[#This Row],[People saw +1 cars (unique)]])</f>
        <v>21</v>
      </c>
      <c r="Q394" s="143">
        <f t="shared" si="27"/>
        <v>24</v>
      </c>
    </row>
    <row r="395" spans="1:17" x14ac:dyDescent="0.3">
      <c r="A395" t="s">
        <v>402</v>
      </c>
      <c r="B395" t="str">
        <f t="shared" si="24"/>
        <v xml:space="preserve"> 13</v>
      </c>
      <c r="C395">
        <f t="shared" si="25"/>
        <v>5</v>
      </c>
      <c r="D395" t="str">
        <f t="shared" si="26"/>
        <v xml:space="preserve">2016-12-02 </v>
      </c>
      <c r="E395" t="str">
        <f>TEXT(Demand_Data___Hourly_OverviewSearch_1_csv[[#This Row],[Day]],"dddd")</f>
        <v>Thursday</v>
      </c>
      <c r="F395">
        <v>7</v>
      </c>
      <c r="G395">
        <v>21</v>
      </c>
      <c r="H395">
        <v>75</v>
      </c>
      <c r="I395">
        <f>VLOOKUP(Demand_Data___Hourly_OverviewSearch_1_csv[[#This Row],[Date]],Supply_Data___Hourly_DriverActivity_1_csv__3[#All],2,FALSE)</f>
        <v>69</v>
      </c>
      <c r="J395">
        <f>VLOOKUP(Demand_Data___Hourly_OverviewSearch_1_csv[[#This Row],[Date]],Supply_Data___Hourly_DriverActivity_1_csv__3[#All],3,FALSE)</f>
        <v>26</v>
      </c>
      <c r="K395">
        <f>VLOOKUP(Demand_Data___Hourly_OverviewSearch_1_csv[[#This Row],[Date]],Supply_Data___Hourly_DriverActivity_1_csv__3[#All],4,FALSE)</f>
        <v>3</v>
      </c>
      <c r="L395">
        <f>VLOOKUP(Demand_Data___Hourly_OverviewSearch_1_csv[[#This Row],[Date]],Supply_Data___Hourly_DriverActivity_1_csv__3[#All],5,FALSE)</f>
        <v>23</v>
      </c>
      <c r="M395">
        <f>VLOOKUP(Demand_Data___Hourly_OverviewSearch_1_csv[[#This Row],[Date]],Supply_Data___Hourly_DriverActivity_1_csv__3[#All],6,FALSE)</f>
        <v>0.4</v>
      </c>
      <c r="N395">
        <f>VLOOKUP(Demand_Data___Hourly_OverviewSearch_1_csv[[#This Row],[Date]],Supply_Data___Hourly_DriverActivity_1_csv__3[#All],7,FALSE)</f>
        <v>0.31</v>
      </c>
      <c r="O395">
        <f>VLOOKUP(Demand_Data___Hourly_OverviewSearch_1_csv[[#This Row],[Date]],Supply_Data___Hourly_DriverActivity_1_csv__3[#All],8,FALSE)</f>
        <v>8</v>
      </c>
      <c r="P395">
        <f>(Demand_Data___Hourly_OverviewSearch_1_csv[[#This Row],[People saw 0 cars (unique)]]+Demand_Data___Hourly_OverviewSearch_1_csv[[#This Row],[People saw +1 cars (unique)]])</f>
        <v>28</v>
      </c>
      <c r="Q395" s="143">
        <f t="shared" si="27"/>
        <v>23</v>
      </c>
    </row>
    <row r="396" spans="1:17" x14ac:dyDescent="0.3">
      <c r="A396" t="s">
        <v>403</v>
      </c>
      <c r="B396" t="str">
        <f t="shared" si="24"/>
        <v xml:space="preserve"> 12</v>
      </c>
      <c r="C396">
        <f t="shared" si="25"/>
        <v>5</v>
      </c>
      <c r="D396" t="str">
        <f t="shared" si="26"/>
        <v xml:space="preserve">2016-12-02 </v>
      </c>
      <c r="E396" t="str">
        <f>TEXT(Demand_Data___Hourly_OverviewSearch_1_csv[[#This Row],[Day]],"dddd")</f>
        <v>Thursday</v>
      </c>
      <c r="F396">
        <v>3</v>
      </c>
      <c r="G396">
        <v>27</v>
      </c>
      <c r="H396">
        <v>90</v>
      </c>
      <c r="I396">
        <f>VLOOKUP(Demand_Data___Hourly_OverviewSearch_1_csv[[#This Row],[Date]],Supply_Data___Hourly_DriverActivity_1_csv__3[#All],2,FALSE)</f>
        <v>79</v>
      </c>
      <c r="J396">
        <f>VLOOKUP(Demand_Data___Hourly_OverviewSearch_1_csv[[#This Row],[Date]],Supply_Data___Hourly_DriverActivity_1_csv__3[#All],3,FALSE)</f>
        <v>34</v>
      </c>
      <c r="K396">
        <f>VLOOKUP(Demand_Data___Hourly_OverviewSearch_1_csv[[#This Row],[Date]],Supply_Data___Hourly_DriverActivity_1_csv__3[#All],4,FALSE)</f>
        <v>1</v>
      </c>
      <c r="L396">
        <f>VLOOKUP(Demand_Data___Hourly_OverviewSearch_1_csv[[#This Row],[Date]],Supply_Data___Hourly_DriverActivity_1_csv__3[#All],5,FALSE)</f>
        <v>33</v>
      </c>
      <c r="M396">
        <f>VLOOKUP(Demand_Data___Hourly_OverviewSearch_1_csv[[#This Row],[Date]],Supply_Data___Hourly_DriverActivity_1_csv__3[#All],6,FALSE)</f>
        <v>0.4</v>
      </c>
      <c r="N396">
        <f>VLOOKUP(Demand_Data___Hourly_OverviewSearch_1_csv[[#This Row],[Date]],Supply_Data___Hourly_DriverActivity_1_csv__3[#All],7,FALSE)</f>
        <v>0.06</v>
      </c>
      <c r="O396">
        <f>VLOOKUP(Demand_Data___Hourly_OverviewSearch_1_csv[[#This Row],[Date]],Supply_Data___Hourly_DriverActivity_1_csv__3[#All],8,FALSE)</f>
        <v>2</v>
      </c>
      <c r="P396">
        <f>(Demand_Data___Hourly_OverviewSearch_1_csv[[#This Row],[People saw 0 cars (unique)]]+Demand_Data___Hourly_OverviewSearch_1_csv[[#This Row],[People saw +1 cars (unique)]])</f>
        <v>30</v>
      </c>
      <c r="Q396" s="143">
        <f t="shared" si="27"/>
        <v>33</v>
      </c>
    </row>
    <row r="397" spans="1:17" x14ac:dyDescent="0.3">
      <c r="A397" t="s">
        <v>404</v>
      </c>
      <c r="B397" t="str">
        <f t="shared" si="24"/>
        <v xml:space="preserve"> 11</v>
      </c>
      <c r="C397">
        <f t="shared" si="25"/>
        <v>5</v>
      </c>
      <c r="D397" t="str">
        <f t="shared" si="26"/>
        <v xml:space="preserve">2016-12-02 </v>
      </c>
      <c r="E397" t="str">
        <f>TEXT(Demand_Data___Hourly_OverviewSearch_1_csv[[#This Row],[Day]],"dddd")</f>
        <v>Thursday</v>
      </c>
      <c r="F397">
        <v>0</v>
      </c>
      <c r="G397">
        <v>28</v>
      </c>
      <c r="H397">
        <v>100</v>
      </c>
      <c r="I397">
        <f>VLOOKUP(Demand_Data___Hourly_OverviewSearch_1_csv[[#This Row],[Date]],Supply_Data___Hourly_DriverActivity_1_csv__3[#All],2,FALSE)</f>
        <v>76</v>
      </c>
      <c r="J397">
        <f>VLOOKUP(Demand_Data___Hourly_OverviewSearch_1_csv[[#This Row],[Date]],Supply_Data___Hourly_DriverActivity_1_csv__3[#All],3,FALSE)</f>
        <v>35</v>
      </c>
      <c r="K397">
        <f>VLOOKUP(Demand_Data___Hourly_OverviewSearch_1_csv[[#This Row],[Date]],Supply_Data___Hourly_DriverActivity_1_csv__3[#All],4,FALSE)</f>
        <v>2</v>
      </c>
      <c r="L397">
        <f>VLOOKUP(Demand_Data___Hourly_OverviewSearch_1_csv[[#This Row],[Date]],Supply_Data___Hourly_DriverActivity_1_csv__3[#All],5,FALSE)</f>
        <v>33</v>
      </c>
      <c r="M397">
        <f>VLOOKUP(Demand_Data___Hourly_OverviewSearch_1_csv[[#This Row],[Date]],Supply_Data___Hourly_DriverActivity_1_csv__3[#All],6,FALSE)</f>
        <v>0.5</v>
      </c>
      <c r="N397">
        <f>VLOOKUP(Demand_Data___Hourly_OverviewSearch_1_csv[[#This Row],[Date]],Supply_Data___Hourly_DriverActivity_1_csv__3[#All],7,FALSE)</f>
        <v>0.2</v>
      </c>
      <c r="O397">
        <f>VLOOKUP(Demand_Data___Hourly_OverviewSearch_1_csv[[#This Row],[Date]],Supply_Data___Hourly_DriverActivity_1_csv__3[#All],8,FALSE)</f>
        <v>7</v>
      </c>
      <c r="P397">
        <f>(Demand_Data___Hourly_OverviewSearch_1_csv[[#This Row],[People saw 0 cars (unique)]]+Demand_Data___Hourly_OverviewSearch_1_csv[[#This Row],[People saw +1 cars (unique)]])</f>
        <v>28</v>
      </c>
      <c r="Q397" s="143">
        <f t="shared" si="27"/>
        <v>33</v>
      </c>
    </row>
    <row r="398" spans="1:17" x14ac:dyDescent="0.3">
      <c r="A398" t="s">
        <v>405</v>
      </c>
      <c r="B398" t="str">
        <f t="shared" si="24"/>
        <v xml:space="preserve"> 10</v>
      </c>
      <c r="C398">
        <f t="shared" si="25"/>
        <v>5</v>
      </c>
      <c r="D398" t="str">
        <f t="shared" si="26"/>
        <v xml:space="preserve">2016-12-02 </v>
      </c>
      <c r="E398" t="str">
        <f>TEXT(Demand_Data___Hourly_OverviewSearch_1_csv[[#This Row],[Day]],"dddd")</f>
        <v>Thursday</v>
      </c>
      <c r="F398">
        <v>1</v>
      </c>
      <c r="G398">
        <v>19</v>
      </c>
      <c r="H398">
        <v>95</v>
      </c>
      <c r="I398">
        <f>VLOOKUP(Demand_Data___Hourly_OverviewSearch_1_csv[[#This Row],[Date]],Supply_Data___Hourly_DriverActivity_1_csv__3[#All],2,FALSE)</f>
        <v>73</v>
      </c>
      <c r="J398">
        <f>VLOOKUP(Demand_Data___Hourly_OverviewSearch_1_csv[[#This Row],[Date]],Supply_Data___Hourly_DriverActivity_1_csv__3[#All],3,FALSE)</f>
        <v>34</v>
      </c>
      <c r="K398">
        <f>VLOOKUP(Demand_Data___Hourly_OverviewSearch_1_csv[[#This Row],[Date]],Supply_Data___Hourly_DriverActivity_1_csv__3[#All],4,FALSE)</f>
        <v>0</v>
      </c>
      <c r="L398">
        <f>VLOOKUP(Demand_Data___Hourly_OverviewSearch_1_csv[[#This Row],[Date]],Supply_Data___Hourly_DriverActivity_1_csv__3[#All],5,FALSE)</f>
        <v>34</v>
      </c>
      <c r="M398">
        <f>VLOOKUP(Demand_Data___Hourly_OverviewSearch_1_csv[[#This Row],[Date]],Supply_Data___Hourly_DriverActivity_1_csv__3[#All],6,FALSE)</f>
        <v>0.5</v>
      </c>
      <c r="N398">
        <f>VLOOKUP(Demand_Data___Hourly_OverviewSearch_1_csv[[#This Row],[Date]],Supply_Data___Hourly_DriverActivity_1_csv__3[#All],7,FALSE)</f>
        <v>0.03</v>
      </c>
      <c r="O398">
        <f>VLOOKUP(Demand_Data___Hourly_OverviewSearch_1_csv[[#This Row],[Date]],Supply_Data___Hourly_DriverActivity_1_csv__3[#All],8,FALSE)</f>
        <v>1</v>
      </c>
      <c r="P398">
        <f>(Demand_Data___Hourly_OverviewSearch_1_csv[[#This Row],[People saw 0 cars (unique)]]+Demand_Data___Hourly_OverviewSearch_1_csv[[#This Row],[People saw +1 cars (unique)]])</f>
        <v>20</v>
      </c>
      <c r="Q398" s="143">
        <f t="shared" si="27"/>
        <v>34</v>
      </c>
    </row>
    <row r="399" spans="1:17" x14ac:dyDescent="0.3">
      <c r="A399" t="s">
        <v>406</v>
      </c>
      <c r="B399" t="str">
        <f t="shared" si="24"/>
        <v xml:space="preserve"> 09</v>
      </c>
      <c r="C399">
        <f t="shared" si="25"/>
        <v>5</v>
      </c>
      <c r="D399" t="str">
        <f t="shared" si="26"/>
        <v xml:space="preserve">2016-12-02 </v>
      </c>
      <c r="E399" t="str">
        <f>TEXT(Demand_Data___Hourly_OverviewSearch_1_csv[[#This Row],[Day]],"dddd")</f>
        <v>Thursday</v>
      </c>
      <c r="F399">
        <v>2</v>
      </c>
      <c r="G399">
        <v>23</v>
      </c>
      <c r="H399">
        <v>92</v>
      </c>
      <c r="I399">
        <f>VLOOKUP(Demand_Data___Hourly_OverviewSearch_1_csv[[#This Row],[Date]],Supply_Data___Hourly_DriverActivity_1_csv__3[#All],2,FALSE)</f>
        <v>71</v>
      </c>
      <c r="J399">
        <f>VLOOKUP(Demand_Data___Hourly_OverviewSearch_1_csv[[#This Row],[Date]],Supply_Data___Hourly_DriverActivity_1_csv__3[#All],3,FALSE)</f>
        <v>32</v>
      </c>
      <c r="K399">
        <f>VLOOKUP(Demand_Data___Hourly_OverviewSearch_1_csv[[#This Row],[Date]],Supply_Data___Hourly_DriverActivity_1_csv__3[#All],4,FALSE)</f>
        <v>3</v>
      </c>
      <c r="L399">
        <f>VLOOKUP(Demand_Data___Hourly_OverviewSearch_1_csv[[#This Row],[Date]],Supply_Data___Hourly_DriverActivity_1_csv__3[#All],5,FALSE)</f>
        <v>29</v>
      </c>
      <c r="M399">
        <f>VLOOKUP(Demand_Data___Hourly_OverviewSearch_1_csv[[#This Row],[Date]],Supply_Data___Hourly_DriverActivity_1_csv__3[#All],6,FALSE)</f>
        <v>0.5</v>
      </c>
      <c r="N399">
        <f>VLOOKUP(Demand_Data___Hourly_OverviewSearch_1_csv[[#This Row],[Date]],Supply_Data___Hourly_DriverActivity_1_csv__3[#All],7,FALSE)</f>
        <v>0.19</v>
      </c>
      <c r="O399">
        <f>VLOOKUP(Demand_Data___Hourly_OverviewSearch_1_csv[[#This Row],[Date]],Supply_Data___Hourly_DriverActivity_1_csv__3[#All],8,FALSE)</f>
        <v>6</v>
      </c>
      <c r="P399">
        <f>(Demand_Data___Hourly_OverviewSearch_1_csv[[#This Row],[People saw 0 cars (unique)]]+Demand_Data___Hourly_OverviewSearch_1_csv[[#This Row],[People saw +1 cars (unique)]])</f>
        <v>25</v>
      </c>
      <c r="Q399" s="143">
        <f t="shared" si="27"/>
        <v>29</v>
      </c>
    </row>
    <row r="400" spans="1:17" x14ac:dyDescent="0.3">
      <c r="A400" t="s">
        <v>407</v>
      </c>
      <c r="B400" t="str">
        <f t="shared" si="24"/>
        <v xml:space="preserve"> 08</v>
      </c>
      <c r="C400">
        <f t="shared" si="25"/>
        <v>5</v>
      </c>
      <c r="D400" t="str">
        <f t="shared" si="26"/>
        <v xml:space="preserve">2016-12-02 </v>
      </c>
      <c r="E400" t="str">
        <f>TEXT(Demand_Data___Hourly_OverviewSearch_1_csv[[#This Row],[Day]],"dddd")</f>
        <v>Thursday</v>
      </c>
      <c r="F400">
        <v>2</v>
      </c>
      <c r="G400">
        <v>21</v>
      </c>
      <c r="H400">
        <v>91</v>
      </c>
      <c r="I400">
        <f>VLOOKUP(Demand_Data___Hourly_OverviewSearch_1_csv[[#This Row],[Date]],Supply_Data___Hourly_DriverActivity_1_csv__3[#All],2,FALSE)</f>
        <v>53</v>
      </c>
      <c r="J400">
        <f>VLOOKUP(Demand_Data___Hourly_OverviewSearch_1_csv[[#This Row],[Date]],Supply_Data___Hourly_DriverActivity_1_csv__3[#All],3,FALSE)</f>
        <v>22</v>
      </c>
      <c r="K400">
        <f>VLOOKUP(Demand_Data___Hourly_OverviewSearch_1_csv[[#This Row],[Date]],Supply_Data___Hourly_DriverActivity_1_csv__3[#All],4,FALSE)</f>
        <v>3</v>
      </c>
      <c r="L400">
        <f>VLOOKUP(Demand_Data___Hourly_OverviewSearch_1_csv[[#This Row],[Date]],Supply_Data___Hourly_DriverActivity_1_csv__3[#All],5,FALSE)</f>
        <v>18</v>
      </c>
      <c r="M400">
        <f>VLOOKUP(Demand_Data___Hourly_OverviewSearch_1_csv[[#This Row],[Date]],Supply_Data___Hourly_DriverActivity_1_csv__3[#All],6,FALSE)</f>
        <v>0.4</v>
      </c>
      <c r="N400">
        <f>VLOOKUP(Demand_Data___Hourly_OverviewSearch_1_csv[[#This Row],[Date]],Supply_Data___Hourly_DriverActivity_1_csv__3[#All],7,FALSE)</f>
        <v>0.45</v>
      </c>
      <c r="O400">
        <f>VLOOKUP(Demand_Data___Hourly_OverviewSearch_1_csv[[#This Row],[Date]],Supply_Data___Hourly_DriverActivity_1_csv__3[#All],8,FALSE)</f>
        <v>10</v>
      </c>
      <c r="P400">
        <f>(Demand_Data___Hourly_OverviewSearch_1_csv[[#This Row],[People saw 0 cars (unique)]]+Demand_Data___Hourly_OverviewSearch_1_csv[[#This Row],[People saw +1 cars (unique)]])</f>
        <v>23</v>
      </c>
      <c r="Q400" s="143">
        <f t="shared" si="27"/>
        <v>19</v>
      </c>
    </row>
    <row r="401" spans="1:17" x14ac:dyDescent="0.3">
      <c r="A401" t="s">
        <v>408</v>
      </c>
      <c r="B401" t="str">
        <f t="shared" si="24"/>
        <v xml:space="preserve"> 07</v>
      </c>
      <c r="C401">
        <f t="shared" si="25"/>
        <v>5</v>
      </c>
      <c r="D401" t="str">
        <f t="shared" si="26"/>
        <v xml:space="preserve">2016-12-02 </v>
      </c>
      <c r="E401" t="str">
        <f>TEXT(Demand_Data___Hourly_OverviewSearch_1_csv[[#This Row],[Day]],"dddd")</f>
        <v>Thursday</v>
      </c>
      <c r="F401">
        <v>6</v>
      </c>
      <c r="G401">
        <v>8</v>
      </c>
      <c r="H401">
        <v>57</v>
      </c>
      <c r="I401">
        <f>VLOOKUP(Demand_Data___Hourly_OverviewSearch_1_csv[[#This Row],[Date]],Supply_Data___Hourly_DriverActivity_1_csv__3[#All],2,FALSE)</f>
        <v>41</v>
      </c>
      <c r="J401">
        <f>VLOOKUP(Demand_Data___Hourly_OverviewSearch_1_csv[[#This Row],[Date]],Supply_Data___Hourly_DriverActivity_1_csv__3[#All],3,FALSE)</f>
        <v>16</v>
      </c>
      <c r="K401">
        <f>VLOOKUP(Demand_Data___Hourly_OverviewSearch_1_csv[[#This Row],[Date]],Supply_Data___Hourly_DriverActivity_1_csv__3[#All],4,FALSE)</f>
        <v>0</v>
      </c>
      <c r="L401">
        <f>VLOOKUP(Demand_Data___Hourly_OverviewSearch_1_csv[[#This Row],[Date]],Supply_Data___Hourly_DriverActivity_1_csv__3[#All],5,FALSE)</f>
        <v>15</v>
      </c>
      <c r="M401">
        <f>VLOOKUP(Demand_Data___Hourly_OverviewSearch_1_csv[[#This Row],[Date]],Supply_Data___Hourly_DriverActivity_1_csv__3[#All],6,FALSE)</f>
        <v>0.4</v>
      </c>
      <c r="N401">
        <f>VLOOKUP(Demand_Data___Hourly_OverviewSearch_1_csv[[#This Row],[Date]],Supply_Data___Hourly_DriverActivity_1_csv__3[#All],7,FALSE)</f>
        <v>0.13</v>
      </c>
      <c r="O401">
        <f>VLOOKUP(Demand_Data___Hourly_OverviewSearch_1_csv[[#This Row],[Date]],Supply_Data___Hourly_DriverActivity_1_csv__3[#All],8,FALSE)</f>
        <v>2</v>
      </c>
      <c r="P401">
        <f>(Demand_Data___Hourly_OverviewSearch_1_csv[[#This Row],[People saw 0 cars (unique)]]+Demand_Data___Hourly_OverviewSearch_1_csv[[#This Row],[People saw +1 cars (unique)]])</f>
        <v>14</v>
      </c>
      <c r="Q401" s="143">
        <f t="shared" si="27"/>
        <v>16</v>
      </c>
    </row>
    <row r="402" spans="1:17" x14ac:dyDescent="0.3">
      <c r="A402" t="s">
        <v>409</v>
      </c>
      <c r="B402" t="str">
        <f t="shared" si="24"/>
        <v xml:space="preserve"> 06</v>
      </c>
      <c r="C402">
        <f t="shared" si="25"/>
        <v>5</v>
      </c>
      <c r="D402" t="str">
        <f t="shared" si="26"/>
        <v xml:space="preserve">2016-12-02 </v>
      </c>
      <c r="E402" t="str">
        <f>TEXT(Demand_Data___Hourly_OverviewSearch_1_csv[[#This Row],[Day]],"dddd")</f>
        <v>Thursday</v>
      </c>
      <c r="F402">
        <v>3</v>
      </c>
      <c r="G402">
        <v>2</v>
      </c>
      <c r="H402">
        <v>40</v>
      </c>
      <c r="I402">
        <f>VLOOKUP(Demand_Data___Hourly_OverviewSearch_1_csv[[#This Row],[Date]],Supply_Data___Hourly_DriverActivity_1_csv__3[#All],2,FALSE)</f>
        <v>27</v>
      </c>
      <c r="J402">
        <f>VLOOKUP(Demand_Data___Hourly_OverviewSearch_1_csv[[#This Row],[Date]],Supply_Data___Hourly_DriverActivity_1_csv__3[#All],3,FALSE)</f>
        <v>8</v>
      </c>
      <c r="K402">
        <f>VLOOKUP(Demand_Data___Hourly_OverviewSearch_1_csv[[#This Row],[Date]],Supply_Data___Hourly_DriverActivity_1_csv__3[#All],4,FALSE)</f>
        <v>1</v>
      </c>
      <c r="L402">
        <f>VLOOKUP(Demand_Data___Hourly_OverviewSearch_1_csv[[#This Row],[Date]],Supply_Data___Hourly_DriverActivity_1_csv__3[#All],5,FALSE)</f>
        <v>7</v>
      </c>
      <c r="M402">
        <f>VLOOKUP(Demand_Data___Hourly_OverviewSearch_1_csv[[#This Row],[Date]],Supply_Data___Hourly_DriverActivity_1_csv__3[#All],6,FALSE)</f>
        <v>0.3</v>
      </c>
      <c r="N402">
        <f>VLOOKUP(Demand_Data___Hourly_OverviewSearch_1_csv[[#This Row],[Date]],Supply_Data___Hourly_DriverActivity_1_csv__3[#All],7,FALSE)</f>
        <v>0.13</v>
      </c>
      <c r="O402">
        <f>VLOOKUP(Demand_Data___Hourly_OverviewSearch_1_csv[[#This Row],[Date]],Supply_Data___Hourly_DriverActivity_1_csv__3[#All],8,FALSE)</f>
        <v>1</v>
      </c>
      <c r="P402">
        <f>(Demand_Data___Hourly_OverviewSearch_1_csv[[#This Row],[People saw 0 cars (unique)]]+Demand_Data___Hourly_OverviewSearch_1_csv[[#This Row],[People saw +1 cars (unique)]])</f>
        <v>5</v>
      </c>
      <c r="Q402" s="143">
        <f t="shared" si="27"/>
        <v>7</v>
      </c>
    </row>
    <row r="403" spans="1:17" x14ac:dyDescent="0.3">
      <c r="A403" t="s">
        <v>410</v>
      </c>
      <c r="B403" t="str">
        <f t="shared" si="24"/>
        <v xml:space="preserve"> 05</v>
      </c>
      <c r="C403">
        <f t="shared" si="25"/>
        <v>5</v>
      </c>
      <c r="D403" t="str">
        <f t="shared" si="26"/>
        <v xml:space="preserve">2016-12-02 </v>
      </c>
      <c r="E403" t="str">
        <f>TEXT(Demand_Data___Hourly_OverviewSearch_1_csv[[#This Row],[Day]],"dddd")</f>
        <v>Thursday</v>
      </c>
      <c r="F403">
        <v>5</v>
      </c>
      <c r="G403">
        <v>7</v>
      </c>
      <c r="H403">
        <v>58</v>
      </c>
      <c r="I403">
        <f>VLOOKUP(Demand_Data___Hourly_OverviewSearch_1_csv[[#This Row],[Date]],Supply_Data___Hourly_DriverActivity_1_csv__3[#All],2,FALSE)</f>
        <v>24</v>
      </c>
      <c r="J403">
        <f>VLOOKUP(Demand_Data___Hourly_OverviewSearch_1_csv[[#This Row],[Date]],Supply_Data___Hourly_DriverActivity_1_csv__3[#All],3,FALSE)</f>
        <v>9</v>
      </c>
      <c r="K403">
        <f>VLOOKUP(Demand_Data___Hourly_OverviewSearch_1_csv[[#This Row],[Date]],Supply_Data___Hourly_DriverActivity_1_csv__3[#All],4,FALSE)</f>
        <v>1</v>
      </c>
      <c r="L403">
        <f>VLOOKUP(Demand_Data___Hourly_OverviewSearch_1_csv[[#This Row],[Date]],Supply_Data___Hourly_DriverActivity_1_csv__3[#All],5,FALSE)</f>
        <v>7</v>
      </c>
      <c r="M403">
        <f>VLOOKUP(Demand_Data___Hourly_OverviewSearch_1_csv[[#This Row],[Date]],Supply_Data___Hourly_DriverActivity_1_csv__3[#All],6,FALSE)</f>
        <v>0.4</v>
      </c>
      <c r="N403">
        <f>VLOOKUP(Demand_Data___Hourly_OverviewSearch_1_csv[[#This Row],[Date]],Supply_Data___Hourly_DriverActivity_1_csv__3[#All],7,FALSE)</f>
        <v>0.44</v>
      </c>
      <c r="O403">
        <f>VLOOKUP(Demand_Data___Hourly_OverviewSearch_1_csv[[#This Row],[Date]],Supply_Data___Hourly_DriverActivity_1_csv__3[#All],8,FALSE)</f>
        <v>4</v>
      </c>
      <c r="P403">
        <f>(Demand_Data___Hourly_OverviewSearch_1_csv[[#This Row],[People saw 0 cars (unique)]]+Demand_Data___Hourly_OverviewSearch_1_csv[[#This Row],[People saw +1 cars (unique)]])</f>
        <v>12</v>
      </c>
      <c r="Q403" s="143">
        <f t="shared" si="27"/>
        <v>8</v>
      </c>
    </row>
    <row r="404" spans="1:17" x14ac:dyDescent="0.3">
      <c r="A404" t="s">
        <v>411</v>
      </c>
      <c r="B404" t="str">
        <f t="shared" si="24"/>
        <v xml:space="preserve"> 04</v>
      </c>
      <c r="C404">
        <f t="shared" si="25"/>
        <v>5</v>
      </c>
      <c r="D404" t="str">
        <f t="shared" si="26"/>
        <v xml:space="preserve">2016-12-02 </v>
      </c>
      <c r="E404" t="str">
        <f>TEXT(Demand_Data___Hourly_OverviewSearch_1_csv[[#This Row],[Day]],"dddd")</f>
        <v>Thursday</v>
      </c>
      <c r="F404">
        <v>6</v>
      </c>
      <c r="G404">
        <v>5</v>
      </c>
      <c r="H404">
        <v>45</v>
      </c>
      <c r="I404">
        <f>VLOOKUP(Demand_Data___Hourly_OverviewSearch_1_csv[[#This Row],[Date]],Supply_Data___Hourly_DriverActivity_1_csv__3[#All],2,FALSE)</f>
        <v>23</v>
      </c>
      <c r="J404">
        <f>VLOOKUP(Demand_Data___Hourly_OverviewSearch_1_csv[[#This Row],[Date]],Supply_Data___Hourly_DriverActivity_1_csv__3[#All],3,FALSE)</f>
        <v>8</v>
      </c>
      <c r="K404">
        <f>VLOOKUP(Demand_Data___Hourly_OverviewSearch_1_csv[[#This Row],[Date]],Supply_Data___Hourly_DriverActivity_1_csv__3[#All],4,FALSE)</f>
        <v>2</v>
      </c>
      <c r="L404">
        <f>VLOOKUP(Demand_Data___Hourly_OverviewSearch_1_csv[[#This Row],[Date]],Supply_Data___Hourly_DriverActivity_1_csv__3[#All],5,FALSE)</f>
        <v>6</v>
      </c>
      <c r="M404">
        <f>VLOOKUP(Demand_Data___Hourly_OverviewSearch_1_csv[[#This Row],[Date]],Supply_Data___Hourly_DriverActivity_1_csv__3[#All],6,FALSE)</f>
        <v>0.3</v>
      </c>
      <c r="N404">
        <f>VLOOKUP(Demand_Data___Hourly_OverviewSearch_1_csv[[#This Row],[Date]],Supply_Data___Hourly_DriverActivity_1_csv__3[#All],7,FALSE)</f>
        <v>0.38</v>
      </c>
      <c r="O404">
        <f>VLOOKUP(Demand_Data___Hourly_OverviewSearch_1_csv[[#This Row],[Date]],Supply_Data___Hourly_DriverActivity_1_csv__3[#All],8,FALSE)</f>
        <v>3</v>
      </c>
      <c r="P404">
        <f>(Demand_Data___Hourly_OverviewSearch_1_csv[[#This Row],[People saw 0 cars (unique)]]+Demand_Data___Hourly_OverviewSearch_1_csv[[#This Row],[People saw +1 cars (unique)]])</f>
        <v>11</v>
      </c>
      <c r="Q404" s="143">
        <f t="shared" si="27"/>
        <v>6</v>
      </c>
    </row>
    <row r="405" spans="1:17" x14ac:dyDescent="0.3">
      <c r="A405" t="s">
        <v>412</v>
      </c>
      <c r="B405" t="str">
        <f t="shared" si="24"/>
        <v xml:space="preserve"> 03</v>
      </c>
      <c r="C405">
        <f t="shared" si="25"/>
        <v>5</v>
      </c>
      <c r="D405" t="str">
        <f t="shared" si="26"/>
        <v xml:space="preserve">2016-12-02 </v>
      </c>
      <c r="E405" t="str">
        <f>TEXT(Demand_Data___Hourly_OverviewSearch_1_csv[[#This Row],[Day]],"dddd")</f>
        <v>Thursday</v>
      </c>
      <c r="F405">
        <v>5</v>
      </c>
      <c r="G405">
        <v>10</v>
      </c>
      <c r="H405">
        <v>67</v>
      </c>
      <c r="I405">
        <f>VLOOKUP(Demand_Data___Hourly_OverviewSearch_1_csv[[#This Row],[Date]],Supply_Data___Hourly_DriverActivity_1_csv__3[#All],2,FALSE)</f>
        <v>26</v>
      </c>
      <c r="J405">
        <f>VLOOKUP(Demand_Data___Hourly_OverviewSearch_1_csv[[#This Row],[Date]],Supply_Data___Hourly_DriverActivity_1_csv__3[#All],3,FALSE)</f>
        <v>11</v>
      </c>
      <c r="K405">
        <f>VLOOKUP(Demand_Data___Hourly_OverviewSearch_1_csv[[#This Row],[Date]],Supply_Data___Hourly_DriverActivity_1_csv__3[#All],4,FALSE)</f>
        <v>2</v>
      </c>
      <c r="L405">
        <f>VLOOKUP(Demand_Data___Hourly_OverviewSearch_1_csv[[#This Row],[Date]],Supply_Data___Hourly_DriverActivity_1_csv__3[#All],5,FALSE)</f>
        <v>9</v>
      </c>
      <c r="M405">
        <f>VLOOKUP(Demand_Data___Hourly_OverviewSearch_1_csv[[#This Row],[Date]],Supply_Data___Hourly_DriverActivity_1_csv__3[#All],6,FALSE)</f>
        <v>0.4</v>
      </c>
      <c r="N405">
        <f>VLOOKUP(Demand_Data___Hourly_OverviewSearch_1_csv[[#This Row],[Date]],Supply_Data___Hourly_DriverActivity_1_csv__3[#All],7,FALSE)</f>
        <v>0.45</v>
      </c>
      <c r="O405">
        <f>VLOOKUP(Demand_Data___Hourly_OverviewSearch_1_csv[[#This Row],[Date]],Supply_Data___Hourly_DriverActivity_1_csv__3[#All],8,FALSE)</f>
        <v>5</v>
      </c>
      <c r="P405">
        <f>(Demand_Data___Hourly_OverviewSearch_1_csv[[#This Row],[People saw 0 cars (unique)]]+Demand_Data___Hourly_OverviewSearch_1_csv[[#This Row],[People saw +1 cars (unique)]])</f>
        <v>15</v>
      </c>
      <c r="Q405" s="143">
        <f t="shared" si="27"/>
        <v>9</v>
      </c>
    </row>
    <row r="406" spans="1:17" x14ac:dyDescent="0.3">
      <c r="A406" t="s">
        <v>413</v>
      </c>
      <c r="B406" t="str">
        <f t="shared" si="24"/>
        <v xml:space="preserve"> 02</v>
      </c>
      <c r="C406">
        <f t="shared" si="25"/>
        <v>5</v>
      </c>
      <c r="D406" t="str">
        <f t="shared" si="26"/>
        <v xml:space="preserve">2016-12-02 </v>
      </c>
      <c r="E406" t="str">
        <f>TEXT(Demand_Data___Hourly_OverviewSearch_1_csv[[#This Row],[Day]],"dddd")</f>
        <v>Thursday</v>
      </c>
      <c r="F406">
        <v>1</v>
      </c>
      <c r="G406">
        <v>15</v>
      </c>
      <c r="H406">
        <v>94</v>
      </c>
      <c r="I406">
        <f>VLOOKUP(Demand_Data___Hourly_OverviewSearch_1_csv[[#This Row],[Date]],Supply_Data___Hourly_DriverActivity_1_csv__3[#All],2,FALSE)</f>
        <v>45</v>
      </c>
      <c r="J406">
        <f>VLOOKUP(Demand_Data___Hourly_OverviewSearch_1_csv[[#This Row],[Date]],Supply_Data___Hourly_DriverActivity_1_csv__3[#All],3,FALSE)</f>
        <v>16</v>
      </c>
      <c r="K406">
        <f>VLOOKUP(Demand_Data___Hourly_OverviewSearch_1_csv[[#This Row],[Date]],Supply_Data___Hourly_DriverActivity_1_csv__3[#All],4,FALSE)</f>
        <v>1</v>
      </c>
      <c r="L406">
        <f>VLOOKUP(Demand_Data___Hourly_OverviewSearch_1_csv[[#This Row],[Date]],Supply_Data___Hourly_DriverActivity_1_csv__3[#All],5,FALSE)</f>
        <v>15</v>
      </c>
      <c r="M406">
        <f>VLOOKUP(Demand_Data___Hourly_OverviewSearch_1_csv[[#This Row],[Date]],Supply_Data___Hourly_DriverActivity_1_csv__3[#All],6,FALSE)</f>
        <v>0.4</v>
      </c>
      <c r="N406">
        <f>VLOOKUP(Demand_Data___Hourly_OverviewSearch_1_csv[[#This Row],[Date]],Supply_Data___Hourly_DriverActivity_1_csv__3[#All],7,FALSE)</f>
        <v>0.25</v>
      </c>
      <c r="O406">
        <f>VLOOKUP(Demand_Data___Hourly_OverviewSearch_1_csv[[#This Row],[Date]],Supply_Data___Hourly_DriverActivity_1_csv__3[#All],8,FALSE)</f>
        <v>4</v>
      </c>
      <c r="P406">
        <f>(Demand_Data___Hourly_OverviewSearch_1_csv[[#This Row],[People saw 0 cars (unique)]]+Demand_Data___Hourly_OverviewSearch_1_csv[[#This Row],[People saw +1 cars (unique)]])</f>
        <v>16</v>
      </c>
      <c r="Q406" s="143">
        <f t="shared" si="27"/>
        <v>15</v>
      </c>
    </row>
    <row r="407" spans="1:17" x14ac:dyDescent="0.3">
      <c r="A407" t="s">
        <v>414</v>
      </c>
      <c r="B407" t="str">
        <f t="shared" si="24"/>
        <v xml:space="preserve"> 01</v>
      </c>
      <c r="C407">
        <f t="shared" si="25"/>
        <v>5</v>
      </c>
      <c r="D407" t="str">
        <f t="shared" si="26"/>
        <v xml:space="preserve">2016-12-02 </v>
      </c>
      <c r="E407" t="str">
        <f>TEXT(Demand_Data___Hourly_OverviewSearch_1_csv[[#This Row],[Day]],"dddd")</f>
        <v>Thursday</v>
      </c>
      <c r="F407">
        <v>8</v>
      </c>
      <c r="G407">
        <v>33</v>
      </c>
      <c r="H407">
        <v>80</v>
      </c>
      <c r="I407">
        <f>VLOOKUP(Demand_Data___Hourly_OverviewSearch_1_csv[[#This Row],[Date]],Supply_Data___Hourly_DriverActivity_1_csv__3[#All],2,FALSE)</f>
        <v>56</v>
      </c>
      <c r="J407">
        <f>VLOOKUP(Demand_Data___Hourly_OverviewSearch_1_csv[[#This Row],[Date]],Supply_Data___Hourly_DriverActivity_1_csv__3[#All],3,FALSE)</f>
        <v>21</v>
      </c>
      <c r="K407">
        <f>VLOOKUP(Demand_Data___Hourly_OverviewSearch_1_csv[[#This Row],[Date]],Supply_Data___Hourly_DriverActivity_1_csv__3[#All],4,FALSE)</f>
        <v>8</v>
      </c>
      <c r="L407">
        <f>VLOOKUP(Demand_Data___Hourly_OverviewSearch_1_csv[[#This Row],[Date]],Supply_Data___Hourly_DriverActivity_1_csv__3[#All],5,FALSE)</f>
        <v>13</v>
      </c>
      <c r="M407">
        <f>VLOOKUP(Demand_Data___Hourly_OverviewSearch_1_csv[[#This Row],[Date]],Supply_Data___Hourly_DriverActivity_1_csv__3[#All],6,FALSE)</f>
        <v>0.4</v>
      </c>
      <c r="N407">
        <f>VLOOKUP(Demand_Data___Hourly_OverviewSearch_1_csv[[#This Row],[Date]],Supply_Data___Hourly_DriverActivity_1_csv__3[#All],7,FALSE)</f>
        <v>0.67</v>
      </c>
      <c r="O407">
        <f>VLOOKUP(Demand_Data___Hourly_OverviewSearch_1_csv[[#This Row],[Date]],Supply_Data___Hourly_DriverActivity_1_csv__3[#All],8,FALSE)</f>
        <v>14</v>
      </c>
      <c r="P407">
        <f>(Demand_Data___Hourly_OverviewSearch_1_csv[[#This Row],[People saw 0 cars (unique)]]+Demand_Data___Hourly_OverviewSearch_1_csv[[#This Row],[People saw +1 cars (unique)]])</f>
        <v>41</v>
      </c>
      <c r="Q407" s="143">
        <f t="shared" si="27"/>
        <v>13</v>
      </c>
    </row>
    <row r="408" spans="1:17" x14ac:dyDescent="0.3">
      <c r="A408" t="s">
        <v>415</v>
      </c>
      <c r="B408" t="str">
        <f t="shared" si="24"/>
        <v xml:space="preserve"> 00</v>
      </c>
      <c r="C408">
        <f t="shared" si="25"/>
        <v>5</v>
      </c>
      <c r="D408" t="str">
        <f t="shared" si="26"/>
        <v xml:space="preserve">2016-12-02 </v>
      </c>
      <c r="E408" t="str">
        <f>TEXT(Demand_Data___Hourly_OverviewSearch_1_csv[[#This Row],[Day]],"dddd")</f>
        <v>Thursday</v>
      </c>
      <c r="F408">
        <v>15</v>
      </c>
      <c r="G408">
        <v>55</v>
      </c>
      <c r="H408">
        <v>79</v>
      </c>
      <c r="I408">
        <f>VLOOKUP(Demand_Data___Hourly_OverviewSearch_1_csv[[#This Row],[Date]],Supply_Data___Hourly_DriverActivity_1_csv__3[#All],2,FALSE)</f>
        <v>61</v>
      </c>
      <c r="J408">
        <f>VLOOKUP(Demand_Data___Hourly_OverviewSearch_1_csv[[#This Row],[Date]],Supply_Data___Hourly_DriverActivity_1_csv__3[#All],3,FALSE)</f>
        <v>23</v>
      </c>
      <c r="K408">
        <f>VLOOKUP(Demand_Data___Hourly_OverviewSearch_1_csv[[#This Row],[Date]],Supply_Data___Hourly_DriverActivity_1_csv__3[#All],4,FALSE)</f>
        <v>15</v>
      </c>
      <c r="L408">
        <f>VLOOKUP(Demand_Data___Hourly_OverviewSearch_1_csv[[#This Row],[Date]],Supply_Data___Hourly_DriverActivity_1_csv__3[#All],5,FALSE)</f>
        <v>8</v>
      </c>
      <c r="M408">
        <f>VLOOKUP(Demand_Data___Hourly_OverviewSearch_1_csv[[#This Row],[Date]],Supply_Data___Hourly_DriverActivity_1_csv__3[#All],6,FALSE)</f>
        <v>0.4</v>
      </c>
      <c r="N408">
        <f>VLOOKUP(Demand_Data___Hourly_OverviewSearch_1_csv[[#This Row],[Date]],Supply_Data___Hourly_DriverActivity_1_csv__3[#All],7,FALSE)</f>
        <v>1.57</v>
      </c>
      <c r="O408">
        <f>VLOOKUP(Demand_Data___Hourly_OverviewSearch_1_csv[[#This Row],[Date]],Supply_Data___Hourly_DriverActivity_1_csv__3[#All],8,FALSE)</f>
        <v>36</v>
      </c>
      <c r="P408">
        <f>(Demand_Data___Hourly_OverviewSearch_1_csv[[#This Row],[People saw 0 cars (unique)]]+Demand_Data___Hourly_OverviewSearch_1_csv[[#This Row],[People saw +1 cars (unique)]])</f>
        <v>70</v>
      </c>
      <c r="Q408" s="143">
        <f t="shared" si="27"/>
        <v>8</v>
      </c>
    </row>
    <row r="409" spans="1:17" x14ac:dyDescent="0.3">
      <c r="A409" t="s">
        <v>416</v>
      </c>
      <c r="B409" t="str">
        <f t="shared" si="24"/>
        <v xml:space="preserve"> 23</v>
      </c>
      <c r="C409">
        <f t="shared" si="25"/>
        <v>4</v>
      </c>
      <c r="D409" t="str">
        <f t="shared" si="26"/>
        <v xml:space="preserve">2016-12-01 </v>
      </c>
      <c r="E409" t="str">
        <f>TEXT(Demand_Data___Hourly_OverviewSearch_1_csv[[#This Row],[Day]],"dddd")</f>
        <v>Wednesday</v>
      </c>
      <c r="F409">
        <v>11</v>
      </c>
      <c r="G409">
        <v>56</v>
      </c>
      <c r="H409">
        <v>84</v>
      </c>
      <c r="I409">
        <f>VLOOKUP(Demand_Data___Hourly_OverviewSearch_1_csv[[#This Row],[Date]],Supply_Data___Hourly_DriverActivity_1_csv__3[#All],2,FALSE)</f>
        <v>72</v>
      </c>
      <c r="J409">
        <f>VLOOKUP(Demand_Data___Hourly_OverviewSearch_1_csv[[#This Row],[Date]],Supply_Data___Hourly_DriverActivity_1_csv__3[#All],3,FALSE)</f>
        <v>25</v>
      </c>
      <c r="K409">
        <f>VLOOKUP(Demand_Data___Hourly_OverviewSearch_1_csv[[#This Row],[Date]],Supply_Data___Hourly_DriverActivity_1_csv__3[#All],4,FALSE)</f>
        <v>7</v>
      </c>
      <c r="L409">
        <f>VLOOKUP(Demand_Data___Hourly_OverviewSearch_1_csv[[#This Row],[Date]],Supply_Data___Hourly_DriverActivity_1_csv__3[#All],5,FALSE)</f>
        <v>18</v>
      </c>
      <c r="M409">
        <f>VLOOKUP(Demand_Data___Hourly_OverviewSearch_1_csv[[#This Row],[Date]],Supply_Data___Hourly_DriverActivity_1_csv__3[#All],6,FALSE)</f>
        <v>0.3</v>
      </c>
      <c r="N409">
        <f>VLOOKUP(Demand_Data___Hourly_OverviewSearch_1_csv[[#This Row],[Date]],Supply_Data___Hourly_DriverActivity_1_csv__3[#All],7,FALSE)</f>
        <v>0.96</v>
      </c>
      <c r="O409">
        <f>VLOOKUP(Demand_Data___Hourly_OverviewSearch_1_csv[[#This Row],[Date]],Supply_Data___Hourly_DriverActivity_1_csv__3[#All],8,FALSE)</f>
        <v>24</v>
      </c>
      <c r="P409">
        <f>(Demand_Data___Hourly_OverviewSearch_1_csv[[#This Row],[People saw 0 cars (unique)]]+Demand_Data___Hourly_OverviewSearch_1_csv[[#This Row],[People saw +1 cars (unique)]])</f>
        <v>67</v>
      </c>
      <c r="Q409" s="143">
        <f t="shared" si="27"/>
        <v>18</v>
      </c>
    </row>
    <row r="410" spans="1:17" x14ac:dyDescent="0.3">
      <c r="A410" t="s">
        <v>417</v>
      </c>
      <c r="B410" t="str">
        <f t="shared" si="24"/>
        <v xml:space="preserve"> 22</v>
      </c>
      <c r="C410">
        <f t="shared" si="25"/>
        <v>4</v>
      </c>
      <c r="D410" t="str">
        <f t="shared" si="26"/>
        <v xml:space="preserve">2016-12-01 </v>
      </c>
      <c r="E410" t="str">
        <f>TEXT(Demand_Data___Hourly_OverviewSearch_1_csv[[#This Row],[Day]],"dddd")</f>
        <v>Wednesday</v>
      </c>
      <c r="F410">
        <v>5</v>
      </c>
      <c r="G410">
        <v>37</v>
      </c>
      <c r="H410">
        <v>88</v>
      </c>
      <c r="I410">
        <f>VLOOKUP(Demand_Data___Hourly_OverviewSearch_1_csv[[#This Row],[Date]],Supply_Data___Hourly_DriverActivity_1_csv__3[#All],2,FALSE)</f>
        <v>83</v>
      </c>
      <c r="J410">
        <f>VLOOKUP(Demand_Data___Hourly_OverviewSearch_1_csv[[#This Row],[Date]],Supply_Data___Hourly_DriverActivity_1_csv__3[#All],3,FALSE)</f>
        <v>35</v>
      </c>
      <c r="K410">
        <f>VLOOKUP(Demand_Data___Hourly_OverviewSearch_1_csv[[#This Row],[Date]],Supply_Data___Hourly_DriverActivity_1_csv__3[#All],4,FALSE)</f>
        <v>5</v>
      </c>
      <c r="L410">
        <f>VLOOKUP(Demand_Data___Hourly_OverviewSearch_1_csv[[#This Row],[Date]],Supply_Data___Hourly_DriverActivity_1_csv__3[#All],5,FALSE)</f>
        <v>29</v>
      </c>
      <c r="M410">
        <f>VLOOKUP(Demand_Data___Hourly_OverviewSearch_1_csv[[#This Row],[Date]],Supply_Data___Hourly_DriverActivity_1_csv__3[#All],6,FALSE)</f>
        <v>0.4</v>
      </c>
      <c r="N410">
        <f>VLOOKUP(Demand_Data___Hourly_OverviewSearch_1_csv[[#This Row],[Date]],Supply_Data___Hourly_DriverActivity_1_csv__3[#All],7,FALSE)</f>
        <v>0.4</v>
      </c>
      <c r="O410">
        <f>VLOOKUP(Demand_Data___Hourly_OverviewSearch_1_csv[[#This Row],[Date]],Supply_Data___Hourly_DriverActivity_1_csv__3[#All],8,FALSE)</f>
        <v>14</v>
      </c>
      <c r="P410">
        <f>(Demand_Data___Hourly_OverviewSearch_1_csv[[#This Row],[People saw 0 cars (unique)]]+Demand_Data___Hourly_OverviewSearch_1_csv[[#This Row],[People saw +1 cars (unique)]])</f>
        <v>42</v>
      </c>
      <c r="Q410" s="143">
        <f t="shared" si="27"/>
        <v>30</v>
      </c>
    </row>
    <row r="411" spans="1:17" x14ac:dyDescent="0.3">
      <c r="A411" t="s">
        <v>418</v>
      </c>
      <c r="B411" t="str">
        <f t="shared" si="24"/>
        <v xml:space="preserve"> 21</v>
      </c>
      <c r="C411">
        <f t="shared" si="25"/>
        <v>4</v>
      </c>
      <c r="D411" t="str">
        <f t="shared" si="26"/>
        <v xml:space="preserve">2016-12-01 </v>
      </c>
      <c r="E411" t="str">
        <f>TEXT(Demand_Data___Hourly_OverviewSearch_1_csv[[#This Row],[Day]],"dddd")</f>
        <v>Wednesday</v>
      </c>
      <c r="F411">
        <v>4</v>
      </c>
      <c r="G411">
        <v>33</v>
      </c>
      <c r="H411">
        <v>89</v>
      </c>
      <c r="I411">
        <f>VLOOKUP(Demand_Data___Hourly_OverviewSearch_1_csv[[#This Row],[Date]],Supply_Data___Hourly_DriverActivity_1_csv__3[#All],2,FALSE)</f>
        <v>86</v>
      </c>
      <c r="J411">
        <f>VLOOKUP(Demand_Data___Hourly_OverviewSearch_1_csv[[#This Row],[Date]],Supply_Data___Hourly_DriverActivity_1_csv__3[#All],3,FALSE)</f>
        <v>31</v>
      </c>
      <c r="K411">
        <f>VLOOKUP(Demand_Data___Hourly_OverviewSearch_1_csv[[#This Row],[Date]],Supply_Data___Hourly_DriverActivity_1_csv__3[#All],4,FALSE)</f>
        <v>5</v>
      </c>
      <c r="L411">
        <f>VLOOKUP(Demand_Data___Hourly_OverviewSearch_1_csv[[#This Row],[Date]],Supply_Data___Hourly_DriverActivity_1_csv__3[#All],5,FALSE)</f>
        <v>27</v>
      </c>
      <c r="M411">
        <f>VLOOKUP(Demand_Data___Hourly_OverviewSearch_1_csv[[#This Row],[Date]],Supply_Data___Hourly_DriverActivity_1_csv__3[#All],6,FALSE)</f>
        <v>0.4</v>
      </c>
      <c r="N411">
        <f>VLOOKUP(Demand_Data___Hourly_OverviewSearch_1_csv[[#This Row],[Date]],Supply_Data___Hourly_DriverActivity_1_csv__3[#All],7,FALSE)</f>
        <v>0.42</v>
      </c>
      <c r="O411">
        <f>VLOOKUP(Demand_Data___Hourly_OverviewSearch_1_csv[[#This Row],[Date]],Supply_Data___Hourly_DriverActivity_1_csv__3[#All],8,FALSE)</f>
        <v>13</v>
      </c>
      <c r="P411">
        <f>(Demand_Data___Hourly_OverviewSearch_1_csv[[#This Row],[People saw 0 cars (unique)]]+Demand_Data___Hourly_OverviewSearch_1_csv[[#This Row],[People saw +1 cars (unique)]])</f>
        <v>37</v>
      </c>
      <c r="Q411" s="143">
        <f t="shared" si="27"/>
        <v>26</v>
      </c>
    </row>
    <row r="412" spans="1:17" x14ac:dyDescent="0.3">
      <c r="A412" t="s">
        <v>419</v>
      </c>
      <c r="B412" t="str">
        <f t="shared" si="24"/>
        <v xml:space="preserve"> 20</v>
      </c>
      <c r="C412">
        <f t="shared" si="25"/>
        <v>4</v>
      </c>
      <c r="D412" t="str">
        <f t="shared" si="26"/>
        <v xml:space="preserve">2016-12-01 </v>
      </c>
      <c r="E412" t="str">
        <f>TEXT(Demand_Data___Hourly_OverviewSearch_1_csv[[#This Row],[Day]],"dddd")</f>
        <v>Wednesday</v>
      </c>
      <c r="F412">
        <v>5</v>
      </c>
      <c r="G412">
        <v>57</v>
      </c>
      <c r="H412">
        <v>92</v>
      </c>
      <c r="I412">
        <f>VLOOKUP(Demand_Data___Hourly_OverviewSearch_1_csv[[#This Row],[Date]],Supply_Data___Hourly_DriverActivity_1_csv__3[#All],2,FALSE)</f>
        <v>80</v>
      </c>
      <c r="J412">
        <f>VLOOKUP(Demand_Data___Hourly_OverviewSearch_1_csv[[#This Row],[Date]],Supply_Data___Hourly_DriverActivity_1_csv__3[#All],3,FALSE)</f>
        <v>32</v>
      </c>
      <c r="K412">
        <f>VLOOKUP(Demand_Data___Hourly_OverviewSearch_1_csv[[#This Row],[Date]],Supply_Data___Hourly_DriverActivity_1_csv__3[#All],4,FALSE)</f>
        <v>9</v>
      </c>
      <c r="L412">
        <f>VLOOKUP(Demand_Data___Hourly_OverviewSearch_1_csv[[#This Row],[Date]],Supply_Data___Hourly_DriverActivity_1_csv__3[#All],5,FALSE)</f>
        <v>24</v>
      </c>
      <c r="M412">
        <f>VLOOKUP(Demand_Data___Hourly_OverviewSearch_1_csv[[#This Row],[Date]],Supply_Data___Hourly_DriverActivity_1_csv__3[#All],6,FALSE)</f>
        <v>0.4</v>
      </c>
      <c r="N412">
        <f>VLOOKUP(Demand_Data___Hourly_OverviewSearch_1_csv[[#This Row],[Date]],Supply_Data___Hourly_DriverActivity_1_csv__3[#All],7,FALSE)</f>
        <v>0.59</v>
      </c>
      <c r="O412">
        <f>VLOOKUP(Demand_Data___Hourly_OverviewSearch_1_csv[[#This Row],[Date]],Supply_Data___Hourly_DriverActivity_1_csv__3[#All],8,FALSE)</f>
        <v>19</v>
      </c>
      <c r="P412">
        <f>(Demand_Data___Hourly_OverviewSearch_1_csv[[#This Row],[People saw 0 cars (unique)]]+Demand_Data___Hourly_OverviewSearch_1_csv[[#This Row],[People saw +1 cars (unique)]])</f>
        <v>62</v>
      </c>
      <c r="Q412" s="143">
        <f t="shared" si="27"/>
        <v>23</v>
      </c>
    </row>
    <row r="413" spans="1:17" x14ac:dyDescent="0.3">
      <c r="A413" t="s">
        <v>420</v>
      </c>
      <c r="B413" t="str">
        <f t="shared" si="24"/>
        <v xml:space="preserve"> 19</v>
      </c>
      <c r="C413">
        <f t="shared" si="25"/>
        <v>4</v>
      </c>
      <c r="D413" t="str">
        <f t="shared" si="26"/>
        <v xml:space="preserve">2016-12-01 </v>
      </c>
      <c r="E413" t="str">
        <f>TEXT(Demand_Data___Hourly_OverviewSearch_1_csv[[#This Row],[Day]],"dddd")</f>
        <v>Wednesday</v>
      </c>
      <c r="F413">
        <v>10</v>
      </c>
      <c r="G413">
        <v>58</v>
      </c>
      <c r="H413">
        <v>85</v>
      </c>
      <c r="I413">
        <f>VLOOKUP(Demand_Data___Hourly_OverviewSearch_1_csv[[#This Row],[Date]],Supply_Data___Hourly_DriverActivity_1_csv__3[#All],2,FALSE)</f>
        <v>79</v>
      </c>
      <c r="J413">
        <f>VLOOKUP(Demand_Data___Hourly_OverviewSearch_1_csv[[#This Row],[Date]],Supply_Data___Hourly_DriverActivity_1_csv__3[#All],3,FALSE)</f>
        <v>33</v>
      </c>
      <c r="K413">
        <f>VLOOKUP(Demand_Data___Hourly_OverviewSearch_1_csv[[#This Row],[Date]],Supply_Data___Hourly_DriverActivity_1_csv__3[#All],4,FALSE)</f>
        <v>8</v>
      </c>
      <c r="L413">
        <f>VLOOKUP(Demand_Data___Hourly_OverviewSearch_1_csv[[#This Row],[Date]],Supply_Data___Hourly_DriverActivity_1_csv__3[#All],5,FALSE)</f>
        <v>25</v>
      </c>
      <c r="M413">
        <f>VLOOKUP(Demand_Data___Hourly_OverviewSearch_1_csv[[#This Row],[Date]],Supply_Data___Hourly_DriverActivity_1_csv__3[#All],6,FALSE)</f>
        <v>0.4</v>
      </c>
      <c r="N413">
        <f>VLOOKUP(Demand_Data___Hourly_OverviewSearch_1_csv[[#This Row],[Date]],Supply_Data___Hourly_DriverActivity_1_csv__3[#All],7,FALSE)</f>
        <v>0.64</v>
      </c>
      <c r="O413">
        <f>VLOOKUP(Demand_Data___Hourly_OverviewSearch_1_csv[[#This Row],[Date]],Supply_Data___Hourly_DriverActivity_1_csv__3[#All],8,FALSE)</f>
        <v>21</v>
      </c>
      <c r="P413">
        <f>(Demand_Data___Hourly_OverviewSearch_1_csv[[#This Row],[People saw 0 cars (unique)]]+Demand_Data___Hourly_OverviewSearch_1_csv[[#This Row],[People saw +1 cars (unique)]])</f>
        <v>68</v>
      </c>
      <c r="Q413" s="143">
        <f t="shared" si="27"/>
        <v>25</v>
      </c>
    </row>
    <row r="414" spans="1:17" x14ac:dyDescent="0.3">
      <c r="A414" t="s">
        <v>421</v>
      </c>
      <c r="B414" t="str">
        <f t="shared" si="24"/>
        <v xml:space="preserve"> 18</v>
      </c>
      <c r="C414">
        <f t="shared" si="25"/>
        <v>4</v>
      </c>
      <c r="D414" t="str">
        <f t="shared" si="26"/>
        <v xml:space="preserve">2016-12-01 </v>
      </c>
      <c r="E414" t="str">
        <f>TEXT(Demand_Data___Hourly_OverviewSearch_1_csv[[#This Row],[Day]],"dddd")</f>
        <v>Wednesday</v>
      </c>
      <c r="F414">
        <v>8</v>
      </c>
      <c r="G414">
        <v>46</v>
      </c>
      <c r="H414">
        <v>85</v>
      </c>
      <c r="I414">
        <f>VLOOKUP(Demand_Data___Hourly_OverviewSearch_1_csv[[#This Row],[Date]],Supply_Data___Hourly_DriverActivity_1_csv__3[#All],2,FALSE)</f>
        <v>72</v>
      </c>
      <c r="J414">
        <f>VLOOKUP(Demand_Data___Hourly_OverviewSearch_1_csv[[#This Row],[Date]],Supply_Data___Hourly_DriverActivity_1_csv__3[#All],3,FALSE)</f>
        <v>31</v>
      </c>
      <c r="K414">
        <f>VLOOKUP(Demand_Data___Hourly_OverviewSearch_1_csv[[#This Row],[Date]],Supply_Data___Hourly_DriverActivity_1_csv__3[#All],4,FALSE)</f>
        <v>6</v>
      </c>
      <c r="L414">
        <f>VLOOKUP(Demand_Data___Hourly_OverviewSearch_1_csv[[#This Row],[Date]],Supply_Data___Hourly_DriverActivity_1_csv__3[#All],5,FALSE)</f>
        <v>25</v>
      </c>
      <c r="M414">
        <f>VLOOKUP(Demand_Data___Hourly_OverviewSearch_1_csv[[#This Row],[Date]],Supply_Data___Hourly_DriverActivity_1_csv__3[#All],6,FALSE)</f>
        <v>0.4</v>
      </c>
      <c r="N414">
        <f>VLOOKUP(Demand_Data___Hourly_OverviewSearch_1_csv[[#This Row],[Date]],Supply_Data___Hourly_DriverActivity_1_csv__3[#All],7,FALSE)</f>
        <v>0.39</v>
      </c>
      <c r="O414">
        <f>VLOOKUP(Demand_Data___Hourly_OverviewSearch_1_csv[[#This Row],[Date]],Supply_Data___Hourly_DriverActivity_1_csv__3[#All],8,FALSE)</f>
        <v>12</v>
      </c>
      <c r="P414">
        <f>(Demand_Data___Hourly_OverviewSearch_1_csv[[#This Row],[People saw 0 cars (unique)]]+Demand_Data___Hourly_OverviewSearch_1_csv[[#This Row],[People saw +1 cars (unique)]])</f>
        <v>54</v>
      </c>
      <c r="Q414" s="143">
        <f t="shared" si="27"/>
        <v>25</v>
      </c>
    </row>
    <row r="415" spans="1:17" x14ac:dyDescent="0.3">
      <c r="A415" t="s">
        <v>422</v>
      </c>
      <c r="B415" t="str">
        <f t="shared" si="24"/>
        <v xml:space="preserve"> 17</v>
      </c>
      <c r="C415">
        <f t="shared" si="25"/>
        <v>4</v>
      </c>
      <c r="D415" t="str">
        <f t="shared" si="26"/>
        <v xml:space="preserve">2016-12-01 </v>
      </c>
      <c r="E415" t="str">
        <f>TEXT(Demand_Data___Hourly_OverviewSearch_1_csv[[#This Row],[Day]],"dddd")</f>
        <v>Wednesday</v>
      </c>
      <c r="F415">
        <v>7</v>
      </c>
      <c r="G415">
        <v>40</v>
      </c>
      <c r="H415">
        <v>85</v>
      </c>
      <c r="I415">
        <f>VLOOKUP(Demand_Data___Hourly_OverviewSearch_1_csv[[#This Row],[Date]],Supply_Data___Hourly_DriverActivity_1_csv__3[#All],2,FALSE)</f>
        <v>70</v>
      </c>
      <c r="J415">
        <f>VLOOKUP(Demand_Data___Hourly_OverviewSearch_1_csv[[#This Row],[Date]],Supply_Data___Hourly_DriverActivity_1_csv__3[#All],3,FALSE)</f>
        <v>26</v>
      </c>
      <c r="K415">
        <f>VLOOKUP(Demand_Data___Hourly_OverviewSearch_1_csv[[#This Row],[Date]],Supply_Data___Hourly_DriverActivity_1_csv__3[#All],4,FALSE)</f>
        <v>4</v>
      </c>
      <c r="L415">
        <f>VLOOKUP(Demand_Data___Hourly_OverviewSearch_1_csv[[#This Row],[Date]],Supply_Data___Hourly_DriverActivity_1_csv__3[#All],5,FALSE)</f>
        <v>22</v>
      </c>
      <c r="M415">
        <f>VLOOKUP(Demand_Data___Hourly_OverviewSearch_1_csv[[#This Row],[Date]],Supply_Data___Hourly_DriverActivity_1_csv__3[#All],6,FALSE)</f>
        <v>0.4</v>
      </c>
      <c r="N415">
        <f>VLOOKUP(Demand_Data___Hourly_OverviewSearch_1_csv[[#This Row],[Date]],Supply_Data___Hourly_DriverActivity_1_csv__3[#All],7,FALSE)</f>
        <v>0.46</v>
      </c>
      <c r="O415">
        <f>VLOOKUP(Demand_Data___Hourly_OverviewSearch_1_csv[[#This Row],[Date]],Supply_Data___Hourly_DriverActivity_1_csv__3[#All],8,FALSE)</f>
        <v>12</v>
      </c>
      <c r="P415">
        <f>(Demand_Data___Hourly_OverviewSearch_1_csv[[#This Row],[People saw 0 cars (unique)]]+Demand_Data___Hourly_OverviewSearch_1_csv[[#This Row],[People saw +1 cars (unique)]])</f>
        <v>47</v>
      </c>
      <c r="Q415" s="143">
        <f t="shared" si="27"/>
        <v>22</v>
      </c>
    </row>
    <row r="416" spans="1:17" x14ac:dyDescent="0.3">
      <c r="A416" t="s">
        <v>423</v>
      </c>
      <c r="B416" t="str">
        <f t="shared" si="24"/>
        <v xml:space="preserve"> 16</v>
      </c>
      <c r="C416">
        <f t="shared" si="25"/>
        <v>4</v>
      </c>
      <c r="D416" t="str">
        <f t="shared" si="26"/>
        <v xml:space="preserve">2016-12-01 </v>
      </c>
      <c r="E416" t="str">
        <f>TEXT(Demand_Data___Hourly_OverviewSearch_1_csv[[#This Row],[Day]],"dddd")</f>
        <v>Wednesday</v>
      </c>
      <c r="F416">
        <v>3</v>
      </c>
      <c r="G416">
        <v>28</v>
      </c>
      <c r="H416">
        <v>90</v>
      </c>
      <c r="I416">
        <f>VLOOKUP(Demand_Data___Hourly_OverviewSearch_1_csv[[#This Row],[Date]],Supply_Data___Hourly_DriverActivity_1_csv__3[#All],2,FALSE)</f>
        <v>71</v>
      </c>
      <c r="J416">
        <f>VLOOKUP(Demand_Data___Hourly_OverviewSearch_1_csv[[#This Row],[Date]],Supply_Data___Hourly_DriverActivity_1_csv__3[#All],3,FALSE)</f>
        <v>27</v>
      </c>
      <c r="K416">
        <f>VLOOKUP(Demand_Data___Hourly_OverviewSearch_1_csv[[#This Row],[Date]],Supply_Data___Hourly_DriverActivity_1_csv__3[#All],4,FALSE)</f>
        <v>2</v>
      </c>
      <c r="L416">
        <f>VLOOKUP(Demand_Data___Hourly_OverviewSearch_1_csv[[#This Row],[Date]],Supply_Data___Hourly_DriverActivity_1_csv__3[#All],5,FALSE)</f>
        <v>25</v>
      </c>
      <c r="M416">
        <f>VLOOKUP(Demand_Data___Hourly_OverviewSearch_1_csv[[#This Row],[Date]],Supply_Data___Hourly_DriverActivity_1_csv__3[#All],6,FALSE)</f>
        <v>0.4</v>
      </c>
      <c r="N416">
        <f>VLOOKUP(Demand_Data___Hourly_OverviewSearch_1_csv[[#This Row],[Date]],Supply_Data___Hourly_DriverActivity_1_csv__3[#All],7,FALSE)</f>
        <v>0.26</v>
      </c>
      <c r="O416">
        <f>VLOOKUP(Demand_Data___Hourly_OverviewSearch_1_csv[[#This Row],[Date]],Supply_Data___Hourly_DriverActivity_1_csv__3[#All],8,FALSE)</f>
        <v>7</v>
      </c>
      <c r="P416">
        <f>(Demand_Data___Hourly_OverviewSearch_1_csv[[#This Row],[People saw 0 cars (unique)]]+Demand_Data___Hourly_OverviewSearch_1_csv[[#This Row],[People saw +1 cars (unique)]])</f>
        <v>31</v>
      </c>
      <c r="Q416" s="143">
        <f t="shared" si="27"/>
        <v>25</v>
      </c>
    </row>
    <row r="417" spans="1:17" x14ac:dyDescent="0.3">
      <c r="A417" t="s">
        <v>424</v>
      </c>
      <c r="B417" t="str">
        <f t="shared" si="24"/>
        <v xml:space="preserve"> 15</v>
      </c>
      <c r="C417">
        <f t="shared" si="25"/>
        <v>4</v>
      </c>
      <c r="D417" t="str">
        <f t="shared" si="26"/>
        <v xml:space="preserve">2016-12-01 </v>
      </c>
      <c r="E417" t="str">
        <f>TEXT(Demand_Data___Hourly_OverviewSearch_1_csv[[#This Row],[Day]],"dddd")</f>
        <v>Wednesday</v>
      </c>
      <c r="F417">
        <v>3</v>
      </c>
      <c r="G417">
        <v>23</v>
      </c>
      <c r="H417">
        <v>88</v>
      </c>
      <c r="I417">
        <f>VLOOKUP(Demand_Data___Hourly_OverviewSearch_1_csv[[#This Row],[Date]],Supply_Data___Hourly_DriverActivity_1_csv__3[#All],2,FALSE)</f>
        <v>62</v>
      </c>
      <c r="J417">
        <f>VLOOKUP(Demand_Data___Hourly_OverviewSearch_1_csv[[#This Row],[Date]],Supply_Data___Hourly_DriverActivity_1_csv__3[#All],3,FALSE)</f>
        <v>24</v>
      </c>
      <c r="K417">
        <f>VLOOKUP(Demand_Data___Hourly_OverviewSearch_1_csv[[#This Row],[Date]],Supply_Data___Hourly_DriverActivity_1_csv__3[#All],4,FALSE)</f>
        <v>3</v>
      </c>
      <c r="L417">
        <f>VLOOKUP(Demand_Data___Hourly_OverviewSearch_1_csv[[#This Row],[Date]],Supply_Data___Hourly_DriverActivity_1_csv__3[#All],5,FALSE)</f>
        <v>21</v>
      </c>
      <c r="M417">
        <f>VLOOKUP(Demand_Data___Hourly_OverviewSearch_1_csv[[#This Row],[Date]],Supply_Data___Hourly_DriverActivity_1_csv__3[#All],6,FALSE)</f>
        <v>0.4</v>
      </c>
      <c r="N417">
        <f>VLOOKUP(Demand_Data___Hourly_OverviewSearch_1_csv[[#This Row],[Date]],Supply_Data___Hourly_DriverActivity_1_csv__3[#All],7,FALSE)</f>
        <v>0.33</v>
      </c>
      <c r="O417">
        <f>VLOOKUP(Demand_Data___Hourly_OverviewSearch_1_csv[[#This Row],[Date]],Supply_Data___Hourly_DriverActivity_1_csv__3[#All],8,FALSE)</f>
        <v>8</v>
      </c>
      <c r="P417">
        <f>(Demand_Data___Hourly_OverviewSearch_1_csv[[#This Row],[People saw 0 cars (unique)]]+Demand_Data___Hourly_OverviewSearch_1_csv[[#This Row],[People saw +1 cars (unique)]])</f>
        <v>26</v>
      </c>
      <c r="Q417" s="143">
        <f t="shared" si="27"/>
        <v>21</v>
      </c>
    </row>
    <row r="418" spans="1:17" x14ac:dyDescent="0.3">
      <c r="A418" t="s">
        <v>425</v>
      </c>
      <c r="B418" t="str">
        <f t="shared" si="24"/>
        <v xml:space="preserve"> 14</v>
      </c>
      <c r="C418">
        <f t="shared" si="25"/>
        <v>4</v>
      </c>
      <c r="D418" t="str">
        <f t="shared" si="26"/>
        <v xml:space="preserve">2016-12-01 </v>
      </c>
      <c r="E418" t="str">
        <f>TEXT(Demand_Data___Hourly_OverviewSearch_1_csv[[#This Row],[Day]],"dddd")</f>
        <v>Wednesday</v>
      </c>
      <c r="F418">
        <v>4</v>
      </c>
      <c r="G418">
        <v>26</v>
      </c>
      <c r="H418">
        <v>87</v>
      </c>
      <c r="I418">
        <f>VLOOKUP(Demand_Data___Hourly_OverviewSearch_1_csv[[#This Row],[Date]],Supply_Data___Hourly_DriverActivity_1_csv__3[#All],2,FALSE)</f>
        <v>60</v>
      </c>
      <c r="J418">
        <f>VLOOKUP(Demand_Data___Hourly_OverviewSearch_1_csv[[#This Row],[Date]],Supply_Data___Hourly_DriverActivity_1_csv__3[#All],3,FALSE)</f>
        <v>22</v>
      </c>
      <c r="K418">
        <f>VLOOKUP(Demand_Data___Hourly_OverviewSearch_1_csv[[#This Row],[Date]],Supply_Data___Hourly_DriverActivity_1_csv__3[#All],4,FALSE)</f>
        <v>4</v>
      </c>
      <c r="L418">
        <f>VLOOKUP(Demand_Data___Hourly_OverviewSearch_1_csv[[#This Row],[Date]],Supply_Data___Hourly_DriverActivity_1_csv__3[#All],5,FALSE)</f>
        <v>19</v>
      </c>
      <c r="M418">
        <f>VLOOKUP(Demand_Data___Hourly_OverviewSearch_1_csv[[#This Row],[Date]],Supply_Data___Hourly_DriverActivity_1_csv__3[#All],6,FALSE)</f>
        <v>0.4</v>
      </c>
      <c r="N418">
        <f>VLOOKUP(Demand_Data___Hourly_OverviewSearch_1_csv[[#This Row],[Date]],Supply_Data___Hourly_DriverActivity_1_csv__3[#All],7,FALSE)</f>
        <v>0.32</v>
      </c>
      <c r="O418">
        <f>VLOOKUP(Demand_Data___Hourly_OverviewSearch_1_csv[[#This Row],[Date]],Supply_Data___Hourly_DriverActivity_1_csv__3[#All],8,FALSE)</f>
        <v>7</v>
      </c>
      <c r="P418">
        <f>(Demand_Data___Hourly_OverviewSearch_1_csv[[#This Row],[People saw 0 cars (unique)]]+Demand_Data___Hourly_OverviewSearch_1_csv[[#This Row],[People saw +1 cars (unique)]])</f>
        <v>30</v>
      </c>
      <c r="Q418" s="143">
        <f t="shared" si="27"/>
        <v>18</v>
      </c>
    </row>
    <row r="419" spans="1:17" x14ac:dyDescent="0.3">
      <c r="A419" t="s">
        <v>426</v>
      </c>
      <c r="B419" t="str">
        <f t="shared" si="24"/>
        <v xml:space="preserve"> 13</v>
      </c>
      <c r="C419">
        <f t="shared" si="25"/>
        <v>4</v>
      </c>
      <c r="D419" t="str">
        <f t="shared" si="26"/>
        <v xml:space="preserve">2016-12-01 </v>
      </c>
      <c r="E419" t="str">
        <f>TEXT(Demand_Data___Hourly_OverviewSearch_1_csv[[#This Row],[Day]],"dddd")</f>
        <v>Wednesday</v>
      </c>
      <c r="F419">
        <v>4</v>
      </c>
      <c r="G419">
        <v>28</v>
      </c>
      <c r="H419">
        <v>88</v>
      </c>
      <c r="I419">
        <f>VLOOKUP(Demand_Data___Hourly_OverviewSearch_1_csv[[#This Row],[Date]],Supply_Data___Hourly_DriverActivity_1_csv__3[#All],2,FALSE)</f>
        <v>52</v>
      </c>
      <c r="J419">
        <f>VLOOKUP(Demand_Data___Hourly_OverviewSearch_1_csv[[#This Row],[Date]],Supply_Data___Hourly_DriverActivity_1_csv__3[#All],3,FALSE)</f>
        <v>20</v>
      </c>
      <c r="K419">
        <f>VLOOKUP(Demand_Data___Hourly_OverviewSearch_1_csv[[#This Row],[Date]],Supply_Data___Hourly_DriverActivity_1_csv__3[#All],4,FALSE)</f>
        <v>4</v>
      </c>
      <c r="L419">
        <f>VLOOKUP(Demand_Data___Hourly_OverviewSearch_1_csv[[#This Row],[Date]],Supply_Data___Hourly_DriverActivity_1_csv__3[#All],5,FALSE)</f>
        <v>16</v>
      </c>
      <c r="M419">
        <f>VLOOKUP(Demand_Data___Hourly_OverviewSearch_1_csv[[#This Row],[Date]],Supply_Data___Hourly_DriverActivity_1_csv__3[#All],6,FALSE)</f>
        <v>0.4</v>
      </c>
      <c r="N419">
        <f>VLOOKUP(Demand_Data___Hourly_OverviewSearch_1_csv[[#This Row],[Date]],Supply_Data___Hourly_DriverActivity_1_csv__3[#All],7,FALSE)</f>
        <v>0.45</v>
      </c>
      <c r="O419">
        <f>VLOOKUP(Demand_Data___Hourly_OverviewSearch_1_csv[[#This Row],[Date]],Supply_Data___Hourly_DriverActivity_1_csv__3[#All],8,FALSE)</f>
        <v>9</v>
      </c>
      <c r="P419">
        <f>(Demand_Data___Hourly_OverviewSearch_1_csv[[#This Row],[People saw 0 cars (unique)]]+Demand_Data___Hourly_OverviewSearch_1_csv[[#This Row],[People saw +1 cars (unique)]])</f>
        <v>32</v>
      </c>
      <c r="Q419" s="143">
        <f t="shared" si="27"/>
        <v>16</v>
      </c>
    </row>
    <row r="420" spans="1:17" x14ac:dyDescent="0.3">
      <c r="A420" t="s">
        <v>427</v>
      </c>
      <c r="B420" t="str">
        <f t="shared" si="24"/>
        <v xml:space="preserve"> 12</v>
      </c>
      <c r="C420">
        <f t="shared" si="25"/>
        <v>4</v>
      </c>
      <c r="D420" t="str">
        <f t="shared" si="26"/>
        <v xml:space="preserve">2016-12-01 </v>
      </c>
      <c r="E420" t="str">
        <f>TEXT(Demand_Data___Hourly_OverviewSearch_1_csv[[#This Row],[Day]],"dddd")</f>
        <v>Wednesday</v>
      </c>
      <c r="F420">
        <v>7</v>
      </c>
      <c r="G420">
        <v>28</v>
      </c>
      <c r="H420">
        <v>80</v>
      </c>
      <c r="I420">
        <f>VLOOKUP(Demand_Data___Hourly_OverviewSearch_1_csv[[#This Row],[Date]],Supply_Data___Hourly_DriverActivity_1_csv__3[#All],2,FALSE)</f>
        <v>51</v>
      </c>
      <c r="J420">
        <f>VLOOKUP(Demand_Data___Hourly_OverviewSearch_1_csv[[#This Row],[Date]],Supply_Data___Hourly_DriverActivity_1_csv__3[#All],3,FALSE)</f>
        <v>20</v>
      </c>
      <c r="K420">
        <f>VLOOKUP(Demand_Data___Hourly_OverviewSearch_1_csv[[#This Row],[Date]],Supply_Data___Hourly_DriverActivity_1_csv__3[#All],4,FALSE)</f>
        <v>4</v>
      </c>
      <c r="L420">
        <f>VLOOKUP(Demand_Data___Hourly_OverviewSearch_1_csv[[#This Row],[Date]],Supply_Data___Hourly_DriverActivity_1_csv__3[#All],5,FALSE)</f>
        <v>16</v>
      </c>
      <c r="M420">
        <f>VLOOKUP(Demand_Data___Hourly_OverviewSearch_1_csv[[#This Row],[Date]],Supply_Data___Hourly_DriverActivity_1_csv__3[#All],6,FALSE)</f>
        <v>0.4</v>
      </c>
      <c r="N420">
        <f>VLOOKUP(Demand_Data___Hourly_OverviewSearch_1_csv[[#This Row],[Date]],Supply_Data___Hourly_DriverActivity_1_csv__3[#All],7,FALSE)</f>
        <v>0.5</v>
      </c>
      <c r="O420">
        <f>VLOOKUP(Demand_Data___Hourly_OverviewSearch_1_csv[[#This Row],[Date]],Supply_Data___Hourly_DriverActivity_1_csv__3[#All],8,FALSE)</f>
        <v>10</v>
      </c>
      <c r="P420">
        <f>(Demand_Data___Hourly_OverviewSearch_1_csv[[#This Row],[People saw 0 cars (unique)]]+Demand_Data___Hourly_OverviewSearch_1_csv[[#This Row],[People saw +1 cars (unique)]])</f>
        <v>35</v>
      </c>
      <c r="Q420" s="143">
        <f t="shared" si="27"/>
        <v>16</v>
      </c>
    </row>
    <row r="421" spans="1:17" x14ac:dyDescent="0.3">
      <c r="A421" t="s">
        <v>428</v>
      </c>
      <c r="B421" t="str">
        <f t="shared" si="24"/>
        <v xml:space="preserve"> 11</v>
      </c>
      <c r="C421">
        <f t="shared" si="25"/>
        <v>4</v>
      </c>
      <c r="D421" t="str">
        <f t="shared" si="26"/>
        <v xml:space="preserve">2016-12-01 </v>
      </c>
      <c r="E421" t="str">
        <f>TEXT(Demand_Data___Hourly_OverviewSearch_1_csv[[#This Row],[Day]],"dddd")</f>
        <v>Wednesday</v>
      </c>
      <c r="F421">
        <v>3</v>
      </c>
      <c r="G421">
        <v>21</v>
      </c>
      <c r="H421">
        <v>88</v>
      </c>
      <c r="I421">
        <f>VLOOKUP(Demand_Data___Hourly_OverviewSearch_1_csv[[#This Row],[Date]],Supply_Data___Hourly_DriverActivity_1_csv__3[#All],2,FALSE)</f>
        <v>48</v>
      </c>
      <c r="J421">
        <f>VLOOKUP(Demand_Data___Hourly_OverviewSearch_1_csv[[#This Row],[Date]],Supply_Data___Hourly_DriverActivity_1_csv__3[#All],3,FALSE)</f>
        <v>18</v>
      </c>
      <c r="K421">
        <f>VLOOKUP(Demand_Data___Hourly_OverviewSearch_1_csv[[#This Row],[Date]],Supply_Data___Hourly_DriverActivity_1_csv__3[#All],4,FALSE)</f>
        <v>2</v>
      </c>
      <c r="L421">
        <f>VLOOKUP(Demand_Data___Hourly_OverviewSearch_1_csv[[#This Row],[Date]],Supply_Data___Hourly_DriverActivity_1_csv__3[#All],5,FALSE)</f>
        <v>16</v>
      </c>
      <c r="M421">
        <f>VLOOKUP(Demand_Data___Hourly_OverviewSearch_1_csv[[#This Row],[Date]],Supply_Data___Hourly_DriverActivity_1_csv__3[#All],6,FALSE)</f>
        <v>0.4</v>
      </c>
      <c r="N421">
        <f>VLOOKUP(Demand_Data___Hourly_OverviewSearch_1_csv[[#This Row],[Date]],Supply_Data___Hourly_DriverActivity_1_csv__3[#All],7,FALSE)</f>
        <v>0.17</v>
      </c>
      <c r="O421">
        <f>VLOOKUP(Demand_Data___Hourly_OverviewSearch_1_csv[[#This Row],[Date]],Supply_Data___Hourly_DriverActivity_1_csv__3[#All],8,FALSE)</f>
        <v>3</v>
      </c>
      <c r="P421">
        <f>(Demand_Data___Hourly_OverviewSearch_1_csv[[#This Row],[People saw 0 cars (unique)]]+Demand_Data___Hourly_OverviewSearch_1_csv[[#This Row],[People saw +1 cars (unique)]])</f>
        <v>24</v>
      </c>
      <c r="Q421" s="143">
        <f t="shared" si="27"/>
        <v>16</v>
      </c>
    </row>
    <row r="422" spans="1:17" x14ac:dyDescent="0.3">
      <c r="A422" t="s">
        <v>429</v>
      </c>
      <c r="B422" t="str">
        <f t="shared" si="24"/>
        <v xml:space="preserve"> 10</v>
      </c>
      <c r="C422">
        <f t="shared" si="25"/>
        <v>4</v>
      </c>
      <c r="D422" t="str">
        <f t="shared" si="26"/>
        <v xml:space="preserve">2016-12-01 </v>
      </c>
      <c r="E422" t="str">
        <f>TEXT(Demand_Data___Hourly_OverviewSearch_1_csv[[#This Row],[Day]],"dddd")</f>
        <v>Wednesday</v>
      </c>
      <c r="F422">
        <v>11</v>
      </c>
      <c r="G422">
        <v>27</v>
      </c>
      <c r="H422">
        <v>71</v>
      </c>
      <c r="I422">
        <f>VLOOKUP(Demand_Data___Hourly_OverviewSearch_1_csv[[#This Row],[Date]],Supply_Data___Hourly_DriverActivity_1_csv__3[#All],2,FALSE)</f>
        <v>54</v>
      </c>
      <c r="J422">
        <f>VLOOKUP(Demand_Data___Hourly_OverviewSearch_1_csv[[#This Row],[Date]],Supply_Data___Hourly_DriverActivity_1_csv__3[#All],3,FALSE)</f>
        <v>18</v>
      </c>
      <c r="K422">
        <f>VLOOKUP(Demand_Data___Hourly_OverviewSearch_1_csv[[#This Row],[Date]],Supply_Data___Hourly_DriverActivity_1_csv__3[#All],4,FALSE)</f>
        <v>2</v>
      </c>
      <c r="L422">
        <f>VLOOKUP(Demand_Data___Hourly_OverviewSearch_1_csv[[#This Row],[Date]],Supply_Data___Hourly_DriverActivity_1_csv__3[#All],5,FALSE)</f>
        <v>16</v>
      </c>
      <c r="M422">
        <f>VLOOKUP(Demand_Data___Hourly_OverviewSearch_1_csv[[#This Row],[Date]],Supply_Data___Hourly_DriverActivity_1_csv__3[#All],6,FALSE)</f>
        <v>0.3</v>
      </c>
      <c r="N422">
        <f>VLOOKUP(Demand_Data___Hourly_OverviewSearch_1_csv[[#This Row],[Date]],Supply_Data___Hourly_DriverActivity_1_csv__3[#All],7,FALSE)</f>
        <v>0.39</v>
      </c>
      <c r="O422">
        <f>VLOOKUP(Demand_Data___Hourly_OverviewSearch_1_csv[[#This Row],[Date]],Supply_Data___Hourly_DriverActivity_1_csv__3[#All],8,FALSE)</f>
        <v>7</v>
      </c>
      <c r="P422">
        <f>(Demand_Data___Hourly_OverviewSearch_1_csv[[#This Row],[People saw 0 cars (unique)]]+Demand_Data___Hourly_OverviewSearch_1_csv[[#This Row],[People saw +1 cars (unique)]])</f>
        <v>38</v>
      </c>
      <c r="Q422" s="143">
        <f t="shared" si="27"/>
        <v>16</v>
      </c>
    </row>
    <row r="423" spans="1:17" x14ac:dyDescent="0.3">
      <c r="A423" t="s">
        <v>430</v>
      </c>
      <c r="B423" t="str">
        <f t="shared" si="24"/>
        <v xml:space="preserve"> 09</v>
      </c>
      <c r="C423">
        <f t="shared" si="25"/>
        <v>4</v>
      </c>
      <c r="D423" t="str">
        <f t="shared" si="26"/>
        <v xml:space="preserve">2016-12-01 </v>
      </c>
      <c r="E423" t="str">
        <f>TEXT(Demand_Data___Hourly_OverviewSearch_1_csv[[#This Row],[Day]],"dddd")</f>
        <v>Wednesday</v>
      </c>
      <c r="F423">
        <v>1</v>
      </c>
      <c r="G423">
        <v>21</v>
      </c>
      <c r="H423">
        <v>95</v>
      </c>
      <c r="I423">
        <f>VLOOKUP(Demand_Data___Hourly_OverviewSearch_1_csv[[#This Row],[Date]],Supply_Data___Hourly_DriverActivity_1_csv__3[#All],2,FALSE)</f>
        <v>47</v>
      </c>
      <c r="J423">
        <f>VLOOKUP(Demand_Data___Hourly_OverviewSearch_1_csv[[#This Row],[Date]],Supply_Data___Hourly_DriverActivity_1_csv__3[#All],3,FALSE)</f>
        <v>21</v>
      </c>
      <c r="K423">
        <f>VLOOKUP(Demand_Data___Hourly_OverviewSearch_1_csv[[#This Row],[Date]],Supply_Data___Hourly_DriverActivity_1_csv__3[#All],4,FALSE)</f>
        <v>2</v>
      </c>
      <c r="L423">
        <f>VLOOKUP(Demand_Data___Hourly_OverviewSearch_1_csv[[#This Row],[Date]],Supply_Data___Hourly_DriverActivity_1_csv__3[#All],5,FALSE)</f>
        <v>19</v>
      </c>
      <c r="M423">
        <f>VLOOKUP(Demand_Data___Hourly_OverviewSearch_1_csv[[#This Row],[Date]],Supply_Data___Hourly_DriverActivity_1_csv__3[#All],6,FALSE)</f>
        <v>0.4</v>
      </c>
      <c r="N423">
        <f>VLOOKUP(Demand_Data___Hourly_OverviewSearch_1_csv[[#This Row],[Date]],Supply_Data___Hourly_DriverActivity_1_csv__3[#All],7,FALSE)</f>
        <v>0.28999999999999998</v>
      </c>
      <c r="O423">
        <f>VLOOKUP(Demand_Data___Hourly_OverviewSearch_1_csv[[#This Row],[Date]],Supply_Data___Hourly_DriverActivity_1_csv__3[#All],8,FALSE)</f>
        <v>6</v>
      </c>
      <c r="P423">
        <f>(Demand_Data___Hourly_OverviewSearch_1_csv[[#This Row],[People saw 0 cars (unique)]]+Demand_Data___Hourly_OverviewSearch_1_csv[[#This Row],[People saw +1 cars (unique)]])</f>
        <v>22</v>
      </c>
      <c r="Q423" s="143">
        <f t="shared" si="27"/>
        <v>19</v>
      </c>
    </row>
    <row r="424" spans="1:17" x14ac:dyDescent="0.3">
      <c r="A424" t="s">
        <v>431</v>
      </c>
      <c r="B424" t="str">
        <f t="shared" si="24"/>
        <v xml:space="preserve"> 08</v>
      </c>
      <c r="C424">
        <f t="shared" si="25"/>
        <v>4</v>
      </c>
      <c r="D424" t="str">
        <f t="shared" si="26"/>
        <v xml:space="preserve">2016-12-01 </v>
      </c>
      <c r="E424" t="str">
        <f>TEXT(Demand_Data___Hourly_OverviewSearch_1_csv[[#This Row],[Day]],"dddd")</f>
        <v>Wednesday</v>
      </c>
      <c r="F424">
        <v>5</v>
      </c>
      <c r="G424">
        <v>13</v>
      </c>
      <c r="H424">
        <v>72</v>
      </c>
      <c r="I424">
        <f>VLOOKUP(Demand_Data___Hourly_OverviewSearch_1_csv[[#This Row],[Date]],Supply_Data___Hourly_DriverActivity_1_csv__3[#All],2,FALSE)</f>
        <v>39</v>
      </c>
      <c r="J424">
        <f>VLOOKUP(Demand_Data___Hourly_OverviewSearch_1_csv[[#This Row],[Date]],Supply_Data___Hourly_DriverActivity_1_csv__3[#All],3,FALSE)</f>
        <v>15</v>
      </c>
      <c r="K424">
        <f>VLOOKUP(Demand_Data___Hourly_OverviewSearch_1_csv[[#This Row],[Date]],Supply_Data___Hourly_DriverActivity_1_csv__3[#All],4,FALSE)</f>
        <v>2</v>
      </c>
      <c r="L424">
        <f>VLOOKUP(Demand_Data___Hourly_OverviewSearch_1_csv[[#This Row],[Date]],Supply_Data___Hourly_DriverActivity_1_csv__3[#All],5,FALSE)</f>
        <v>14</v>
      </c>
      <c r="M424">
        <f>VLOOKUP(Demand_Data___Hourly_OverviewSearch_1_csv[[#This Row],[Date]],Supply_Data___Hourly_DriverActivity_1_csv__3[#All],6,FALSE)</f>
        <v>0.4</v>
      </c>
      <c r="N424">
        <f>VLOOKUP(Demand_Data___Hourly_OverviewSearch_1_csv[[#This Row],[Date]],Supply_Data___Hourly_DriverActivity_1_csv__3[#All],7,FALSE)</f>
        <v>0.27</v>
      </c>
      <c r="O424">
        <f>VLOOKUP(Demand_Data___Hourly_OverviewSearch_1_csv[[#This Row],[Date]],Supply_Data___Hourly_DriverActivity_1_csv__3[#All],8,FALSE)</f>
        <v>4</v>
      </c>
      <c r="P424">
        <f>(Demand_Data___Hourly_OverviewSearch_1_csv[[#This Row],[People saw 0 cars (unique)]]+Demand_Data___Hourly_OverviewSearch_1_csv[[#This Row],[People saw +1 cars (unique)]])</f>
        <v>18</v>
      </c>
      <c r="Q424" s="143">
        <f t="shared" si="27"/>
        <v>13</v>
      </c>
    </row>
    <row r="425" spans="1:17" x14ac:dyDescent="0.3">
      <c r="A425" t="s">
        <v>432</v>
      </c>
      <c r="B425" t="str">
        <f t="shared" si="24"/>
        <v xml:space="preserve"> 07</v>
      </c>
      <c r="C425">
        <f t="shared" si="25"/>
        <v>4</v>
      </c>
      <c r="D425" t="str">
        <f t="shared" si="26"/>
        <v xml:space="preserve">2016-12-01 </v>
      </c>
      <c r="E425" t="str">
        <f>TEXT(Demand_Data___Hourly_OverviewSearch_1_csv[[#This Row],[Day]],"dddd")</f>
        <v>Wednesday</v>
      </c>
      <c r="F425">
        <v>5</v>
      </c>
      <c r="G425">
        <v>6</v>
      </c>
      <c r="H425">
        <v>55</v>
      </c>
      <c r="I425">
        <f>VLOOKUP(Demand_Data___Hourly_OverviewSearch_1_csv[[#This Row],[Date]],Supply_Data___Hourly_DriverActivity_1_csv__3[#All],2,FALSE)</f>
        <v>28</v>
      </c>
      <c r="J425">
        <f>VLOOKUP(Demand_Data___Hourly_OverviewSearch_1_csv[[#This Row],[Date]],Supply_Data___Hourly_DriverActivity_1_csv__3[#All],3,FALSE)</f>
        <v>10</v>
      </c>
      <c r="K425">
        <f>VLOOKUP(Demand_Data___Hourly_OverviewSearch_1_csv[[#This Row],[Date]],Supply_Data___Hourly_DriverActivity_1_csv__3[#All],4,FALSE)</f>
        <v>0</v>
      </c>
      <c r="L425">
        <f>VLOOKUP(Demand_Data___Hourly_OverviewSearch_1_csv[[#This Row],[Date]],Supply_Data___Hourly_DriverActivity_1_csv__3[#All],5,FALSE)</f>
        <v>10</v>
      </c>
      <c r="M425">
        <f>VLOOKUP(Demand_Data___Hourly_OverviewSearch_1_csv[[#This Row],[Date]],Supply_Data___Hourly_DriverActivity_1_csv__3[#All],6,FALSE)</f>
        <v>0.4</v>
      </c>
      <c r="N425">
        <f>VLOOKUP(Demand_Data___Hourly_OverviewSearch_1_csv[[#This Row],[Date]],Supply_Data___Hourly_DriverActivity_1_csv__3[#All],7,FALSE)</f>
        <v>0.1</v>
      </c>
      <c r="O425">
        <f>VLOOKUP(Demand_Data___Hourly_OverviewSearch_1_csv[[#This Row],[Date]],Supply_Data___Hourly_DriverActivity_1_csv__3[#All],8,FALSE)</f>
        <v>1</v>
      </c>
      <c r="P425">
        <f>(Demand_Data___Hourly_OverviewSearch_1_csv[[#This Row],[People saw 0 cars (unique)]]+Demand_Data___Hourly_OverviewSearch_1_csv[[#This Row],[People saw +1 cars (unique)]])</f>
        <v>11</v>
      </c>
      <c r="Q425" s="143">
        <f t="shared" si="27"/>
        <v>10</v>
      </c>
    </row>
    <row r="426" spans="1:17" x14ac:dyDescent="0.3">
      <c r="A426" t="s">
        <v>433</v>
      </c>
      <c r="B426" t="str">
        <f t="shared" si="24"/>
        <v xml:space="preserve"> 06</v>
      </c>
      <c r="C426">
        <f t="shared" si="25"/>
        <v>4</v>
      </c>
      <c r="D426" t="str">
        <f t="shared" si="26"/>
        <v xml:space="preserve">2016-12-01 </v>
      </c>
      <c r="E426" t="str">
        <f>TEXT(Demand_Data___Hourly_OverviewSearch_1_csv[[#This Row],[Day]],"dddd")</f>
        <v>Wednesday</v>
      </c>
      <c r="F426">
        <v>5</v>
      </c>
      <c r="G426">
        <v>1</v>
      </c>
      <c r="H426">
        <v>17</v>
      </c>
      <c r="I426">
        <f>VLOOKUP(Demand_Data___Hourly_OverviewSearch_1_csv[[#This Row],[Date]],Supply_Data___Hourly_DriverActivity_1_csv__3[#All],2,FALSE)</f>
        <v>25</v>
      </c>
      <c r="J426">
        <f>VLOOKUP(Demand_Data___Hourly_OverviewSearch_1_csv[[#This Row],[Date]],Supply_Data___Hourly_DriverActivity_1_csv__3[#All],3,FALSE)</f>
        <v>5</v>
      </c>
      <c r="K426">
        <f>VLOOKUP(Demand_Data___Hourly_OverviewSearch_1_csv[[#This Row],[Date]],Supply_Data___Hourly_DriverActivity_1_csv__3[#All],4,FALSE)</f>
        <v>0</v>
      </c>
      <c r="L426">
        <f>VLOOKUP(Demand_Data___Hourly_OverviewSearch_1_csv[[#This Row],[Date]],Supply_Data___Hourly_DriverActivity_1_csv__3[#All],5,FALSE)</f>
        <v>5</v>
      </c>
      <c r="M426">
        <f>VLOOKUP(Demand_Data___Hourly_OverviewSearch_1_csv[[#This Row],[Date]],Supply_Data___Hourly_DriverActivity_1_csv__3[#All],6,FALSE)</f>
        <v>0.2</v>
      </c>
      <c r="N426">
        <f>VLOOKUP(Demand_Data___Hourly_OverviewSearch_1_csv[[#This Row],[Date]],Supply_Data___Hourly_DriverActivity_1_csv__3[#All],7,FALSE)</f>
        <v>0</v>
      </c>
      <c r="O426">
        <f>VLOOKUP(Demand_Data___Hourly_OverviewSearch_1_csv[[#This Row],[Date]],Supply_Data___Hourly_DriverActivity_1_csv__3[#All],8,FALSE)</f>
        <v>0</v>
      </c>
      <c r="P426">
        <f>(Demand_Data___Hourly_OverviewSearch_1_csv[[#This Row],[People saw 0 cars (unique)]]+Demand_Data___Hourly_OverviewSearch_1_csv[[#This Row],[People saw +1 cars (unique)]])</f>
        <v>6</v>
      </c>
      <c r="Q426" s="143">
        <f t="shared" si="27"/>
        <v>5</v>
      </c>
    </row>
    <row r="427" spans="1:17" x14ac:dyDescent="0.3">
      <c r="A427" t="s">
        <v>434</v>
      </c>
      <c r="B427" t="str">
        <f t="shared" si="24"/>
        <v xml:space="preserve"> 05</v>
      </c>
      <c r="C427">
        <f t="shared" si="25"/>
        <v>4</v>
      </c>
      <c r="D427" t="str">
        <f t="shared" si="26"/>
        <v xml:space="preserve">2016-12-01 </v>
      </c>
      <c r="E427" t="str">
        <f>TEXT(Demand_Data___Hourly_OverviewSearch_1_csv[[#This Row],[Day]],"dddd")</f>
        <v>Wednesday</v>
      </c>
      <c r="F427">
        <v>5</v>
      </c>
      <c r="G427">
        <v>5</v>
      </c>
      <c r="H427">
        <v>50</v>
      </c>
      <c r="I427">
        <f>VLOOKUP(Demand_Data___Hourly_OverviewSearch_1_csv[[#This Row],[Date]],Supply_Data___Hourly_DriverActivity_1_csv__3[#All],2,FALSE)</f>
        <v>29</v>
      </c>
      <c r="J427">
        <f>VLOOKUP(Demand_Data___Hourly_OverviewSearch_1_csv[[#This Row],[Date]],Supply_Data___Hourly_DriverActivity_1_csv__3[#All],3,FALSE)</f>
        <v>6</v>
      </c>
      <c r="K427">
        <f>VLOOKUP(Demand_Data___Hourly_OverviewSearch_1_csv[[#This Row],[Date]],Supply_Data___Hourly_DriverActivity_1_csv__3[#All],4,FALSE)</f>
        <v>1</v>
      </c>
      <c r="L427">
        <f>VLOOKUP(Demand_Data___Hourly_OverviewSearch_1_csv[[#This Row],[Date]],Supply_Data___Hourly_DriverActivity_1_csv__3[#All],5,FALSE)</f>
        <v>5</v>
      </c>
      <c r="M427">
        <f>VLOOKUP(Demand_Data___Hourly_OverviewSearch_1_csv[[#This Row],[Date]],Supply_Data___Hourly_DriverActivity_1_csv__3[#All],6,FALSE)</f>
        <v>0.2</v>
      </c>
      <c r="N427">
        <f>VLOOKUP(Demand_Data___Hourly_OverviewSearch_1_csv[[#This Row],[Date]],Supply_Data___Hourly_DriverActivity_1_csv__3[#All],7,FALSE)</f>
        <v>0.17</v>
      </c>
      <c r="O427">
        <f>VLOOKUP(Demand_Data___Hourly_OverviewSearch_1_csv[[#This Row],[Date]],Supply_Data___Hourly_DriverActivity_1_csv__3[#All],8,FALSE)</f>
        <v>1</v>
      </c>
      <c r="P427">
        <f>(Demand_Data___Hourly_OverviewSearch_1_csv[[#This Row],[People saw 0 cars (unique)]]+Demand_Data___Hourly_OverviewSearch_1_csv[[#This Row],[People saw +1 cars (unique)]])</f>
        <v>10</v>
      </c>
      <c r="Q427" s="143">
        <f t="shared" si="27"/>
        <v>5</v>
      </c>
    </row>
    <row r="428" spans="1:17" x14ac:dyDescent="0.3">
      <c r="A428" t="s">
        <v>435</v>
      </c>
      <c r="B428" t="str">
        <f t="shared" si="24"/>
        <v xml:space="preserve"> 04</v>
      </c>
      <c r="C428">
        <f t="shared" si="25"/>
        <v>4</v>
      </c>
      <c r="D428" t="str">
        <f t="shared" si="26"/>
        <v xml:space="preserve">2016-12-01 </v>
      </c>
      <c r="E428" t="str">
        <f>TEXT(Demand_Data___Hourly_OverviewSearch_1_csv[[#This Row],[Day]],"dddd")</f>
        <v>Wednesday</v>
      </c>
      <c r="F428">
        <v>8</v>
      </c>
      <c r="G428">
        <v>13</v>
      </c>
      <c r="H428">
        <v>62</v>
      </c>
      <c r="I428">
        <f>VLOOKUP(Demand_Data___Hourly_OverviewSearch_1_csv[[#This Row],[Date]],Supply_Data___Hourly_DriverActivity_1_csv__3[#All],2,FALSE)</f>
        <v>30</v>
      </c>
      <c r="J428">
        <f>VLOOKUP(Demand_Data___Hourly_OverviewSearch_1_csv[[#This Row],[Date]],Supply_Data___Hourly_DriverActivity_1_csv__3[#All],3,FALSE)</f>
        <v>7</v>
      </c>
      <c r="K428">
        <f>VLOOKUP(Demand_Data___Hourly_OverviewSearch_1_csv[[#This Row],[Date]],Supply_Data___Hourly_DriverActivity_1_csv__3[#All],4,FALSE)</f>
        <v>2</v>
      </c>
      <c r="L428">
        <f>VLOOKUP(Demand_Data___Hourly_OverviewSearch_1_csv[[#This Row],[Date]],Supply_Data___Hourly_DriverActivity_1_csv__3[#All],5,FALSE)</f>
        <v>5</v>
      </c>
      <c r="M428">
        <f>VLOOKUP(Demand_Data___Hourly_OverviewSearch_1_csv[[#This Row],[Date]],Supply_Data___Hourly_DriverActivity_1_csv__3[#All],6,FALSE)</f>
        <v>0.2</v>
      </c>
      <c r="N428">
        <f>VLOOKUP(Demand_Data___Hourly_OverviewSearch_1_csv[[#This Row],[Date]],Supply_Data___Hourly_DriverActivity_1_csv__3[#All],7,FALSE)</f>
        <v>0.71</v>
      </c>
      <c r="O428">
        <f>VLOOKUP(Demand_Data___Hourly_OverviewSearch_1_csv[[#This Row],[Date]],Supply_Data___Hourly_DriverActivity_1_csv__3[#All],8,FALSE)</f>
        <v>5</v>
      </c>
      <c r="P428">
        <f>(Demand_Data___Hourly_OverviewSearch_1_csv[[#This Row],[People saw 0 cars (unique)]]+Demand_Data___Hourly_OverviewSearch_1_csv[[#This Row],[People saw +1 cars (unique)]])</f>
        <v>21</v>
      </c>
      <c r="Q428" s="143">
        <f t="shared" si="27"/>
        <v>5</v>
      </c>
    </row>
    <row r="429" spans="1:17" x14ac:dyDescent="0.3">
      <c r="A429" t="s">
        <v>436</v>
      </c>
      <c r="B429" t="str">
        <f t="shared" si="24"/>
        <v xml:space="preserve"> 03</v>
      </c>
      <c r="C429">
        <f t="shared" si="25"/>
        <v>4</v>
      </c>
      <c r="D429" t="str">
        <f t="shared" si="26"/>
        <v xml:space="preserve">2016-12-01 </v>
      </c>
      <c r="E429" t="str">
        <f>TEXT(Demand_Data___Hourly_OverviewSearch_1_csv[[#This Row],[Day]],"dddd")</f>
        <v>Wednesday</v>
      </c>
      <c r="F429">
        <v>15</v>
      </c>
      <c r="G429">
        <v>19</v>
      </c>
      <c r="H429">
        <v>56</v>
      </c>
      <c r="I429">
        <f>VLOOKUP(Demand_Data___Hourly_OverviewSearch_1_csv[[#This Row],[Date]],Supply_Data___Hourly_DriverActivity_1_csv__3[#All],2,FALSE)</f>
        <v>36</v>
      </c>
      <c r="J429">
        <f>VLOOKUP(Demand_Data___Hourly_OverviewSearch_1_csv[[#This Row],[Date]],Supply_Data___Hourly_DriverActivity_1_csv__3[#All],3,FALSE)</f>
        <v>9</v>
      </c>
      <c r="K429">
        <f>VLOOKUP(Demand_Data___Hourly_OverviewSearch_1_csv[[#This Row],[Date]],Supply_Data___Hourly_DriverActivity_1_csv__3[#All],4,FALSE)</f>
        <v>2</v>
      </c>
      <c r="L429">
        <f>VLOOKUP(Demand_Data___Hourly_OverviewSearch_1_csv[[#This Row],[Date]],Supply_Data___Hourly_DriverActivity_1_csv__3[#All],5,FALSE)</f>
        <v>7</v>
      </c>
      <c r="M429">
        <f>VLOOKUP(Demand_Data___Hourly_OverviewSearch_1_csv[[#This Row],[Date]],Supply_Data___Hourly_DriverActivity_1_csv__3[#All],6,FALSE)</f>
        <v>0.3</v>
      </c>
      <c r="N429">
        <f>VLOOKUP(Demand_Data___Hourly_OverviewSearch_1_csv[[#This Row],[Date]],Supply_Data___Hourly_DriverActivity_1_csv__3[#All],7,FALSE)</f>
        <v>0.67</v>
      </c>
      <c r="O429">
        <f>VLOOKUP(Demand_Data___Hourly_OverviewSearch_1_csv[[#This Row],[Date]],Supply_Data___Hourly_DriverActivity_1_csv__3[#All],8,FALSE)</f>
        <v>6</v>
      </c>
      <c r="P429">
        <f>(Demand_Data___Hourly_OverviewSearch_1_csv[[#This Row],[People saw 0 cars (unique)]]+Demand_Data___Hourly_OverviewSearch_1_csv[[#This Row],[People saw +1 cars (unique)]])</f>
        <v>34</v>
      </c>
      <c r="Q429" s="143">
        <f t="shared" si="27"/>
        <v>7</v>
      </c>
    </row>
    <row r="430" spans="1:17" x14ac:dyDescent="0.3">
      <c r="A430" t="s">
        <v>437</v>
      </c>
      <c r="B430" t="str">
        <f t="shared" si="24"/>
        <v xml:space="preserve"> 02</v>
      </c>
      <c r="C430">
        <f t="shared" si="25"/>
        <v>4</v>
      </c>
      <c r="D430" t="str">
        <f t="shared" si="26"/>
        <v xml:space="preserve">2016-12-01 </v>
      </c>
      <c r="E430" t="str">
        <f>TEXT(Demand_Data___Hourly_OverviewSearch_1_csv[[#This Row],[Day]],"dddd")</f>
        <v>Wednesday</v>
      </c>
      <c r="F430">
        <v>5</v>
      </c>
      <c r="G430">
        <v>27</v>
      </c>
      <c r="H430">
        <v>84</v>
      </c>
      <c r="I430">
        <f>VLOOKUP(Demand_Data___Hourly_OverviewSearch_1_csv[[#This Row],[Date]],Supply_Data___Hourly_DriverActivity_1_csv__3[#All],2,FALSE)</f>
        <v>44</v>
      </c>
      <c r="J430">
        <f>VLOOKUP(Demand_Data___Hourly_OverviewSearch_1_csv[[#This Row],[Date]],Supply_Data___Hourly_DriverActivity_1_csv__3[#All],3,FALSE)</f>
        <v>17</v>
      </c>
      <c r="K430">
        <f>VLOOKUP(Demand_Data___Hourly_OverviewSearch_1_csv[[#This Row],[Date]],Supply_Data___Hourly_DriverActivity_1_csv__3[#All],4,FALSE)</f>
        <v>4</v>
      </c>
      <c r="L430">
        <f>VLOOKUP(Demand_Data___Hourly_OverviewSearch_1_csv[[#This Row],[Date]],Supply_Data___Hourly_DriverActivity_1_csv__3[#All],5,FALSE)</f>
        <v>14</v>
      </c>
      <c r="M430">
        <f>VLOOKUP(Demand_Data___Hourly_OverviewSearch_1_csv[[#This Row],[Date]],Supply_Data___Hourly_DriverActivity_1_csv__3[#All],6,FALSE)</f>
        <v>0.4</v>
      </c>
      <c r="N430">
        <f>VLOOKUP(Demand_Data___Hourly_OverviewSearch_1_csv[[#This Row],[Date]],Supply_Data___Hourly_DriverActivity_1_csv__3[#All],7,FALSE)</f>
        <v>0.53</v>
      </c>
      <c r="O430">
        <f>VLOOKUP(Demand_Data___Hourly_OverviewSearch_1_csv[[#This Row],[Date]],Supply_Data___Hourly_DriverActivity_1_csv__3[#All],8,FALSE)</f>
        <v>9</v>
      </c>
      <c r="P430">
        <f>(Demand_Data___Hourly_OverviewSearch_1_csv[[#This Row],[People saw 0 cars (unique)]]+Demand_Data___Hourly_OverviewSearch_1_csv[[#This Row],[People saw +1 cars (unique)]])</f>
        <v>32</v>
      </c>
      <c r="Q430" s="143">
        <f t="shared" si="27"/>
        <v>13</v>
      </c>
    </row>
    <row r="431" spans="1:17" x14ac:dyDescent="0.3">
      <c r="A431" t="s">
        <v>438</v>
      </c>
      <c r="B431" t="str">
        <f t="shared" si="24"/>
        <v xml:space="preserve"> 01</v>
      </c>
      <c r="C431">
        <f t="shared" si="25"/>
        <v>4</v>
      </c>
      <c r="D431" t="str">
        <f t="shared" si="26"/>
        <v xml:space="preserve">2016-12-01 </v>
      </c>
      <c r="E431" t="str">
        <f>TEXT(Demand_Data___Hourly_OverviewSearch_1_csv[[#This Row],[Day]],"dddd")</f>
        <v>Wednesday</v>
      </c>
      <c r="F431">
        <v>2</v>
      </c>
      <c r="G431">
        <v>33</v>
      </c>
      <c r="H431">
        <v>94</v>
      </c>
      <c r="I431">
        <f>VLOOKUP(Demand_Data___Hourly_OverviewSearch_1_csv[[#This Row],[Date]],Supply_Data___Hourly_DriverActivity_1_csv__3[#All],2,FALSE)</f>
        <v>65</v>
      </c>
      <c r="J431">
        <f>VLOOKUP(Demand_Data___Hourly_OverviewSearch_1_csv[[#This Row],[Date]],Supply_Data___Hourly_DriverActivity_1_csv__3[#All],3,FALSE)</f>
        <v>22</v>
      </c>
      <c r="K431">
        <f>VLOOKUP(Demand_Data___Hourly_OverviewSearch_1_csv[[#This Row],[Date]],Supply_Data___Hourly_DriverActivity_1_csv__3[#All],4,FALSE)</f>
        <v>5</v>
      </c>
      <c r="L431">
        <f>VLOOKUP(Demand_Data___Hourly_OverviewSearch_1_csv[[#This Row],[Date]],Supply_Data___Hourly_DriverActivity_1_csv__3[#All],5,FALSE)</f>
        <v>17</v>
      </c>
      <c r="M431">
        <f>VLOOKUP(Demand_Data___Hourly_OverviewSearch_1_csv[[#This Row],[Date]],Supply_Data___Hourly_DriverActivity_1_csv__3[#All],6,FALSE)</f>
        <v>0.3</v>
      </c>
      <c r="N431">
        <f>VLOOKUP(Demand_Data___Hourly_OverviewSearch_1_csv[[#This Row],[Date]],Supply_Data___Hourly_DriverActivity_1_csv__3[#All],7,FALSE)</f>
        <v>0.59</v>
      </c>
      <c r="O431">
        <f>VLOOKUP(Demand_Data___Hourly_OverviewSearch_1_csv[[#This Row],[Date]],Supply_Data___Hourly_DriverActivity_1_csv__3[#All],8,FALSE)</f>
        <v>13</v>
      </c>
      <c r="P431">
        <f>(Demand_Data___Hourly_OverviewSearch_1_csv[[#This Row],[People saw 0 cars (unique)]]+Demand_Data___Hourly_OverviewSearch_1_csv[[#This Row],[People saw +1 cars (unique)]])</f>
        <v>35</v>
      </c>
      <c r="Q431" s="143">
        <f t="shared" si="27"/>
        <v>17</v>
      </c>
    </row>
    <row r="432" spans="1:17" x14ac:dyDescent="0.3">
      <c r="A432" t="s">
        <v>439</v>
      </c>
      <c r="B432" t="str">
        <f t="shared" si="24"/>
        <v xml:space="preserve"> 00</v>
      </c>
      <c r="C432">
        <f t="shared" si="25"/>
        <v>4</v>
      </c>
      <c r="D432" t="str">
        <f t="shared" si="26"/>
        <v xml:space="preserve">2016-12-01 </v>
      </c>
      <c r="E432" t="str">
        <f>TEXT(Demand_Data___Hourly_OverviewSearch_1_csv[[#This Row],[Day]],"dddd")</f>
        <v>Wednesday</v>
      </c>
      <c r="F432">
        <v>9</v>
      </c>
      <c r="G432">
        <v>48</v>
      </c>
      <c r="H432">
        <v>84</v>
      </c>
      <c r="I432">
        <f>VLOOKUP(Demand_Data___Hourly_OverviewSearch_1_csv[[#This Row],[Date]],Supply_Data___Hourly_DriverActivity_1_csv__3[#All],2,FALSE)</f>
        <v>71</v>
      </c>
      <c r="J432">
        <f>VLOOKUP(Demand_Data___Hourly_OverviewSearch_1_csv[[#This Row],[Date]],Supply_Data___Hourly_DriverActivity_1_csv__3[#All],3,FALSE)</f>
        <v>25</v>
      </c>
      <c r="K432">
        <f>VLOOKUP(Demand_Data___Hourly_OverviewSearch_1_csv[[#This Row],[Date]],Supply_Data___Hourly_DriverActivity_1_csv__3[#All],4,FALSE)</f>
        <v>10</v>
      </c>
      <c r="L432">
        <f>VLOOKUP(Demand_Data___Hourly_OverviewSearch_1_csv[[#This Row],[Date]],Supply_Data___Hourly_DriverActivity_1_csv__3[#All],5,FALSE)</f>
        <v>15</v>
      </c>
      <c r="M432">
        <f>VLOOKUP(Demand_Data___Hourly_OverviewSearch_1_csv[[#This Row],[Date]],Supply_Data___Hourly_DriverActivity_1_csv__3[#All],6,FALSE)</f>
        <v>0.4</v>
      </c>
      <c r="N432">
        <f>VLOOKUP(Demand_Data___Hourly_OverviewSearch_1_csv[[#This Row],[Date]],Supply_Data___Hourly_DriverActivity_1_csv__3[#All],7,FALSE)</f>
        <v>0.96</v>
      </c>
      <c r="O432">
        <f>VLOOKUP(Demand_Data___Hourly_OverviewSearch_1_csv[[#This Row],[Date]],Supply_Data___Hourly_DriverActivity_1_csv__3[#All],8,FALSE)</f>
        <v>24</v>
      </c>
      <c r="P432">
        <f>(Demand_Data___Hourly_OverviewSearch_1_csv[[#This Row],[People saw 0 cars (unique)]]+Demand_Data___Hourly_OverviewSearch_1_csv[[#This Row],[People saw +1 cars (unique)]])</f>
        <v>57</v>
      </c>
      <c r="Q432" s="143">
        <f t="shared" si="27"/>
        <v>15</v>
      </c>
    </row>
    <row r="433" spans="1:17" x14ac:dyDescent="0.3">
      <c r="A433" t="s">
        <v>440</v>
      </c>
      <c r="B433" t="str">
        <f t="shared" si="24"/>
        <v xml:space="preserve"> 23</v>
      </c>
      <c r="C433">
        <f t="shared" si="25"/>
        <v>3</v>
      </c>
      <c r="D433" t="str">
        <f t="shared" si="26"/>
        <v xml:space="preserve">2016-11-30 </v>
      </c>
      <c r="E433" t="str">
        <f>TEXT(Demand_Data___Hourly_OverviewSearch_1_csv[[#This Row],[Day]],"dddd")</f>
        <v>Tuesday</v>
      </c>
      <c r="F433">
        <v>11</v>
      </c>
      <c r="G433">
        <v>59</v>
      </c>
      <c r="H433">
        <v>84</v>
      </c>
      <c r="I433">
        <f>VLOOKUP(Demand_Data___Hourly_OverviewSearch_1_csv[[#This Row],[Date]],Supply_Data___Hourly_DriverActivity_1_csv__3[#All],2,FALSE)</f>
        <v>74</v>
      </c>
      <c r="J433">
        <f>VLOOKUP(Demand_Data___Hourly_OverviewSearch_1_csv[[#This Row],[Date]],Supply_Data___Hourly_DriverActivity_1_csv__3[#All],3,FALSE)</f>
        <v>25</v>
      </c>
      <c r="K433">
        <f>VLOOKUP(Demand_Data___Hourly_OverviewSearch_1_csv[[#This Row],[Date]],Supply_Data___Hourly_DriverActivity_1_csv__3[#All],4,FALSE)</f>
        <v>11</v>
      </c>
      <c r="L433">
        <f>VLOOKUP(Demand_Data___Hourly_OverviewSearch_1_csv[[#This Row],[Date]],Supply_Data___Hourly_DriverActivity_1_csv__3[#All],5,FALSE)</f>
        <v>14</v>
      </c>
      <c r="M433">
        <f>VLOOKUP(Demand_Data___Hourly_OverviewSearch_1_csv[[#This Row],[Date]],Supply_Data___Hourly_DriverActivity_1_csv__3[#All],6,FALSE)</f>
        <v>0.3</v>
      </c>
      <c r="N433">
        <f>VLOOKUP(Demand_Data___Hourly_OverviewSearch_1_csv[[#This Row],[Date]],Supply_Data___Hourly_DriverActivity_1_csv__3[#All],7,FALSE)</f>
        <v>1.08</v>
      </c>
      <c r="O433">
        <f>VLOOKUP(Demand_Data___Hourly_OverviewSearch_1_csv[[#This Row],[Date]],Supply_Data___Hourly_DriverActivity_1_csv__3[#All],8,FALSE)</f>
        <v>27</v>
      </c>
      <c r="P433">
        <f>(Demand_Data___Hourly_OverviewSearch_1_csv[[#This Row],[People saw 0 cars (unique)]]+Demand_Data___Hourly_OverviewSearch_1_csv[[#This Row],[People saw +1 cars (unique)]])</f>
        <v>70</v>
      </c>
      <c r="Q433" s="143">
        <f t="shared" si="27"/>
        <v>14</v>
      </c>
    </row>
    <row r="434" spans="1:17" x14ac:dyDescent="0.3">
      <c r="A434" t="s">
        <v>441</v>
      </c>
      <c r="B434" t="str">
        <f t="shared" si="24"/>
        <v xml:space="preserve"> 22</v>
      </c>
      <c r="C434">
        <f t="shared" si="25"/>
        <v>3</v>
      </c>
      <c r="D434" t="str">
        <f t="shared" si="26"/>
        <v xml:space="preserve">2016-11-30 </v>
      </c>
      <c r="E434" t="str">
        <f>TEXT(Demand_Data___Hourly_OverviewSearch_1_csv[[#This Row],[Day]],"dddd")</f>
        <v>Tuesday</v>
      </c>
      <c r="F434">
        <v>6</v>
      </c>
      <c r="G434">
        <v>39</v>
      </c>
      <c r="H434">
        <v>87</v>
      </c>
      <c r="I434">
        <f>VLOOKUP(Demand_Data___Hourly_OverviewSearch_1_csv[[#This Row],[Date]],Supply_Data___Hourly_DriverActivity_1_csv__3[#All],2,FALSE)</f>
        <v>81</v>
      </c>
      <c r="J434">
        <f>VLOOKUP(Demand_Data___Hourly_OverviewSearch_1_csv[[#This Row],[Date]],Supply_Data___Hourly_DriverActivity_1_csv__3[#All],3,FALSE)</f>
        <v>30</v>
      </c>
      <c r="K434">
        <f>VLOOKUP(Demand_Data___Hourly_OverviewSearch_1_csv[[#This Row],[Date]],Supply_Data___Hourly_DriverActivity_1_csv__3[#All],4,FALSE)</f>
        <v>6</v>
      </c>
      <c r="L434">
        <f>VLOOKUP(Demand_Data___Hourly_OverviewSearch_1_csv[[#This Row],[Date]],Supply_Data___Hourly_DriverActivity_1_csv__3[#All],5,FALSE)</f>
        <v>24</v>
      </c>
      <c r="M434">
        <f>VLOOKUP(Demand_Data___Hourly_OverviewSearch_1_csv[[#This Row],[Date]],Supply_Data___Hourly_DriverActivity_1_csv__3[#All],6,FALSE)</f>
        <v>0.4</v>
      </c>
      <c r="N434">
        <f>VLOOKUP(Demand_Data___Hourly_OverviewSearch_1_csv[[#This Row],[Date]],Supply_Data___Hourly_DriverActivity_1_csv__3[#All],7,FALSE)</f>
        <v>0.67</v>
      </c>
      <c r="O434">
        <f>VLOOKUP(Demand_Data___Hourly_OverviewSearch_1_csv[[#This Row],[Date]],Supply_Data___Hourly_DriverActivity_1_csv__3[#All],8,FALSE)</f>
        <v>20</v>
      </c>
      <c r="P434">
        <f>(Demand_Data___Hourly_OverviewSearch_1_csv[[#This Row],[People saw 0 cars (unique)]]+Demand_Data___Hourly_OverviewSearch_1_csv[[#This Row],[People saw +1 cars (unique)]])</f>
        <v>45</v>
      </c>
      <c r="Q434" s="143">
        <f t="shared" si="27"/>
        <v>24</v>
      </c>
    </row>
    <row r="435" spans="1:17" x14ac:dyDescent="0.3">
      <c r="A435" t="s">
        <v>442</v>
      </c>
      <c r="B435" t="str">
        <f t="shared" si="24"/>
        <v xml:space="preserve"> 21</v>
      </c>
      <c r="C435">
        <f t="shared" si="25"/>
        <v>3</v>
      </c>
      <c r="D435" t="str">
        <f t="shared" si="26"/>
        <v xml:space="preserve">2016-11-30 </v>
      </c>
      <c r="E435" t="str">
        <f>TEXT(Demand_Data___Hourly_OverviewSearch_1_csv[[#This Row],[Day]],"dddd")</f>
        <v>Tuesday</v>
      </c>
      <c r="F435">
        <v>5</v>
      </c>
      <c r="G435">
        <v>34</v>
      </c>
      <c r="H435">
        <v>87</v>
      </c>
      <c r="I435">
        <f>VLOOKUP(Demand_Data___Hourly_OverviewSearch_1_csv[[#This Row],[Date]],Supply_Data___Hourly_DriverActivity_1_csv__3[#All],2,FALSE)</f>
        <v>74</v>
      </c>
      <c r="J435">
        <f>VLOOKUP(Demand_Data___Hourly_OverviewSearch_1_csv[[#This Row],[Date]],Supply_Data___Hourly_DriverActivity_1_csv__3[#All],3,FALSE)</f>
        <v>27</v>
      </c>
      <c r="K435">
        <f>VLOOKUP(Demand_Data___Hourly_OverviewSearch_1_csv[[#This Row],[Date]],Supply_Data___Hourly_DriverActivity_1_csv__3[#All],4,FALSE)</f>
        <v>5</v>
      </c>
      <c r="L435">
        <f>VLOOKUP(Demand_Data___Hourly_OverviewSearch_1_csv[[#This Row],[Date]],Supply_Data___Hourly_DriverActivity_1_csv__3[#All],5,FALSE)</f>
        <v>22</v>
      </c>
      <c r="M435">
        <f>VLOOKUP(Demand_Data___Hourly_OverviewSearch_1_csv[[#This Row],[Date]],Supply_Data___Hourly_DriverActivity_1_csv__3[#All],6,FALSE)</f>
        <v>0.4</v>
      </c>
      <c r="N435">
        <f>VLOOKUP(Demand_Data___Hourly_OverviewSearch_1_csv[[#This Row],[Date]],Supply_Data___Hourly_DriverActivity_1_csv__3[#All],7,FALSE)</f>
        <v>0.59</v>
      </c>
      <c r="O435">
        <f>VLOOKUP(Demand_Data___Hourly_OverviewSearch_1_csv[[#This Row],[Date]],Supply_Data___Hourly_DriverActivity_1_csv__3[#All],8,FALSE)</f>
        <v>16</v>
      </c>
      <c r="P435">
        <f>(Demand_Data___Hourly_OverviewSearch_1_csv[[#This Row],[People saw 0 cars (unique)]]+Demand_Data___Hourly_OverviewSearch_1_csv[[#This Row],[People saw +1 cars (unique)]])</f>
        <v>39</v>
      </c>
      <c r="Q435" s="143">
        <f t="shared" si="27"/>
        <v>22</v>
      </c>
    </row>
    <row r="436" spans="1:17" x14ac:dyDescent="0.3">
      <c r="A436" t="s">
        <v>443</v>
      </c>
      <c r="B436" t="str">
        <f t="shared" si="24"/>
        <v xml:space="preserve"> 20</v>
      </c>
      <c r="C436">
        <f t="shared" si="25"/>
        <v>3</v>
      </c>
      <c r="D436" t="str">
        <f t="shared" si="26"/>
        <v xml:space="preserve">2016-11-30 </v>
      </c>
      <c r="E436" t="str">
        <f>TEXT(Demand_Data___Hourly_OverviewSearch_1_csv[[#This Row],[Day]],"dddd")</f>
        <v>Tuesday</v>
      </c>
      <c r="F436">
        <v>7</v>
      </c>
      <c r="G436">
        <v>44</v>
      </c>
      <c r="H436">
        <v>86</v>
      </c>
      <c r="I436">
        <f>VLOOKUP(Demand_Data___Hourly_OverviewSearch_1_csv[[#This Row],[Date]],Supply_Data___Hourly_DriverActivity_1_csv__3[#All],2,FALSE)</f>
        <v>91</v>
      </c>
      <c r="J436">
        <f>VLOOKUP(Demand_Data___Hourly_OverviewSearch_1_csv[[#This Row],[Date]],Supply_Data___Hourly_DriverActivity_1_csv__3[#All],3,FALSE)</f>
        <v>37</v>
      </c>
      <c r="K436">
        <f>VLOOKUP(Demand_Data___Hourly_OverviewSearch_1_csv[[#This Row],[Date]],Supply_Data___Hourly_DriverActivity_1_csv__3[#All],4,FALSE)</f>
        <v>4</v>
      </c>
      <c r="L436">
        <f>VLOOKUP(Demand_Data___Hourly_OverviewSearch_1_csv[[#This Row],[Date]],Supply_Data___Hourly_DriverActivity_1_csv__3[#All],5,FALSE)</f>
        <v>33</v>
      </c>
      <c r="M436">
        <f>VLOOKUP(Demand_Data___Hourly_OverviewSearch_1_csv[[#This Row],[Date]],Supply_Data___Hourly_DriverActivity_1_csv__3[#All],6,FALSE)</f>
        <v>0.4</v>
      </c>
      <c r="N436">
        <f>VLOOKUP(Demand_Data___Hourly_OverviewSearch_1_csv[[#This Row],[Date]],Supply_Data___Hourly_DriverActivity_1_csv__3[#All],7,FALSE)</f>
        <v>0.35</v>
      </c>
      <c r="O436">
        <f>VLOOKUP(Demand_Data___Hourly_OverviewSearch_1_csv[[#This Row],[Date]],Supply_Data___Hourly_DriverActivity_1_csv__3[#All],8,FALSE)</f>
        <v>13</v>
      </c>
      <c r="P436">
        <f>(Demand_Data___Hourly_OverviewSearch_1_csv[[#This Row],[People saw 0 cars (unique)]]+Demand_Data___Hourly_OverviewSearch_1_csv[[#This Row],[People saw +1 cars (unique)]])</f>
        <v>51</v>
      </c>
      <c r="Q436" s="143">
        <f t="shared" si="27"/>
        <v>33</v>
      </c>
    </row>
    <row r="437" spans="1:17" x14ac:dyDescent="0.3">
      <c r="A437" t="s">
        <v>444</v>
      </c>
      <c r="B437" t="str">
        <f t="shared" si="24"/>
        <v xml:space="preserve"> 19</v>
      </c>
      <c r="C437">
        <f t="shared" si="25"/>
        <v>3</v>
      </c>
      <c r="D437" t="str">
        <f t="shared" si="26"/>
        <v xml:space="preserve">2016-11-30 </v>
      </c>
      <c r="E437" t="str">
        <f>TEXT(Demand_Data___Hourly_OverviewSearch_1_csv[[#This Row],[Day]],"dddd")</f>
        <v>Tuesday</v>
      </c>
      <c r="F437">
        <v>5</v>
      </c>
      <c r="G437">
        <v>46</v>
      </c>
      <c r="H437">
        <v>90</v>
      </c>
      <c r="I437">
        <f>VLOOKUP(Demand_Data___Hourly_OverviewSearch_1_csv[[#This Row],[Date]],Supply_Data___Hourly_DriverActivity_1_csv__3[#All],2,FALSE)</f>
        <v>81</v>
      </c>
      <c r="J437">
        <f>VLOOKUP(Demand_Data___Hourly_OverviewSearch_1_csv[[#This Row],[Date]],Supply_Data___Hourly_DriverActivity_1_csv__3[#All],3,FALSE)</f>
        <v>31</v>
      </c>
      <c r="K437">
        <f>VLOOKUP(Demand_Data___Hourly_OverviewSearch_1_csv[[#This Row],[Date]],Supply_Data___Hourly_DriverActivity_1_csv__3[#All],4,FALSE)</f>
        <v>6</v>
      </c>
      <c r="L437">
        <f>VLOOKUP(Demand_Data___Hourly_OverviewSearch_1_csv[[#This Row],[Date]],Supply_Data___Hourly_DriverActivity_1_csv__3[#All],5,FALSE)</f>
        <v>25</v>
      </c>
      <c r="M437">
        <f>VLOOKUP(Demand_Data___Hourly_OverviewSearch_1_csv[[#This Row],[Date]],Supply_Data___Hourly_DriverActivity_1_csv__3[#All],6,FALSE)</f>
        <v>0.4</v>
      </c>
      <c r="N437">
        <f>VLOOKUP(Demand_Data___Hourly_OverviewSearch_1_csv[[#This Row],[Date]],Supply_Data___Hourly_DriverActivity_1_csv__3[#All],7,FALSE)</f>
        <v>0.52</v>
      </c>
      <c r="O437">
        <f>VLOOKUP(Demand_Data___Hourly_OverviewSearch_1_csv[[#This Row],[Date]],Supply_Data___Hourly_DriverActivity_1_csv__3[#All],8,FALSE)</f>
        <v>16</v>
      </c>
      <c r="P437">
        <f>(Demand_Data___Hourly_OverviewSearch_1_csv[[#This Row],[People saw 0 cars (unique)]]+Demand_Data___Hourly_OverviewSearch_1_csv[[#This Row],[People saw +1 cars (unique)]])</f>
        <v>51</v>
      </c>
      <c r="Q437" s="143">
        <f t="shared" si="27"/>
        <v>25</v>
      </c>
    </row>
    <row r="438" spans="1:17" x14ac:dyDescent="0.3">
      <c r="A438" t="s">
        <v>445</v>
      </c>
      <c r="B438" t="str">
        <f t="shared" si="24"/>
        <v xml:space="preserve"> 18</v>
      </c>
      <c r="C438">
        <f t="shared" si="25"/>
        <v>3</v>
      </c>
      <c r="D438" t="str">
        <f t="shared" si="26"/>
        <v xml:space="preserve">2016-11-30 </v>
      </c>
      <c r="E438" t="str">
        <f>TEXT(Demand_Data___Hourly_OverviewSearch_1_csv[[#This Row],[Day]],"dddd")</f>
        <v>Tuesday</v>
      </c>
      <c r="F438">
        <v>3</v>
      </c>
      <c r="G438">
        <v>37</v>
      </c>
      <c r="H438">
        <v>93</v>
      </c>
      <c r="I438">
        <f>VLOOKUP(Demand_Data___Hourly_OverviewSearch_1_csv[[#This Row],[Date]],Supply_Data___Hourly_DriverActivity_1_csv__3[#All],2,FALSE)</f>
        <v>84</v>
      </c>
      <c r="J438">
        <f>VLOOKUP(Demand_Data___Hourly_OverviewSearch_1_csv[[#This Row],[Date]],Supply_Data___Hourly_DriverActivity_1_csv__3[#All],3,FALSE)</f>
        <v>34</v>
      </c>
      <c r="K438">
        <f>VLOOKUP(Demand_Data___Hourly_OverviewSearch_1_csv[[#This Row],[Date]],Supply_Data___Hourly_DriverActivity_1_csv__3[#All],4,FALSE)</f>
        <v>7</v>
      </c>
      <c r="L438">
        <f>VLOOKUP(Demand_Data___Hourly_OverviewSearch_1_csv[[#This Row],[Date]],Supply_Data___Hourly_DriverActivity_1_csv__3[#All],5,FALSE)</f>
        <v>27</v>
      </c>
      <c r="M438">
        <f>VLOOKUP(Demand_Data___Hourly_OverviewSearch_1_csv[[#This Row],[Date]],Supply_Data___Hourly_DriverActivity_1_csv__3[#All],6,FALSE)</f>
        <v>0.4</v>
      </c>
      <c r="N438">
        <f>VLOOKUP(Demand_Data___Hourly_OverviewSearch_1_csv[[#This Row],[Date]],Supply_Data___Hourly_DriverActivity_1_csv__3[#All],7,FALSE)</f>
        <v>0.5</v>
      </c>
      <c r="O438">
        <f>VLOOKUP(Demand_Data___Hourly_OverviewSearch_1_csv[[#This Row],[Date]],Supply_Data___Hourly_DriverActivity_1_csv__3[#All],8,FALSE)</f>
        <v>17</v>
      </c>
      <c r="P438">
        <f>(Demand_Data___Hourly_OverviewSearch_1_csv[[#This Row],[People saw 0 cars (unique)]]+Demand_Data___Hourly_OverviewSearch_1_csv[[#This Row],[People saw +1 cars (unique)]])</f>
        <v>40</v>
      </c>
      <c r="Q438" s="143">
        <f t="shared" si="27"/>
        <v>27</v>
      </c>
    </row>
    <row r="439" spans="1:17" x14ac:dyDescent="0.3">
      <c r="A439" t="s">
        <v>446</v>
      </c>
      <c r="B439" t="str">
        <f t="shared" si="24"/>
        <v xml:space="preserve"> 17</v>
      </c>
      <c r="C439">
        <f t="shared" si="25"/>
        <v>3</v>
      </c>
      <c r="D439" t="str">
        <f t="shared" si="26"/>
        <v xml:space="preserve">2016-11-30 </v>
      </c>
      <c r="E439" t="str">
        <f>TEXT(Demand_Data___Hourly_OverviewSearch_1_csv[[#This Row],[Day]],"dddd")</f>
        <v>Tuesday</v>
      </c>
      <c r="F439">
        <v>1</v>
      </c>
      <c r="G439">
        <v>34</v>
      </c>
      <c r="H439">
        <v>97</v>
      </c>
      <c r="I439">
        <f>VLOOKUP(Demand_Data___Hourly_OverviewSearch_1_csv[[#This Row],[Date]],Supply_Data___Hourly_DriverActivity_1_csv__3[#All],2,FALSE)</f>
        <v>91</v>
      </c>
      <c r="J439">
        <f>VLOOKUP(Demand_Data___Hourly_OverviewSearch_1_csv[[#This Row],[Date]],Supply_Data___Hourly_DriverActivity_1_csv__3[#All],3,FALSE)</f>
        <v>30</v>
      </c>
      <c r="K439">
        <f>VLOOKUP(Demand_Data___Hourly_OverviewSearch_1_csv[[#This Row],[Date]],Supply_Data___Hourly_DriverActivity_1_csv__3[#All],4,FALSE)</f>
        <v>4</v>
      </c>
      <c r="L439">
        <f>VLOOKUP(Demand_Data___Hourly_OverviewSearch_1_csv[[#This Row],[Date]],Supply_Data___Hourly_DriverActivity_1_csv__3[#All],5,FALSE)</f>
        <v>26</v>
      </c>
      <c r="M439">
        <f>VLOOKUP(Demand_Data___Hourly_OverviewSearch_1_csv[[#This Row],[Date]],Supply_Data___Hourly_DriverActivity_1_csv__3[#All],6,FALSE)</f>
        <v>0.3</v>
      </c>
      <c r="N439">
        <f>VLOOKUP(Demand_Data___Hourly_OverviewSearch_1_csv[[#This Row],[Date]],Supply_Data___Hourly_DriverActivity_1_csv__3[#All],7,FALSE)</f>
        <v>0.27</v>
      </c>
      <c r="O439">
        <f>VLOOKUP(Demand_Data___Hourly_OverviewSearch_1_csv[[#This Row],[Date]],Supply_Data___Hourly_DriverActivity_1_csv__3[#All],8,FALSE)</f>
        <v>8</v>
      </c>
      <c r="P439">
        <f>(Demand_Data___Hourly_OverviewSearch_1_csv[[#This Row],[People saw 0 cars (unique)]]+Demand_Data___Hourly_OverviewSearch_1_csv[[#This Row],[People saw +1 cars (unique)]])</f>
        <v>35</v>
      </c>
      <c r="Q439" s="143">
        <f t="shared" si="27"/>
        <v>26</v>
      </c>
    </row>
    <row r="440" spans="1:17" x14ac:dyDescent="0.3">
      <c r="A440" t="s">
        <v>447</v>
      </c>
      <c r="B440" t="str">
        <f t="shared" si="24"/>
        <v xml:space="preserve"> 16</v>
      </c>
      <c r="C440">
        <f t="shared" si="25"/>
        <v>3</v>
      </c>
      <c r="D440" t="str">
        <f t="shared" si="26"/>
        <v xml:space="preserve">2016-11-30 </v>
      </c>
      <c r="E440" t="str">
        <f>TEXT(Demand_Data___Hourly_OverviewSearch_1_csv[[#This Row],[Day]],"dddd")</f>
        <v>Tuesday</v>
      </c>
      <c r="F440">
        <v>3</v>
      </c>
      <c r="G440">
        <v>30</v>
      </c>
      <c r="H440">
        <v>91</v>
      </c>
      <c r="I440">
        <f>VLOOKUP(Demand_Data___Hourly_OverviewSearch_1_csv[[#This Row],[Date]],Supply_Data___Hourly_DriverActivity_1_csv__3[#All],2,FALSE)</f>
        <v>92</v>
      </c>
      <c r="J440">
        <f>VLOOKUP(Demand_Data___Hourly_OverviewSearch_1_csv[[#This Row],[Date]],Supply_Data___Hourly_DriverActivity_1_csv__3[#All],3,FALSE)</f>
        <v>32</v>
      </c>
      <c r="K440">
        <f>VLOOKUP(Demand_Data___Hourly_OverviewSearch_1_csv[[#This Row],[Date]],Supply_Data___Hourly_DriverActivity_1_csv__3[#All],4,FALSE)</f>
        <v>4</v>
      </c>
      <c r="L440">
        <f>VLOOKUP(Demand_Data___Hourly_OverviewSearch_1_csv[[#This Row],[Date]],Supply_Data___Hourly_DriverActivity_1_csv__3[#All],5,FALSE)</f>
        <v>29</v>
      </c>
      <c r="M440">
        <f>VLOOKUP(Demand_Data___Hourly_OverviewSearch_1_csv[[#This Row],[Date]],Supply_Data___Hourly_DriverActivity_1_csv__3[#All],6,FALSE)</f>
        <v>0.3</v>
      </c>
      <c r="N440">
        <f>VLOOKUP(Demand_Data___Hourly_OverviewSearch_1_csv[[#This Row],[Date]],Supply_Data___Hourly_DriverActivity_1_csv__3[#All],7,FALSE)</f>
        <v>0.28000000000000003</v>
      </c>
      <c r="O440">
        <f>VLOOKUP(Demand_Data___Hourly_OverviewSearch_1_csv[[#This Row],[Date]],Supply_Data___Hourly_DriverActivity_1_csv__3[#All],8,FALSE)</f>
        <v>9</v>
      </c>
      <c r="P440">
        <f>(Demand_Data___Hourly_OverviewSearch_1_csv[[#This Row],[People saw 0 cars (unique)]]+Demand_Data___Hourly_OverviewSearch_1_csv[[#This Row],[People saw +1 cars (unique)]])</f>
        <v>33</v>
      </c>
      <c r="Q440" s="143">
        <f t="shared" si="27"/>
        <v>28</v>
      </c>
    </row>
    <row r="441" spans="1:17" x14ac:dyDescent="0.3">
      <c r="A441" t="s">
        <v>448</v>
      </c>
      <c r="B441" t="str">
        <f t="shared" si="24"/>
        <v xml:space="preserve"> 15</v>
      </c>
      <c r="C441">
        <f t="shared" si="25"/>
        <v>3</v>
      </c>
      <c r="D441" t="str">
        <f t="shared" si="26"/>
        <v xml:space="preserve">2016-11-30 </v>
      </c>
      <c r="E441" t="str">
        <f>TEXT(Demand_Data___Hourly_OverviewSearch_1_csv[[#This Row],[Day]],"dddd")</f>
        <v>Tuesday</v>
      </c>
      <c r="F441">
        <v>8</v>
      </c>
      <c r="G441">
        <v>26</v>
      </c>
      <c r="H441">
        <v>76</v>
      </c>
      <c r="I441">
        <f>VLOOKUP(Demand_Data___Hourly_OverviewSearch_1_csv[[#This Row],[Date]],Supply_Data___Hourly_DriverActivity_1_csv__3[#All],2,FALSE)</f>
        <v>86</v>
      </c>
      <c r="J441">
        <f>VLOOKUP(Demand_Data___Hourly_OverviewSearch_1_csv[[#This Row],[Date]],Supply_Data___Hourly_DriverActivity_1_csv__3[#All],3,FALSE)</f>
        <v>25</v>
      </c>
      <c r="K441">
        <f>VLOOKUP(Demand_Data___Hourly_OverviewSearch_1_csv[[#This Row],[Date]],Supply_Data___Hourly_DriverActivity_1_csv__3[#All],4,FALSE)</f>
        <v>2</v>
      </c>
      <c r="L441">
        <f>VLOOKUP(Demand_Data___Hourly_OverviewSearch_1_csv[[#This Row],[Date]],Supply_Data___Hourly_DriverActivity_1_csv__3[#All],5,FALSE)</f>
        <v>22</v>
      </c>
      <c r="M441">
        <f>VLOOKUP(Demand_Data___Hourly_OverviewSearch_1_csv[[#This Row],[Date]],Supply_Data___Hourly_DriverActivity_1_csv__3[#All],6,FALSE)</f>
        <v>0.3</v>
      </c>
      <c r="N441">
        <f>VLOOKUP(Demand_Data___Hourly_OverviewSearch_1_csv[[#This Row],[Date]],Supply_Data___Hourly_DriverActivity_1_csv__3[#All],7,FALSE)</f>
        <v>0.36</v>
      </c>
      <c r="O441">
        <f>VLOOKUP(Demand_Data___Hourly_OverviewSearch_1_csv[[#This Row],[Date]],Supply_Data___Hourly_DriverActivity_1_csv__3[#All],8,FALSE)</f>
        <v>9</v>
      </c>
      <c r="P441">
        <f>(Demand_Data___Hourly_OverviewSearch_1_csv[[#This Row],[People saw 0 cars (unique)]]+Demand_Data___Hourly_OverviewSearch_1_csv[[#This Row],[People saw +1 cars (unique)]])</f>
        <v>34</v>
      </c>
      <c r="Q441" s="143">
        <f t="shared" si="27"/>
        <v>23</v>
      </c>
    </row>
    <row r="442" spans="1:17" x14ac:dyDescent="0.3">
      <c r="A442" t="s">
        <v>449</v>
      </c>
      <c r="B442" t="str">
        <f t="shared" si="24"/>
        <v xml:space="preserve"> 14</v>
      </c>
      <c r="C442">
        <f t="shared" si="25"/>
        <v>3</v>
      </c>
      <c r="D442" t="str">
        <f t="shared" si="26"/>
        <v xml:space="preserve">2016-11-30 </v>
      </c>
      <c r="E442" t="str">
        <f>TEXT(Demand_Data___Hourly_OverviewSearch_1_csv[[#This Row],[Day]],"dddd")</f>
        <v>Tuesday</v>
      </c>
      <c r="F442">
        <v>3</v>
      </c>
      <c r="G442">
        <v>29</v>
      </c>
      <c r="H442">
        <v>91</v>
      </c>
      <c r="I442">
        <f>VLOOKUP(Demand_Data___Hourly_OverviewSearch_1_csv[[#This Row],[Date]],Supply_Data___Hourly_DriverActivity_1_csv__3[#All],2,FALSE)</f>
        <v>82</v>
      </c>
      <c r="J442">
        <f>VLOOKUP(Demand_Data___Hourly_OverviewSearch_1_csv[[#This Row],[Date]],Supply_Data___Hourly_DriverActivity_1_csv__3[#All],3,FALSE)</f>
        <v>28</v>
      </c>
      <c r="K442">
        <f>VLOOKUP(Demand_Data___Hourly_OverviewSearch_1_csv[[#This Row],[Date]],Supply_Data___Hourly_DriverActivity_1_csv__3[#All],4,FALSE)</f>
        <v>3</v>
      </c>
      <c r="L442">
        <f>VLOOKUP(Demand_Data___Hourly_OverviewSearch_1_csv[[#This Row],[Date]],Supply_Data___Hourly_DriverActivity_1_csv__3[#All],5,FALSE)</f>
        <v>24</v>
      </c>
      <c r="M442">
        <f>VLOOKUP(Demand_Data___Hourly_OverviewSearch_1_csv[[#This Row],[Date]],Supply_Data___Hourly_DriverActivity_1_csv__3[#All],6,FALSE)</f>
        <v>0.3</v>
      </c>
      <c r="N442">
        <f>VLOOKUP(Demand_Data___Hourly_OverviewSearch_1_csv[[#This Row],[Date]],Supply_Data___Hourly_DriverActivity_1_csv__3[#All],7,FALSE)</f>
        <v>0.28999999999999998</v>
      </c>
      <c r="O442">
        <f>VLOOKUP(Demand_Data___Hourly_OverviewSearch_1_csv[[#This Row],[Date]],Supply_Data___Hourly_DriverActivity_1_csv__3[#All],8,FALSE)</f>
        <v>8</v>
      </c>
      <c r="P442">
        <f>(Demand_Data___Hourly_OverviewSearch_1_csv[[#This Row],[People saw 0 cars (unique)]]+Demand_Data___Hourly_OverviewSearch_1_csv[[#This Row],[People saw +1 cars (unique)]])</f>
        <v>32</v>
      </c>
      <c r="Q442" s="143">
        <f t="shared" si="27"/>
        <v>25</v>
      </c>
    </row>
    <row r="443" spans="1:17" x14ac:dyDescent="0.3">
      <c r="A443" t="s">
        <v>450</v>
      </c>
      <c r="B443" t="str">
        <f t="shared" si="24"/>
        <v xml:space="preserve"> 13</v>
      </c>
      <c r="C443">
        <f t="shared" si="25"/>
        <v>3</v>
      </c>
      <c r="D443" t="str">
        <f t="shared" si="26"/>
        <v xml:space="preserve">2016-11-30 </v>
      </c>
      <c r="E443" t="str">
        <f>TEXT(Demand_Data___Hourly_OverviewSearch_1_csv[[#This Row],[Day]],"dddd")</f>
        <v>Tuesday</v>
      </c>
      <c r="F443">
        <v>11</v>
      </c>
      <c r="G443">
        <v>34</v>
      </c>
      <c r="H443">
        <v>76</v>
      </c>
      <c r="I443">
        <f>VLOOKUP(Demand_Data___Hourly_OverviewSearch_1_csv[[#This Row],[Date]],Supply_Data___Hourly_DriverActivity_1_csv__3[#All],2,FALSE)</f>
        <v>77</v>
      </c>
      <c r="J443">
        <f>VLOOKUP(Demand_Data___Hourly_OverviewSearch_1_csv[[#This Row],[Date]],Supply_Data___Hourly_DriverActivity_1_csv__3[#All],3,FALSE)</f>
        <v>27</v>
      </c>
      <c r="K443">
        <f>VLOOKUP(Demand_Data___Hourly_OverviewSearch_1_csv[[#This Row],[Date]],Supply_Data___Hourly_DriverActivity_1_csv__3[#All],4,FALSE)</f>
        <v>6</v>
      </c>
      <c r="L443">
        <f>VLOOKUP(Demand_Data___Hourly_OverviewSearch_1_csv[[#This Row],[Date]],Supply_Data___Hourly_DriverActivity_1_csv__3[#All],5,FALSE)</f>
        <v>21</v>
      </c>
      <c r="M443">
        <f>VLOOKUP(Demand_Data___Hourly_OverviewSearch_1_csv[[#This Row],[Date]],Supply_Data___Hourly_DriverActivity_1_csv__3[#All],6,FALSE)</f>
        <v>0.4</v>
      </c>
      <c r="N443">
        <f>VLOOKUP(Demand_Data___Hourly_OverviewSearch_1_csv[[#This Row],[Date]],Supply_Data___Hourly_DriverActivity_1_csv__3[#All],7,FALSE)</f>
        <v>0.52</v>
      </c>
      <c r="O443">
        <f>VLOOKUP(Demand_Data___Hourly_OverviewSearch_1_csv[[#This Row],[Date]],Supply_Data___Hourly_DriverActivity_1_csv__3[#All],8,FALSE)</f>
        <v>14</v>
      </c>
      <c r="P443">
        <f>(Demand_Data___Hourly_OverviewSearch_1_csv[[#This Row],[People saw 0 cars (unique)]]+Demand_Data___Hourly_OverviewSearch_1_csv[[#This Row],[People saw +1 cars (unique)]])</f>
        <v>45</v>
      </c>
      <c r="Q443" s="143">
        <f t="shared" si="27"/>
        <v>21</v>
      </c>
    </row>
    <row r="444" spans="1:17" x14ac:dyDescent="0.3">
      <c r="A444" t="s">
        <v>451</v>
      </c>
      <c r="B444" t="str">
        <f t="shared" si="24"/>
        <v xml:space="preserve"> 12</v>
      </c>
      <c r="C444">
        <f t="shared" si="25"/>
        <v>3</v>
      </c>
      <c r="D444" t="str">
        <f t="shared" si="26"/>
        <v xml:space="preserve">2016-11-30 </v>
      </c>
      <c r="E444" t="str">
        <f>TEXT(Demand_Data___Hourly_OverviewSearch_1_csv[[#This Row],[Day]],"dddd")</f>
        <v>Tuesday</v>
      </c>
      <c r="F444">
        <v>7</v>
      </c>
      <c r="G444">
        <v>30</v>
      </c>
      <c r="H444">
        <v>81</v>
      </c>
      <c r="I444">
        <f>VLOOKUP(Demand_Data___Hourly_OverviewSearch_1_csv[[#This Row],[Date]],Supply_Data___Hourly_DriverActivity_1_csv__3[#All],2,FALSE)</f>
        <v>72</v>
      </c>
      <c r="J444">
        <f>VLOOKUP(Demand_Data___Hourly_OverviewSearch_1_csv[[#This Row],[Date]],Supply_Data___Hourly_DriverActivity_1_csv__3[#All],3,FALSE)</f>
        <v>29</v>
      </c>
      <c r="K444">
        <f>VLOOKUP(Demand_Data___Hourly_OverviewSearch_1_csv[[#This Row],[Date]],Supply_Data___Hourly_DriverActivity_1_csv__3[#All],4,FALSE)</f>
        <v>3</v>
      </c>
      <c r="L444">
        <f>VLOOKUP(Demand_Data___Hourly_OverviewSearch_1_csv[[#This Row],[Date]],Supply_Data___Hourly_DriverActivity_1_csv__3[#All],5,FALSE)</f>
        <v>26</v>
      </c>
      <c r="M444">
        <f>VLOOKUP(Demand_Data___Hourly_OverviewSearch_1_csv[[#This Row],[Date]],Supply_Data___Hourly_DriverActivity_1_csv__3[#All],6,FALSE)</f>
        <v>0.4</v>
      </c>
      <c r="N444">
        <f>VLOOKUP(Demand_Data___Hourly_OverviewSearch_1_csv[[#This Row],[Date]],Supply_Data___Hourly_DriverActivity_1_csv__3[#All],7,FALSE)</f>
        <v>0.28000000000000003</v>
      </c>
      <c r="O444">
        <f>VLOOKUP(Demand_Data___Hourly_OverviewSearch_1_csv[[#This Row],[Date]],Supply_Data___Hourly_DriverActivity_1_csv__3[#All],8,FALSE)</f>
        <v>8</v>
      </c>
      <c r="P444">
        <f>(Demand_Data___Hourly_OverviewSearch_1_csv[[#This Row],[People saw 0 cars (unique)]]+Demand_Data___Hourly_OverviewSearch_1_csv[[#This Row],[People saw +1 cars (unique)]])</f>
        <v>37</v>
      </c>
      <c r="Q444" s="143">
        <f t="shared" si="27"/>
        <v>26</v>
      </c>
    </row>
    <row r="445" spans="1:17" x14ac:dyDescent="0.3">
      <c r="A445" t="s">
        <v>452</v>
      </c>
      <c r="B445" t="str">
        <f t="shared" si="24"/>
        <v xml:space="preserve"> 11</v>
      </c>
      <c r="C445">
        <f t="shared" si="25"/>
        <v>3</v>
      </c>
      <c r="D445" t="str">
        <f t="shared" si="26"/>
        <v xml:space="preserve">2016-11-30 </v>
      </c>
      <c r="E445" t="str">
        <f>TEXT(Demand_Data___Hourly_OverviewSearch_1_csv[[#This Row],[Day]],"dddd")</f>
        <v>Tuesday</v>
      </c>
      <c r="F445">
        <v>2</v>
      </c>
      <c r="G445">
        <v>20</v>
      </c>
      <c r="H445">
        <v>91</v>
      </c>
      <c r="I445">
        <f>VLOOKUP(Demand_Data___Hourly_OverviewSearch_1_csv[[#This Row],[Date]],Supply_Data___Hourly_DriverActivity_1_csv__3[#All],2,FALSE)</f>
        <v>76</v>
      </c>
      <c r="J445">
        <f>VLOOKUP(Demand_Data___Hourly_OverviewSearch_1_csv[[#This Row],[Date]],Supply_Data___Hourly_DriverActivity_1_csv__3[#All],3,FALSE)</f>
        <v>28</v>
      </c>
      <c r="K445">
        <f>VLOOKUP(Demand_Data___Hourly_OverviewSearch_1_csv[[#This Row],[Date]],Supply_Data___Hourly_DriverActivity_1_csv__3[#All],4,FALSE)</f>
        <v>1</v>
      </c>
      <c r="L445">
        <f>VLOOKUP(Demand_Data___Hourly_OverviewSearch_1_csv[[#This Row],[Date]],Supply_Data___Hourly_DriverActivity_1_csv__3[#All],5,FALSE)</f>
        <v>27</v>
      </c>
      <c r="M445">
        <f>VLOOKUP(Demand_Data___Hourly_OverviewSearch_1_csv[[#This Row],[Date]],Supply_Data___Hourly_DriverActivity_1_csv__3[#All],6,FALSE)</f>
        <v>0.4</v>
      </c>
      <c r="N445">
        <f>VLOOKUP(Demand_Data___Hourly_OverviewSearch_1_csv[[#This Row],[Date]],Supply_Data___Hourly_DriverActivity_1_csv__3[#All],7,FALSE)</f>
        <v>0.11</v>
      </c>
      <c r="O445">
        <f>VLOOKUP(Demand_Data___Hourly_OverviewSearch_1_csv[[#This Row],[Date]],Supply_Data___Hourly_DriverActivity_1_csv__3[#All],8,FALSE)</f>
        <v>3</v>
      </c>
      <c r="P445">
        <f>(Demand_Data___Hourly_OverviewSearch_1_csv[[#This Row],[People saw 0 cars (unique)]]+Demand_Data___Hourly_OverviewSearch_1_csv[[#This Row],[People saw +1 cars (unique)]])</f>
        <v>22</v>
      </c>
      <c r="Q445" s="143">
        <f t="shared" si="27"/>
        <v>27</v>
      </c>
    </row>
    <row r="446" spans="1:17" x14ac:dyDescent="0.3">
      <c r="A446" t="s">
        <v>453</v>
      </c>
      <c r="B446" t="str">
        <f t="shared" si="24"/>
        <v xml:space="preserve"> 10</v>
      </c>
      <c r="C446">
        <f t="shared" si="25"/>
        <v>3</v>
      </c>
      <c r="D446" t="str">
        <f t="shared" si="26"/>
        <v xml:space="preserve">2016-11-30 </v>
      </c>
      <c r="E446" t="str">
        <f>TEXT(Demand_Data___Hourly_OverviewSearch_1_csv[[#This Row],[Day]],"dddd")</f>
        <v>Tuesday</v>
      </c>
      <c r="F446">
        <v>5</v>
      </c>
      <c r="G446">
        <v>19</v>
      </c>
      <c r="H446">
        <v>79</v>
      </c>
      <c r="I446">
        <f>VLOOKUP(Demand_Data___Hourly_OverviewSearch_1_csv[[#This Row],[Date]],Supply_Data___Hourly_DriverActivity_1_csv__3[#All],2,FALSE)</f>
        <v>72</v>
      </c>
      <c r="J446">
        <f>VLOOKUP(Demand_Data___Hourly_OverviewSearch_1_csv[[#This Row],[Date]],Supply_Data___Hourly_DriverActivity_1_csv__3[#All],3,FALSE)</f>
        <v>27</v>
      </c>
      <c r="K446">
        <f>VLOOKUP(Demand_Data___Hourly_OverviewSearch_1_csv[[#This Row],[Date]],Supply_Data___Hourly_DriverActivity_1_csv__3[#All],4,FALSE)</f>
        <v>3</v>
      </c>
      <c r="L446">
        <f>VLOOKUP(Demand_Data___Hourly_OverviewSearch_1_csv[[#This Row],[Date]],Supply_Data___Hourly_DriverActivity_1_csv__3[#All],5,FALSE)</f>
        <v>24</v>
      </c>
      <c r="M446">
        <f>VLOOKUP(Demand_Data___Hourly_OverviewSearch_1_csv[[#This Row],[Date]],Supply_Data___Hourly_DriverActivity_1_csv__3[#All],6,FALSE)</f>
        <v>0.4</v>
      </c>
      <c r="N446">
        <f>VLOOKUP(Demand_Data___Hourly_OverviewSearch_1_csv[[#This Row],[Date]],Supply_Data___Hourly_DriverActivity_1_csv__3[#All],7,FALSE)</f>
        <v>0.22</v>
      </c>
      <c r="O446">
        <f>VLOOKUP(Demand_Data___Hourly_OverviewSearch_1_csv[[#This Row],[Date]],Supply_Data___Hourly_DriverActivity_1_csv__3[#All],8,FALSE)</f>
        <v>6</v>
      </c>
      <c r="P446">
        <f>(Demand_Data___Hourly_OverviewSearch_1_csv[[#This Row],[People saw 0 cars (unique)]]+Demand_Data___Hourly_OverviewSearch_1_csv[[#This Row],[People saw +1 cars (unique)]])</f>
        <v>24</v>
      </c>
      <c r="Q446" s="143">
        <f t="shared" si="27"/>
        <v>24</v>
      </c>
    </row>
    <row r="447" spans="1:17" x14ac:dyDescent="0.3">
      <c r="A447" t="s">
        <v>454</v>
      </c>
      <c r="B447" t="str">
        <f t="shared" si="24"/>
        <v xml:space="preserve"> 09</v>
      </c>
      <c r="C447">
        <f t="shared" si="25"/>
        <v>3</v>
      </c>
      <c r="D447" t="str">
        <f t="shared" si="26"/>
        <v xml:space="preserve">2016-11-30 </v>
      </c>
      <c r="E447" t="str">
        <f>TEXT(Demand_Data___Hourly_OverviewSearch_1_csv[[#This Row],[Day]],"dddd")</f>
        <v>Tuesday</v>
      </c>
      <c r="F447">
        <v>7</v>
      </c>
      <c r="G447">
        <v>19</v>
      </c>
      <c r="H447">
        <v>73</v>
      </c>
      <c r="I447">
        <f>VLOOKUP(Demand_Data___Hourly_OverviewSearch_1_csv[[#This Row],[Date]],Supply_Data___Hourly_DriverActivity_1_csv__3[#All],2,FALSE)</f>
        <v>67</v>
      </c>
      <c r="J447">
        <f>VLOOKUP(Demand_Data___Hourly_OverviewSearch_1_csv[[#This Row],[Date]],Supply_Data___Hourly_DriverActivity_1_csv__3[#All],3,FALSE)</f>
        <v>26</v>
      </c>
      <c r="K447">
        <f>VLOOKUP(Demand_Data___Hourly_OverviewSearch_1_csv[[#This Row],[Date]],Supply_Data___Hourly_DriverActivity_1_csv__3[#All],4,FALSE)</f>
        <v>3</v>
      </c>
      <c r="L447">
        <f>VLOOKUP(Demand_Data___Hourly_OverviewSearch_1_csv[[#This Row],[Date]],Supply_Data___Hourly_DriverActivity_1_csv__3[#All],5,FALSE)</f>
        <v>23</v>
      </c>
      <c r="M447">
        <f>VLOOKUP(Demand_Data___Hourly_OverviewSearch_1_csv[[#This Row],[Date]],Supply_Data___Hourly_DriverActivity_1_csv__3[#All],6,FALSE)</f>
        <v>0.4</v>
      </c>
      <c r="N447">
        <f>VLOOKUP(Demand_Data___Hourly_OverviewSearch_1_csv[[#This Row],[Date]],Supply_Data___Hourly_DriverActivity_1_csv__3[#All],7,FALSE)</f>
        <v>0.31</v>
      </c>
      <c r="O447">
        <f>VLOOKUP(Demand_Data___Hourly_OverviewSearch_1_csv[[#This Row],[Date]],Supply_Data___Hourly_DriverActivity_1_csv__3[#All],8,FALSE)</f>
        <v>8</v>
      </c>
      <c r="P447">
        <f>(Demand_Data___Hourly_OverviewSearch_1_csv[[#This Row],[People saw 0 cars (unique)]]+Demand_Data___Hourly_OverviewSearch_1_csv[[#This Row],[People saw +1 cars (unique)]])</f>
        <v>26</v>
      </c>
      <c r="Q447" s="143">
        <f t="shared" si="27"/>
        <v>23</v>
      </c>
    </row>
    <row r="448" spans="1:17" x14ac:dyDescent="0.3">
      <c r="A448" t="s">
        <v>455</v>
      </c>
      <c r="B448" t="str">
        <f t="shared" si="24"/>
        <v xml:space="preserve"> 08</v>
      </c>
      <c r="C448">
        <f t="shared" si="25"/>
        <v>3</v>
      </c>
      <c r="D448" t="str">
        <f t="shared" si="26"/>
        <v xml:space="preserve">2016-11-30 </v>
      </c>
      <c r="E448" t="str">
        <f>TEXT(Demand_Data___Hourly_OverviewSearch_1_csv[[#This Row],[Day]],"dddd")</f>
        <v>Tuesday</v>
      </c>
      <c r="F448">
        <v>4</v>
      </c>
      <c r="G448">
        <v>21</v>
      </c>
      <c r="H448">
        <v>84</v>
      </c>
      <c r="I448">
        <f>VLOOKUP(Demand_Data___Hourly_OverviewSearch_1_csv[[#This Row],[Date]],Supply_Data___Hourly_DriverActivity_1_csv__3[#All],2,FALSE)</f>
        <v>61</v>
      </c>
      <c r="J448">
        <f>VLOOKUP(Demand_Data___Hourly_OverviewSearch_1_csv[[#This Row],[Date]],Supply_Data___Hourly_DriverActivity_1_csv__3[#All],3,FALSE)</f>
        <v>27</v>
      </c>
      <c r="K448">
        <f>VLOOKUP(Demand_Data___Hourly_OverviewSearch_1_csv[[#This Row],[Date]],Supply_Data___Hourly_DriverActivity_1_csv__3[#All],4,FALSE)</f>
        <v>2</v>
      </c>
      <c r="L448">
        <f>VLOOKUP(Demand_Data___Hourly_OverviewSearch_1_csv[[#This Row],[Date]],Supply_Data___Hourly_DriverActivity_1_csv__3[#All],5,FALSE)</f>
        <v>25</v>
      </c>
      <c r="M448">
        <f>VLOOKUP(Demand_Data___Hourly_OverviewSearch_1_csv[[#This Row],[Date]],Supply_Data___Hourly_DriverActivity_1_csv__3[#All],6,FALSE)</f>
        <v>0.4</v>
      </c>
      <c r="N448">
        <f>VLOOKUP(Demand_Data___Hourly_OverviewSearch_1_csv[[#This Row],[Date]],Supply_Data___Hourly_DriverActivity_1_csv__3[#All],7,FALSE)</f>
        <v>0.11</v>
      </c>
      <c r="O448">
        <f>VLOOKUP(Demand_Data___Hourly_OverviewSearch_1_csv[[#This Row],[Date]],Supply_Data___Hourly_DriverActivity_1_csv__3[#All],8,FALSE)</f>
        <v>3</v>
      </c>
      <c r="P448">
        <f>(Demand_Data___Hourly_OverviewSearch_1_csv[[#This Row],[People saw 0 cars (unique)]]+Demand_Data___Hourly_OverviewSearch_1_csv[[#This Row],[People saw +1 cars (unique)]])</f>
        <v>25</v>
      </c>
      <c r="Q448" s="143">
        <f t="shared" si="27"/>
        <v>25</v>
      </c>
    </row>
    <row r="449" spans="1:17" x14ac:dyDescent="0.3">
      <c r="A449" t="s">
        <v>456</v>
      </c>
      <c r="B449" t="str">
        <f t="shared" si="24"/>
        <v xml:space="preserve"> 07</v>
      </c>
      <c r="C449">
        <f t="shared" si="25"/>
        <v>3</v>
      </c>
      <c r="D449" t="str">
        <f t="shared" si="26"/>
        <v xml:space="preserve">2016-11-30 </v>
      </c>
      <c r="E449" t="str">
        <f>TEXT(Demand_Data___Hourly_OverviewSearch_1_csv[[#This Row],[Day]],"dddd")</f>
        <v>Tuesday</v>
      </c>
      <c r="F449">
        <v>10</v>
      </c>
      <c r="G449">
        <v>16</v>
      </c>
      <c r="H449">
        <v>62</v>
      </c>
      <c r="I449">
        <f>VLOOKUP(Demand_Data___Hourly_OverviewSearch_1_csv[[#This Row],[Date]],Supply_Data___Hourly_DriverActivity_1_csv__3[#All],2,FALSE)</f>
        <v>41</v>
      </c>
      <c r="J449">
        <f>VLOOKUP(Demand_Data___Hourly_OverviewSearch_1_csv[[#This Row],[Date]],Supply_Data___Hourly_DriverActivity_1_csv__3[#All],3,FALSE)</f>
        <v>16</v>
      </c>
      <c r="K449">
        <f>VLOOKUP(Demand_Data___Hourly_OverviewSearch_1_csv[[#This Row],[Date]],Supply_Data___Hourly_DriverActivity_1_csv__3[#All],4,FALSE)</f>
        <v>3</v>
      </c>
      <c r="L449">
        <f>VLOOKUP(Demand_Data___Hourly_OverviewSearch_1_csv[[#This Row],[Date]],Supply_Data___Hourly_DriverActivity_1_csv__3[#All],5,FALSE)</f>
        <v>14</v>
      </c>
      <c r="M449">
        <f>VLOOKUP(Demand_Data___Hourly_OverviewSearch_1_csv[[#This Row],[Date]],Supply_Data___Hourly_DriverActivity_1_csv__3[#All],6,FALSE)</f>
        <v>0.4</v>
      </c>
      <c r="N449">
        <f>VLOOKUP(Demand_Data___Hourly_OverviewSearch_1_csv[[#This Row],[Date]],Supply_Data___Hourly_DriverActivity_1_csv__3[#All],7,FALSE)</f>
        <v>0.44</v>
      </c>
      <c r="O449">
        <f>VLOOKUP(Demand_Data___Hourly_OverviewSearch_1_csv[[#This Row],[Date]],Supply_Data___Hourly_DriverActivity_1_csv__3[#All],8,FALSE)</f>
        <v>7</v>
      </c>
      <c r="P449">
        <f>(Demand_Data___Hourly_OverviewSearch_1_csv[[#This Row],[People saw 0 cars (unique)]]+Demand_Data___Hourly_OverviewSearch_1_csv[[#This Row],[People saw +1 cars (unique)]])</f>
        <v>26</v>
      </c>
      <c r="Q449" s="143">
        <f t="shared" si="27"/>
        <v>13</v>
      </c>
    </row>
    <row r="450" spans="1:17" x14ac:dyDescent="0.3">
      <c r="A450" t="s">
        <v>457</v>
      </c>
      <c r="B450" t="str">
        <f t="shared" ref="B450:B513" si="28">RIGHT(A450,3)</f>
        <v xml:space="preserve"> 06</v>
      </c>
      <c r="C450">
        <f t="shared" ref="C450:C513" si="29">WEEKDAY(DATEVALUE(LEFT(A450,FIND(" ",A450))),2)</f>
        <v>3</v>
      </c>
      <c r="D450" t="str">
        <f t="shared" ref="D450:D513" si="30">LEFT(A450,11)</f>
        <v xml:space="preserve">2016-11-30 </v>
      </c>
      <c r="E450" t="str">
        <f>TEXT(Demand_Data___Hourly_OverviewSearch_1_csv[[#This Row],[Day]],"dddd")</f>
        <v>Tuesday</v>
      </c>
      <c r="F450">
        <v>11</v>
      </c>
      <c r="G450">
        <v>14</v>
      </c>
      <c r="H450">
        <v>56</v>
      </c>
      <c r="I450">
        <f>VLOOKUP(Demand_Data___Hourly_OverviewSearch_1_csv[[#This Row],[Date]],Supply_Data___Hourly_DriverActivity_1_csv__3[#All],2,FALSE)</f>
        <v>29</v>
      </c>
      <c r="J450">
        <f>VLOOKUP(Demand_Data___Hourly_OverviewSearch_1_csv[[#This Row],[Date]],Supply_Data___Hourly_DriverActivity_1_csv__3[#All],3,FALSE)</f>
        <v>10</v>
      </c>
      <c r="K450">
        <f>VLOOKUP(Demand_Data___Hourly_OverviewSearch_1_csv[[#This Row],[Date]],Supply_Data___Hourly_DriverActivity_1_csv__3[#All],4,FALSE)</f>
        <v>1</v>
      </c>
      <c r="L450">
        <f>VLOOKUP(Demand_Data___Hourly_OverviewSearch_1_csv[[#This Row],[Date]],Supply_Data___Hourly_DriverActivity_1_csv__3[#All],5,FALSE)</f>
        <v>9</v>
      </c>
      <c r="M450">
        <f>VLOOKUP(Demand_Data___Hourly_OverviewSearch_1_csv[[#This Row],[Date]],Supply_Data___Hourly_DriverActivity_1_csv__3[#All],6,FALSE)</f>
        <v>0.3</v>
      </c>
      <c r="N450">
        <f>VLOOKUP(Demand_Data___Hourly_OverviewSearch_1_csv[[#This Row],[Date]],Supply_Data___Hourly_DriverActivity_1_csv__3[#All],7,FALSE)</f>
        <v>0.2</v>
      </c>
      <c r="O450">
        <f>VLOOKUP(Demand_Data___Hourly_OverviewSearch_1_csv[[#This Row],[Date]],Supply_Data___Hourly_DriverActivity_1_csv__3[#All],8,FALSE)</f>
        <v>2</v>
      </c>
      <c r="P450">
        <f>(Demand_Data___Hourly_OverviewSearch_1_csv[[#This Row],[People saw 0 cars (unique)]]+Demand_Data___Hourly_OverviewSearch_1_csv[[#This Row],[People saw +1 cars (unique)]])</f>
        <v>25</v>
      </c>
      <c r="Q450" s="143">
        <f t="shared" ref="Q450:Q513" si="31">(J450-K450)</f>
        <v>9</v>
      </c>
    </row>
    <row r="451" spans="1:17" x14ac:dyDescent="0.3">
      <c r="A451" t="s">
        <v>458</v>
      </c>
      <c r="B451" t="str">
        <f t="shared" si="28"/>
        <v xml:space="preserve"> 05</v>
      </c>
      <c r="C451">
        <f t="shared" si="29"/>
        <v>3</v>
      </c>
      <c r="D451" t="str">
        <f t="shared" si="30"/>
        <v xml:space="preserve">2016-11-30 </v>
      </c>
      <c r="E451" t="str">
        <f>TEXT(Demand_Data___Hourly_OverviewSearch_1_csv[[#This Row],[Day]],"dddd")</f>
        <v>Tuesday</v>
      </c>
      <c r="F451">
        <v>13</v>
      </c>
      <c r="G451">
        <v>20</v>
      </c>
      <c r="H451">
        <v>61</v>
      </c>
      <c r="I451">
        <f>VLOOKUP(Demand_Data___Hourly_OverviewSearch_1_csv[[#This Row],[Date]],Supply_Data___Hourly_DriverActivity_1_csv__3[#All],2,FALSE)</f>
        <v>34</v>
      </c>
      <c r="J451">
        <f>VLOOKUP(Demand_Data___Hourly_OverviewSearch_1_csv[[#This Row],[Date]],Supply_Data___Hourly_DriverActivity_1_csv__3[#All],3,FALSE)</f>
        <v>13</v>
      </c>
      <c r="K451">
        <f>VLOOKUP(Demand_Data___Hourly_OverviewSearch_1_csv[[#This Row],[Date]],Supply_Data___Hourly_DriverActivity_1_csv__3[#All],4,FALSE)</f>
        <v>3</v>
      </c>
      <c r="L451">
        <f>VLOOKUP(Demand_Data___Hourly_OverviewSearch_1_csv[[#This Row],[Date]],Supply_Data___Hourly_DriverActivity_1_csv__3[#All],5,FALSE)</f>
        <v>9</v>
      </c>
      <c r="M451">
        <f>VLOOKUP(Demand_Data___Hourly_OverviewSearch_1_csv[[#This Row],[Date]],Supply_Data___Hourly_DriverActivity_1_csv__3[#All],6,FALSE)</f>
        <v>0.4</v>
      </c>
      <c r="N451">
        <f>VLOOKUP(Demand_Data___Hourly_OverviewSearch_1_csv[[#This Row],[Date]],Supply_Data___Hourly_DriverActivity_1_csv__3[#All],7,FALSE)</f>
        <v>0.31</v>
      </c>
      <c r="O451">
        <f>VLOOKUP(Demand_Data___Hourly_OverviewSearch_1_csv[[#This Row],[Date]],Supply_Data___Hourly_DriverActivity_1_csv__3[#All],8,FALSE)</f>
        <v>4</v>
      </c>
      <c r="P451">
        <f>(Demand_Data___Hourly_OverviewSearch_1_csv[[#This Row],[People saw 0 cars (unique)]]+Demand_Data___Hourly_OverviewSearch_1_csv[[#This Row],[People saw +1 cars (unique)]])</f>
        <v>33</v>
      </c>
      <c r="Q451" s="143">
        <f t="shared" si="31"/>
        <v>10</v>
      </c>
    </row>
    <row r="452" spans="1:17" x14ac:dyDescent="0.3">
      <c r="A452" t="s">
        <v>459</v>
      </c>
      <c r="B452" t="str">
        <f t="shared" si="28"/>
        <v xml:space="preserve"> 04</v>
      </c>
      <c r="C452">
        <f t="shared" si="29"/>
        <v>3</v>
      </c>
      <c r="D452" t="str">
        <f t="shared" si="30"/>
        <v xml:space="preserve">2016-11-30 </v>
      </c>
      <c r="E452" t="str">
        <f>TEXT(Demand_Data___Hourly_OverviewSearch_1_csv[[#This Row],[Day]],"dddd")</f>
        <v>Tuesday</v>
      </c>
      <c r="F452">
        <v>48</v>
      </c>
      <c r="G452">
        <v>26</v>
      </c>
      <c r="H452">
        <v>35</v>
      </c>
      <c r="I452">
        <f>VLOOKUP(Demand_Data___Hourly_OverviewSearch_1_csv[[#This Row],[Date]],Supply_Data___Hourly_DriverActivity_1_csv__3[#All],2,FALSE)</f>
        <v>29</v>
      </c>
      <c r="J452">
        <f>VLOOKUP(Demand_Data___Hourly_OverviewSearch_1_csv[[#This Row],[Date]],Supply_Data___Hourly_DriverActivity_1_csv__3[#All],3,FALSE)</f>
        <v>13</v>
      </c>
      <c r="K452">
        <f>VLOOKUP(Demand_Data___Hourly_OverviewSearch_1_csv[[#This Row],[Date]],Supply_Data___Hourly_DriverActivity_1_csv__3[#All],4,FALSE)</f>
        <v>7</v>
      </c>
      <c r="L452">
        <f>VLOOKUP(Demand_Data___Hourly_OverviewSearch_1_csv[[#This Row],[Date]],Supply_Data___Hourly_DriverActivity_1_csv__3[#All],5,FALSE)</f>
        <v>6</v>
      </c>
      <c r="M452">
        <f>VLOOKUP(Demand_Data___Hourly_OverviewSearch_1_csv[[#This Row],[Date]],Supply_Data___Hourly_DriverActivity_1_csv__3[#All],6,FALSE)</f>
        <v>0.4</v>
      </c>
      <c r="N452">
        <f>VLOOKUP(Demand_Data___Hourly_OverviewSearch_1_csv[[#This Row],[Date]],Supply_Data___Hourly_DriverActivity_1_csv__3[#All],7,FALSE)</f>
        <v>1</v>
      </c>
      <c r="O452">
        <f>VLOOKUP(Demand_Data___Hourly_OverviewSearch_1_csv[[#This Row],[Date]],Supply_Data___Hourly_DriverActivity_1_csv__3[#All],8,FALSE)</f>
        <v>13</v>
      </c>
      <c r="P452">
        <f>(Demand_Data___Hourly_OverviewSearch_1_csv[[#This Row],[People saw 0 cars (unique)]]+Demand_Data___Hourly_OverviewSearch_1_csv[[#This Row],[People saw +1 cars (unique)]])</f>
        <v>74</v>
      </c>
      <c r="Q452" s="143">
        <f t="shared" si="31"/>
        <v>6</v>
      </c>
    </row>
    <row r="453" spans="1:17" x14ac:dyDescent="0.3">
      <c r="A453" t="s">
        <v>460</v>
      </c>
      <c r="B453" t="str">
        <f t="shared" si="28"/>
        <v xml:space="preserve"> 03</v>
      </c>
      <c r="C453">
        <f t="shared" si="29"/>
        <v>3</v>
      </c>
      <c r="D453" t="str">
        <f t="shared" si="30"/>
        <v xml:space="preserve">2016-11-30 </v>
      </c>
      <c r="E453" t="str">
        <f>TEXT(Demand_Data___Hourly_OverviewSearch_1_csv[[#This Row],[Day]],"dddd")</f>
        <v>Tuesday</v>
      </c>
      <c r="F453">
        <v>27</v>
      </c>
      <c r="G453">
        <v>25</v>
      </c>
      <c r="H453">
        <v>48</v>
      </c>
      <c r="I453">
        <f>VLOOKUP(Demand_Data___Hourly_OverviewSearch_1_csv[[#This Row],[Date]],Supply_Data___Hourly_DriverActivity_1_csv__3[#All],2,FALSE)</f>
        <v>32</v>
      </c>
      <c r="J453">
        <f>VLOOKUP(Demand_Data___Hourly_OverviewSearch_1_csv[[#This Row],[Date]],Supply_Data___Hourly_DriverActivity_1_csv__3[#All],3,FALSE)</f>
        <v>15</v>
      </c>
      <c r="K453">
        <f>VLOOKUP(Demand_Data___Hourly_OverviewSearch_1_csv[[#This Row],[Date]],Supply_Data___Hourly_DriverActivity_1_csv__3[#All],4,FALSE)</f>
        <v>5</v>
      </c>
      <c r="L453">
        <f>VLOOKUP(Demand_Data___Hourly_OverviewSearch_1_csv[[#This Row],[Date]],Supply_Data___Hourly_DriverActivity_1_csv__3[#All],5,FALSE)</f>
        <v>9</v>
      </c>
      <c r="M453">
        <f>VLOOKUP(Demand_Data___Hourly_OverviewSearch_1_csv[[#This Row],[Date]],Supply_Data___Hourly_DriverActivity_1_csv__3[#All],6,FALSE)</f>
        <v>0.5</v>
      </c>
      <c r="N453">
        <f>VLOOKUP(Demand_Data___Hourly_OverviewSearch_1_csv[[#This Row],[Date]],Supply_Data___Hourly_DriverActivity_1_csv__3[#All],7,FALSE)</f>
        <v>0.87</v>
      </c>
      <c r="O453">
        <f>VLOOKUP(Demand_Data___Hourly_OverviewSearch_1_csv[[#This Row],[Date]],Supply_Data___Hourly_DriverActivity_1_csv__3[#All],8,FALSE)</f>
        <v>13</v>
      </c>
      <c r="P453">
        <f>(Demand_Data___Hourly_OverviewSearch_1_csv[[#This Row],[People saw 0 cars (unique)]]+Demand_Data___Hourly_OverviewSearch_1_csv[[#This Row],[People saw +1 cars (unique)]])</f>
        <v>52</v>
      </c>
      <c r="Q453" s="143">
        <f t="shared" si="31"/>
        <v>10</v>
      </c>
    </row>
    <row r="454" spans="1:17" x14ac:dyDescent="0.3">
      <c r="A454" t="s">
        <v>461</v>
      </c>
      <c r="B454" t="str">
        <f t="shared" si="28"/>
        <v xml:space="preserve"> 02</v>
      </c>
      <c r="C454">
        <f t="shared" si="29"/>
        <v>3</v>
      </c>
      <c r="D454" t="str">
        <f t="shared" si="30"/>
        <v xml:space="preserve">2016-11-30 </v>
      </c>
      <c r="E454" t="str">
        <f>TEXT(Demand_Data___Hourly_OverviewSearch_1_csv[[#This Row],[Day]],"dddd")</f>
        <v>Tuesday</v>
      </c>
      <c r="F454">
        <v>3</v>
      </c>
      <c r="G454">
        <v>14</v>
      </c>
      <c r="H454">
        <v>82</v>
      </c>
      <c r="I454">
        <f>VLOOKUP(Demand_Data___Hourly_OverviewSearch_1_csv[[#This Row],[Date]],Supply_Data___Hourly_DriverActivity_1_csv__3[#All],2,FALSE)</f>
        <v>46</v>
      </c>
      <c r="J454">
        <f>VLOOKUP(Demand_Data___Hourly_OverviewSearch_1_csv[[#This Row],[Date]],Supply_Data___Hourly_DriverActivity_1_csv__3[#All],3,FALSE)</f>
        <v>18</v>
      </c>
      <c r="K454">
        <f>VLOOKUP(Demand_Data___Hourly_OverviewSearch_1_csv[[#This Row],[Date]],Supply_Data___Hourly_DriverActivity_1_csv__3[#All],4,FALSE)</f>
        <v>2</v>
      </c>
      <c r="L454">
        <f>VLOOKUP(Demand_Data___Hourly_OverviewSearch_1_csv[[#This Row],[Date]],Supply_Data___Hourly_DriverActivity_1_csv__3[#All],5,FALSE)</f>
        <v>16</v>
      </c>
      <c r="M454">
        <f>VLOOKUP(Demand_Data___Hourly_OverviewSearch_1_csv[[#This Row],[Date]],Supply_Data___Hourly_DriverActivity_1_csv__3[#All],6,FALSE)</f>
        <v>0.4</v>
      </c>
      <c r="N454">
        <f>VLOOKUP(Demand_Data___Hourly_OverviewSearch_1_csv[[#This Row],[Date]],Supply_Data___Hourly_DriverActivity_1_csv__3[#All],7,FALSE)</f>
        <v>0.33</v>
      </c>
      <c r="O454">
        <f>VLOOKUP(Demand_Data___Hourly_OverviewSearch_1_csv[[#This Row],[Date]],Supply_Data___Hourly_DriverActivity_1_csv__3[#All],8,FALSE)</f>
        <v>6</v>
      </c>
      <c r="P454">
        <f>(Demand_Data___Hourly_OverviewSearch_1_csv[[#This Row],[People saw 0 cars (unique)]]+Demand_Data___Hourly_OverviewSearch_1_csv[[#This Row],[People saw +1 cars (unique)]])</f>
        <v>17</v>
      </c>
      <c r="Q454" s="143">
        <f t="shared" si="31"/>
        <v>16</v>
      </c>
    </row>
    <row r="455" spans="1:17" x14ac:dyDescent="0.3">
      <c r="A455" t="s">
        <v>462</v>
      </c>
      <c r="B455" t="str">
        <f t="shared" si="28"/>
        <v xml:space="preserve"> 01</v>
      </c>
      <c r="C455">
        <f t="shared" si="29"/>
        <v>3</v>
      </c>
      <c r="D455" t="str">
        <f t="shared" si="30"/>
        <v xml:space="preserve">2016-11-30 </v>
      </c>
      <c r="E455" t="str">
        <f>TEXT(Demand_Data___Hourly_OverviewSearch_1_csv[[#This Row],[Day]],"dddd")</f>
        <v>Tuesday</v>
      </c>
      <c r="F455">
        <v>3</v>
      </c>
      <c r="G455">
        <v>50</v>
      </c>
      <c r="H455">
        <v>94</v>
      </c>
      <c r="I455">
        <f>VLOOKUP(Demand_Data___Hourly_OverviewSearch_1_csv[[#This Row],[Date]],Supply_Data___Hourly_DriverActivity_1_csv__3[#All],2,FALSE)</f>
        <v>61</v>
      </c>
      <c r="J455">
        <f>VLOOKUP(Demand_Data___Hourly_OverviewSearch_1_csv[[#This Row],[Date]],Supply_Data___Hourly_DriverActivity_1_csv__3[#All],3,FALSE)</f>
        <v>29</v>
      </c>
      <c r="K455">
        <f>VLOOKUP(Demand_Data___Hourly_OverviewSearch_1_csv[[#This Row],[Date]],Supply_Data___Hourly_DriverActivity_1_csv__3[#All],4,FALSE)</f>
        <v>9</v>
      </c>
      <c r="L455">
        <f>VLOOKUP(Demand_Data___Hourly_OverviewSearch_1_csv[[#This Row],[Date]],Supply_Data___Hourly_DriverActivity_1_csv__3[#All],5,FALSE)</f>
        <v>20</v>
      </c>
      <c r="M455">
        <f>VLOOKUP(Demand_Data___Hourly_OverviewSearch_1_csv[[#This Row],[Date]],Supply_Data___Hourly_DriverActivity_1_csv__3[#All],6,FALSE)</f>
        <v>0.5</v>
      </c>
      <c r="N455">
        <f>VLOOKUP(Demand_Data___Hourly_OverviewSearch_1_csv[[#This Row],[Date]],Supply_Data___Hourly_DriverActivity_1_csv__3[#All],7,FALSE)</f>
        <v>0.62</v>
      </c>
      <c r="O455">
        <f>VLOOKUP(Demand_Data___Hourly_OverviewSearch_1_csv[[#This Row],[Date]],Supply_Data___Hourly_DriverActivity_1_csv__3[#All],8,FALSE)</f>
        <v>18</v>
      </c>
      <c r="P455">
        <f>(Demand_Data___Hourly_OverviewSearch_1_csv[[#This Row],[People saw 0 cars (unique)]]+Demand_Data___Hourly_OverviewSearch_1_csv[[#This Row],[People saw +1 cars (unique)]])</f>
        <v>53</v>
      </c>
      <c r="Q455" s="143">
        <f t="shared" si="31"/>
        <v>20</v>
      </c>
    </row>
    <row r="456" spans="1:17" x14ac:dyDescent="0.3">
      <c r="A456" t="s">
        <v>463</v>
      </c>
      <c r="B456" t="str">
        <f t="shared" si="28"/>
        <v xml:space="preserve"> 00</v>
      </c>
      <c r="C456">
        <f t="shared" si="29"/>
        <v>3</v>
      </c>
      <c r="D456" t="str">
        <f t="shared" si="30"/>
        <v xml:space="preserve">2016-11-30 </v>
      </c>
      <c r="E456" t="str">
        <f>TEXT(Demand_Data___Hourly_OverviewSearch_1_csv[[#This Row],[Day]],"dddd")</f>
        <v>Tuesday</v>
      </c>
      <c r="F456">
        <v>3</v>
      </c>
      <c r="G456">
        <v>67</v>
      </c>
      <c r="H456">
        <v>96</v>
      </c>
      <c r="I456">
        <f>VLOOKUP(Demand_Data___Hourly_OverviewSearch_1_csv[[#This Row],[Date]],Supply_Data___Hourly_DriverActivity_1_csv__3[#All],2,FALSE)</f>
        <v>68</v>
      </c>
      <c r="J456">
        <f>VLOOKUP(Demand_Data___Hourly_OverviewSearch_1_csv[[#This Row],[Date]],Supply_Data___Hourly_DriverActivity_1_csv__3[#All],3,FALSE)</f>
        <v>30</v>
      </c>
      <c r="K456">
        <f>VLOOKUP(Demand_Data___Hourly_OverviewSearch_1_csv[[#This Row],[Date]],Supply_Data___Hourly_DriverActivity_1_csv__3[#All],4,FALSE)</f>
        <v>13</v>
      </c>
      <c r="L456">
        <f>VLOOKUP(Demand_Data___Hourly_OverviewSearch_1_csv[[#This Row],[Date]],Supply_Data___Hourly_DriverActivity_1_csv__3[#All],5,FALSE)</f>
        <v>18</v>
      </c>
      <c r="M456">
        <f>VLOOKUP(Demand_Data___Hourly_OverviewSearch_1_csv[[#This Row],[Date]],Supply_Data___Hourly_DriverActivity_1_csv__3[#All],6,FALSE)</f>
        <v>0.4</v>
      </c>
      <c r="N456">
        <f>VLOOKUP(Demand_Data___Hourly_OverviewSearch_1_csv[[#This Row],[Date]],Supply_Data___Hourly_DriverActivity_1_csv__3[#All],7,FALSE)</f>
        <v>1.07</v>
      </c>
      <c r="O456">
        <f>VLOOKUP(Demand_Data___Hourly_OverviewSearch_1_csv[[#This Row],[Date]],Supply_Data___Hourly_DriverActivity_1_csv__3[#All],8,FALSE)</f>
        <v>32</v>
      </c>
      <c r="P456">
        <f>(Demand_Data___Hourly_OverviewSearch_1_csv[[#This Row],[People saw 0 cars (unique)]]+Demand_Data___Hourly_OverviewSearch_1_csv[[#This Row],[People saw +1 cars (unique)]])</f>
        <v>70</v>
      </c>
      <c r="Q456" s="143">
        <f t="shared" si="31"/>
        <v>17</v>
      </c>
    </row>
    <row r="457" spans="1:17" x14ac:dyDescent="0.3">
      <c r="A457" t="s">
        <v>464</v>
      </c>
      <c r="B457" t="str">
        <f t="shared" si="28"/>
        <v xml:space="preserve"> 23</v>
      </c>
      <c r="C457">
        <f t="shared" si="29"/>
        <v>2</v>
      </c>
      <c r="D457" t="str">
        <f t="shared" si="30"/>
        <v xml:space="preserve">2016-11-29 </v>
      </c>
      <c r="E457" t="str">
        <f>TEXT(Demand_Data___Hourly_OverviewSearch_1_csv[[#This Row],[Day]],"dddd")</f>
        <v>Monday</v>
      </c>
      <c r="F457">
        <v>7</v>
      </c>
      <c r="G457">
        <v>90</v>
      </c>
      <c r="H457">
        <v>93</v>
      </c>
      <c r="I457">
        <f>VLOOKUP(Demand_Data___Hourly_OverviewSearch_1_csv[[#This Row],[Date]],Supply_Data___Hourly_DriverActivity_1_csv__3[#All],2,FALSE)</f>
        <v>81</v>
      </c>
      <c r="J457">
        <f>VLOOKUP(Demand_Data___Hourly_OverviewSearch_1_csv[[#This Row],[Date]],Supply_Data___Hourly_DriverActivity_1_csv__3[#All],3,FALSE)</f>
        <v>40</v>
      </c>
      <c r="K457">
        <f>VLOOKUP(Demand_Data___Hourly_OverviewSearch_1_csv[[#This Row],[Date]],Supply_Data___Hourly_DriverActivity_1_csv__3[#All],4,FALSE)</f>
        <v>18</v>
      </c>
      <c r="L457">
        <f>VLOOKUP(Demand_Data___Hourly_OverviewSearch_1_csv[[#This Row],[Date]],Supply_Data___Hourly_DriverActivity_1_csv__3[#All],5,FALSE)</f>
        <v>22</v>
      </c>
      <c r="M457">
        <f>VLOOKUP(Demand_Data___Hourly_OverviewSearch_1_csv[[#This Row],[Date]],Supply_Data___Hourly_DriverActivity_1_csv__3[#All],6,FALSE)</f>
        <v>0.5</v>
      </c>
      <c r="N457">
        <f>VLOOKUP(Demand_Data___Hourly_OverviewSearch_1_csv[[#This Row],[Date]],Supply_Data___Hourly_DriverActivity_1_csv__3[#All],7,FALSE)</f>
        <v>1.2</v>
      </c>
      <c r="O457">
        <f>VLOOKUP(Demand_Data___Hourly_OverviewSearch_1_csv[[#This Row],[Date]],Supply_Data___Hourly_DriverActivity_1_csv__3[#All],8,FALSE)</f>
        <v>48</v>
      </c>
      <c r="P457">
        <f>(Demand_Data___Hourly_OverviewSearch_1_csv[[#This Row],[People saw 0 cars (unique)]]+Demand_Data___Hourly_OverviewSearch_1_csv[[#This Row],[People saw +1 cars (unique)]])</f>
        <v>97</v>
      </c>
      <c r="Q457" s="143">
        <f t="shared" si="31"/>
        <v>22</v>
      </c>
    </row>
    <row r="458" spans="1:17" x14ac:dyDescent="0.3">
      <c r="A458" t="s">
        <v>465</v>
      </c>
      <c r="B458" t="str">
        <f t="shared" si="28"/>
        <v xml:space="preserve"> 22</v>
      </c>
      <c r="C458">
        <f t="shared" si="29"/>
        <v>2</v>
      </c>
      <c r="D458" t="str">
        <f t="shared" si="30"/>
        <v xml:space="preserve">2016-11-29 </v>
      </c>
      <c r="E458" t="str">
        <f>TEXT(Demand_Data___Hourly_OverviewSearch_1_csv[[#This Row],[Day]],"dddd")</f>
        <v>Monday</v>
      </c>
      <c r="F458">
        <v>5</v>
      </c>
      <c r="G458">
        <v>97</v>
      </c>
      <c r="H458">
        <v>95</v>
      </c>
      <c r="I458">
        <f>VLOOKUP(Demand_Data___Hourly_OverviewSearch_1_csv[[#This Row],[Date]],Supply_Data___Hourly_DriverActivity_1_csv__3[#All],2,FALSE)</f>
        <v>96</v>
      </c>
      <c r="J458">
        <f>VLOOKUP(Demand_Data___Hourly_OverviewSearch_1_csv[[#This Row],[Date]],Supply_Data___Hourly_DriverActivity_1_csv__3[#All],3,FALSE)</f>
        <v>42</v>
      </c>
      <c r="K458">
        <f>VLOOKUP(Demand_Data___Hourly_OverviewSearch_1_csv[[#This Row],[Date]],Supply_Data___Hourly_DriverActivity_1_csv__3[#All],4,FALSE)</f>
        <v>15</v>
      </c>
      <c r="L458">
        <f>VLOOKUP(Demand_Data___Hourly_OverviewSearch_1_csv[[#This Row],[Date]],Supply_Data___Hourly_DriverActivity_1_csv__3[#All],5,FALSE)</f>
        <v>28</v>
      </c>
      <c r="M458">
        <f>VLOOKUP(Demand_Data___Hourly_OverviewSearch_1_csv[[#This Row],[Date]],Supply_Data___Hourly_DriverActivity_1_csv__3[#All],6,FALSE)</f>
        <v>0.4</v>
      </c>
      <c r="N458">
        <f>VLOOKUP(Demand_Data___Hourly_OverviewSearch_1_csv[[#This Row],[Date]],Supply_Data___Hourly_DriverActivity_1_csv__3[#All],7,FALSE)</f>
        <v>0.88</v>
      </c>
      <c r="O458">
        <f>VLOOKUP(Demand_Data___Hourly_OverviewSearch_1_csv[[#This Row],[Date]],Supply_Data___Hourly_DriverActivity_1_csv__3[#All],8,FALSE)</f>
        <v>37</v>
      </c>
      <c r="P458">
        <f>(Demand_Data___Hourly_OverviewSearch_1_csv[[#This Row],[People saw 0 cars (unique)]]+Demand_Data___Hourly_OverviewSearch_1_csv[[#This Row],[People saw +1 cars (unique)]])</f>
        <v>102</v>
      </c>
      <c r="Q458" s="143">
        <f t="shared" si="31"/>
        <v>27</v>
      </c>
    </row>
    <row r="459" spans="1:17" x14ac:dyDescent="0.3">
      <c r="A459" t="s">
        <v>466</v>
      </c>
      <c r="B459" t="str">
        <f t="shared" si="28"/>
        <v xml:space="preserve"> 21</v>
      </c>
      <c r="C459">
        <f t="shared" si="29"/>
        <v>2</v>
      </c>
      <c r="D459" t="str">
        <f t="shared" si="30"/>
        <v xml:space="preserve">2016-11-29 </v>
      </c>
      <c r="E459" t="str">
        <f>TEXT(Demand_Data___Hourly_OverviewSearch_1_csv[[#This Row],[Day]],"dddd")</f>
        <v>Monday</v>
      </c>
      <c r="F459">
        <v>13</v>
      </c>
      <c r="G459">
        <v>86</v>
      </c>
      <c r="H459">
        <v>87</v>
      </c>
      <c r="I459">
        <f>VLOOKUP(Demand_Data___Hourly_OverviewSearch_1_csv[[#This Row],[Date]],Supply_Data___Hourly_DriverActivity_1_csv__3[#All],2,FALSE)</f>
        <v>96</v>
      </c>
      <c r="J459">
        <f>VLOOKUP(Demand_Data___Hourly_OverviewSearch_1_csv[[#This Row],[Date]],Supply_Data___Hourly_DriverActivity_1_csv__3[#All],3,FALSE)</f>
        <v>42</v>
      </c>
      <c r="K459">
        <f>VLOOKUP(Demand_Data___Hourly_OverviewSearch_1_csv[[#This Row],[Date]],Supply_Data___Hourly_DriverActivity_1_csv__3[#All],4,FALSE)</f>
        <v>15</v>
      </c>
      <c r="L459">
        <f>VLOOKUP(Demand_Data___Hourly_OverviewSearch_1_csv[[#This Row],[Date]],Supply_Data___Hourly_DriverActivity_1_csv__3[#All],5,FALSE)</f>
        <v>27</v>
      </c>
      <c r="M459">
        <f>VLOOKUP(Demand_Data___Hourly_OverviewSearch_1_csv[[#This Row],[Date]],Supply_Data___Hourly_DriverActivity_1_csv__3[#All],6,FALSE)</f>
        <v>0.4</v>
      </c>
      <c r="N459">
        <f>VLOOKUP(Demand_Data___Hourly_OverviewSearch_1_csv[[#This Row],[Date]],Supply_Data___Hourly_DriverActivity_1_csv__3[#All],7,FALSE)</f>
        <v>0.9</v>
      </c>
      <c r="O459">
        <f>VLOOKUP(Demand_Data___Hourly_OverviewSearch_1_csv[[#This Row],[Date]],Supply_Data___Hourly_DriverActivity_1_csv__3[#All],8,FALSE)</f>
        <v>38</v>
      </c>
      <c r="P459">
        <f>(Demand_Data___Hourly_OverviewSearch_1_csv[[#This Row],[People saw 0 cars (unique)]]+Demand_Data___Hourly_OverviewSearch_1_csv[[#This Row],[People saw +1 cars (unique)]])</f>
        <v>99</v>
      </c>
      <c r="Q459" s="143">
        <f t="shared" si="31"/>
        <v>27</v>
      </c>
    </row>
    <row r="460" spans="1:17" x14ac:dyDescent="0.3">
      <c r="A460" t="s">
        <v>467</v>
      </c>
      <c r="B460" t="str">
        <f t="shared" si="28"/>
        <v xml:space="preserve"> 20</v>
      </c>
      <c r="C460">
        <f t="shared" si="29"/>
        <v>2</v>
      </c>
      <c r="D460" t="str">
        <f t="shared" si="30"/>
        <v xml:space="preserve">2016-11-29 </v>
      </c>
      <c r="E460" t="str">
        <f>TEXT(Demand_Data___Hourly_OverviewSearch_1_csv[[#This Row],[Day]],"dddd")</f>
        <v>Monday</v>
      </c>
      <c r="F460">
        <v>10</v>
      </c>
      <c r="G460">
        <v>88</v>
      </c>
      <c r="H460">
        <v>90</v>
      </c>
      <c r="I460">
        <f>VLOOKUP(Demand_Data___Hourly_OverviewSearch_1_csv[[#This Row],[Date]],Supply_Data___Hourly_DriverActivity_1_csv__3[#All],2,FALSE)</f>
        <v>102</v>
      </c>
      <c r="J460">
        <f>VLOOKUP(Demand_Data___Hourly_OverviewSearch_1_csv[[#This Row],[Date]],Supply_Data___Hourly_DriverActivity_1_csv__3[#All],3,FALSE)</f>
        <v>38</v>
      </c>
      <c r="K460">
        <f>VLOOKUP(Demand_Data___Hourly_OverviewSearch_1_csv[[#This Row],[Date]],Supply_Data___Hourly_DriverActivity_1_csv__3[#All],4,FALSE)</f>
        <v>10</v>
      </c>
      <c r="L460">
        <f>VLOOKUP(Demand_Data___Hourly_OverviewSearch_1_csv[[#This Row],[Date]],Supply_Data___Hourly_DriverActivity_1_csv__3[#All],5,FALSE)</f>
        <v>28</v>
      </c>
      <c r="M460">
        <f>VLOOKUP(Demand_Data___Hourly_OverviewSearch_1_csv[[#This Row],[Date]],Supply_Data___Hourly_DriverActivity_1_csv__3[#All],6,FALSE)</f>
        <v>0.4</v>
      </c>
      <c r="N460">
        <f>VLOOKUP(Demand_Data___Hourly_OverviewSearch_1_csv[[#This Row],[Date]],Supply_Data___Hourly_DriverActivity_1_csv__3[#All],7,FALSE)</f>
        <v>0.68</v>
      </c>
      <c r="O460">
        <f>VLOOKUP(Demand_Data___Hourly_OverviewSearch_1_csv[[#This Row],[Date]],Supply_Data___Hourly_DriverActivity_1_csv__3[#All],8,FALSE)</f>
        <v>26</v>
      </c>
      <c r="P460">
        <f>(Demand_Data___Hourly_OverviewSearch_1_csv[[#This Row],[People saw 0 cars (unique)]]+Demand_Data___Hourly_OverviewSearch_1_csv[[#This Row],[People saw +1 cars (unique)]])</f>
        <v>98</v>
      </c>
      <c r="Q460" s="143">
        <f t="shared" si="31"/>
        <v>28</v>
      </c>
    </row>
    <row r="461" spans="1:17" x14ac:dyDescent="0.3">
      <c r="A461" t="s">
        <v>468</v>
      </c>
      <c r="B461" t="str">
        <f t="shared" si="28"/>
        <v xml:space="preserve"> 19</v>
      </c>
      <c r="C461">
        <f t="shared" si="29"/>
        <v>2</v>
      </c>
      <c r="D461" t="str">
        <f t="shared" si="30"/>
        <v xml:space="preserve">2016-11-29 </v>
      </c>
      <c r="E461" t="str">
        <f>TEXT(Demand_Data___Hourly_OverviewSearch_1_csv[[#This Row],[Day]],"dddd")</f>
        <v>Monday</v>
      </c>
      <c r="F461">
        <v>27</v>
      </c>
      <c r="G461">
        <v>89</v>
      </c>
      <c r="H461">
        <v>77</v>
      </c>
      <c r="I461">
        <f>VLOOKUP(Demand_Data___Hourly_OverviewSearch_1_csv[[#This Row],[Date]],Supply_Data___Hourly_DriverActivity_1_csv__3[#All],2,FALSE)</f>
        <v>110</v>
      </c>
      <c r="J461">
        <f>VLOOKUP(Demand_Data___Hourly_OverviewSearch_1_csv[[#This Row],[Date]],Supply_Data___Hourly_DriverActivity_1_csv__3[#All],3,FALSE)</f>
        <v>43</v>
      </c>
      <c r="K461">
        <f>VLOOKUP(Demand_Data___Hourly_OverviewSearch_1_csv[[#This Row],[Date]],Supply_Data___Hourly_DriverActivity_1_csv__3[#All],4,FALSE)</f>
        <v>22</v>
      </c>
      <c r="L461">
        <f>VLOOKUP(Demand_Data___Hourly_OverviewSearch_1_csv[[#This Row],[Date]],Supply_Data___Hourly_DriverActivity_1_csv__3[#All],5,FALSE)</f>
        <v>21</v>
      </c>
      <c r="M461">
        <f>VLOOKUP(Demand_Data___Hourly_OverviewSearch_1_csv[[#This Row],[Date]],Supply_Data___Hourly_DriverActivity_1_csv__3[#All],6,FALSE)</f>
        <v>0.4</v>
      </c>
      <c r="N461">
        <f>VLOOKUP(Demand_Data___Hourly_OverviewSearch_1_csv[[#This Row],[Date]],Supply_Data___Hourly_DriverActivity_1_csv__3[#All],7,FALSE)</f>
        <v>0.79</v>
      </c>
      <c r="O461">
        <f>VLOOKUP(Demand_Data___Hourly_OverviewSearch_1_csv[[#This Row],[Date]],Supply_Data___Hourly_DriverActivity_1_csv__3[#All],8,FALSE)</f>
        <v>34</v>
      </c>
      <c r="P461">
        <f>(Demand_Data___Hourly_OverviewSearch_1_csv[[#This Row],[People saw 0 cars (unique)]]+Demand_Data___Hourly_OverviewSearch_1_csv[[#This Row],[People saw +1 cars (unique)]])</f>
        <v>116</v>
      </c>
      <c r="Q461" s="143">
        <f t="shared" si="31"/>
        <v>21</v>
      </c>
    </row>
    <row r="462" spans="1:17" x14ac:dyDescent="0.3">
      <c r="A462" t="s">
        <v>469</v>
      </c>
      <c r="B462" t="str">
        <f t="shared" si="28"/>
        <v xml:space="preserve"> 18</v>
      </c>
      <c r="C462">
        <f t="shared" si="29"/>
        <v>2</v>
      </c>
      <c r="D462" t="str">
        <f t="shared" si="30"/>
        <v xml:space="preserve">2016-11-29 </v>
      </c>
      <c r="E462" t="str">
        <f>TEXT(Demand_Data___Hourly_OverviewSearch_1_csv[[#This Row],[Day]],"dddd")</f>
        <v>Monday</v>
      </c>
      <c r="F462">
        <v>44</v>
      </c>
      <c r="G462">
        <v>77</v>
      </c>
      <c r="H462">
        <v>64</v>
      </c>
      <c r="I462">
        <f>VLOOKUP(Demand_Data___Hourly_OverviewSearch_1_csv[[#This Row],[Date]],Supply_Data___Hourly_DriverActivity_1_csv__3[#All],2,FALSE)</f>
        <v>100</v>
      </c>
      <c r="J462">
        <f>VLOOKUP(Demand_Data___Hourly_OverviewSearch_1_csv[[#This Row],[Date]],Supply_Data___Hourly_DriverActivity_1_csv__3[#All],3,FALSE)</f>
        <v>34</v>
      </c>
      <c r="K462">
        <f>VLOOKUP(Demand_Data___Hourly_OverviewSearch_1_csv[[#This Row],[Date]],Supply_Data___Hourly_DriverActivity_1_csv__3[#All],4,FALSE)</f>
        <v>20</v>
      </c>
      <c r="L462">
        <f>VLOOKUP(Demand_Data___Hourly_OverviewSearch_1_csv[[#This Row],[Date]],Supply_Data___Hourly_DriverActivity_1_csv__3[#All],5,FALSE)</f>
        <v>15</v>
      </c>
      <c r="M462">
        <f>VLOOKUP(Demand_Data___Hourly_OverviewSearch_1_csv[[#This Row],[Date]],Supply_Data___Hourly_DriverActivity_1_csv__3[#All],6,FALSE)</f>
        <v>0.3</v>
      </c>
      <c r="N462">
        <f>VLOOKUP(Demand_Data___Hourly_OverviewSearch_1_csv[[#This Row],[Date]],Supply_Data___Hourly_DriverActivity_1_csv__3[#All],7,FALSE)</f>
        <v>0.88</v>
      </c>
      <c r="O462">
        <f>VLOOKUP(Demand_Data___Hourly_OverviewSearch_1_csv[[#This Row],[Date]],Supply_Data___Hourly_DriverActivity_1_csv__3[#All],8,FALSE)</f>
        <v>30</v>
      </c>
      <c r="P462">
        <f>(Demand_Data___Hourly_OverviewSearch_1_csv[[#This Row],[People saw 0 cars (unique)]]+Demand_Data___Hourly_OverviewSearch_1_csv[[#This Row],[People saw +1 cars (unique)]])</f>
        <v>121</v>
      </c>
      <c r="Q462" s="143">
        <f t="shared" si="31"/>
        <v>14</v>
      </c>
    </row>
    <row r="463" spans="1:17" x14ac:dyDescent="0.3">
      <c r="A463" t="s">
        <v>470</v>
      </c>
      <c r="B463" t="str">
        <f t="shared" si="28"/>
        <v xml:space="preserve"> 17</v>
      </c>
      <c r="C463">
        <f t="shared" si="29"/>
        <v>2</v>
      </c>
      <c r="D463" t="str">
        <f t="shared" si="30"/>
        <v xml:space="preserve">2016-11-29 </v>
      </c>
      <c r="E463" t="str">
        <f>TEXT(Demand_Data___Hourly_OverviewSearch_1_csv[[#This Row],[Day]],"dddd")</f>
        <v>Monday</v>
      </c>
      <c r="F463">
        <v>19</v>
      </c>
      <c r="G463">
        <v>45</v>
      </c>
      <c r="H463">
        <v>70</v>
      </c>
      <c r="I463">
        <f>VLOOKUP(Demand_Data___Hourly_OverviewSearch_1_csv[[#This Row],[Date]],Supply_Data___Hourly_DriverActivity_1_csv__3[#All],2,FALSE)</f>
        <v>81</v>
      </c>
      <c r="J463">
        <f>VLOOKUP(Demand_Data___Hourly_OverviewSearch_1_csv[[#This Row],[Date]],Supply_Data___Hourly_DriverActivity_1_csv__3[#All],3,FALSE)</f>
        <v>29</v>
      </c>
      <c r="K463">
        <f>VLOOKUP(Demand_Data___Hourly_OverviewSearch_1_csv[[#This Row],[Date]],Supply_Data___Hourly_DriverActivity_1_csv__3[#All],4,FALSE)</f>
        <v>13</v>
      </c>
      <c r="L463">
        <f>VLOOKUP(Demand_Data___Hourly_OverviewSearch_1_csv[[#This Row],[Date]],Supply_Data___Hourly_DriverActivity_1_csv__3[#All],5,FALSE)</f>
        <v>16</v>
      </c>
      <c r="M463">
        <f>VLOOKUP(Demand_Data___Hourly_OverviewSearch_1_csv[[#This Row],[Date]],Supply_Data___Hourly_DriverActivity_1_csv__3[#All],6,FALSE)</f>
        <v>0.4</v>
      </c>
      <c r="N463">
        <f>VLOOKUP(Demand_Data___Hourly_OverviewSearch_1_csv[[#This Row],[Date]],Supply_Data___Hourly_DriverActivity_1_csv__3[#All],7,FALSE)</f>
        <v>0.93</v>
      </c>
      <c r="O463">
        <f>VLOOKUP(Demand_Data___Hourly_OverviewSearch_1_csv[[#This Row],[Date]],Supply_Data___Hourly_DriverActivity_1_csv__3[#All],8,FALSE)</f>
        <v>27</v>
      </c>
      <c r="P463">
        <f>(Demand_Data___Hourly_OverviewSearch_1_csv[[#This Row],[People saw 0 cars (unique)]]+Demand_Data___Hourly_OverviewSearch_1_csv[[#This Row],[People saw +1 cars (unique)]])</f>
        <v>64</v>
      </c>
      <c r="Q463" s="143">
        <f t="shared" si="31"/>
        <v>16</v>
      </c>
    </row>
    <row r="464" spans="1:17" x14ac:dyDescent="0.3">
      <c r="A464" t="s">
        <v>471</v>
      </c>
      <c r="B464" t="str">
        <f t="shared" si="28"/>
        <v xml:space="preserve"> 16</v>
      </c>
      <c r="C464">
        <f t="shared" si="29"/>
        <v>2</v>
      </c>
      <c r="D464" t="str">
        <f t="shared" si="30"/>
        <v xml:space="preserve">2016-11-29 </v>
      </c>
      <c r="E464" t="str">
        <f>TEXT(Demand_Data___Hourly_OverviewSearch_1_csv[[#This Row],[Day]],"dddd")</f>
        <v>Monday</v>
      </c>
      <c r="F464">
        <v>24</v>
      </c>
      <c r="G464">
        <v>43</v>
      </c>
      <c r="H464">
        <v>64</v>
      </c>
      <c r="I464">
        <f>VLOOKUP(Demand_Data___Hourly_OverviewSearch_1_csv[[#This Row],[Date]],Supply_Data___Hourly_DriverActivity_1_csv__3[#All],2,FALSE)</f>
        <v>75</v>
      </c>
      <c r="J464">
        <f>VLOOKUP(Demand_Data___Hourly_OverviewSearch_1_csv[[#This Row],[Date]],Supply_Data___Hourly_DriverActivity_1_csv__3[#All],3,FALSE)</f>
        <v>23</v>
      </c>
      <c r="K464">
        <f>VLOOKUP(Demand_Data___Hourly_OverviewSearch_1_csv[[#This Row],[Date]],Supply_Data___Hourly_DriverActivity_1_csv__3[#All],4,FALSE)</f>
        <v>9</v>
      </c>
      <c r="L464">
        <f>VLOOKUP(Demand_Data___Hourly_OverviewSearch_1_csv[[#This Row],[Date]],Supply_Data___Hourly_DriverActivity_1_csv__3[#All],5,FALSE)</f>
        <v>14</v>
      </c>
      <c r="M464">
        <f>VLOOKUP(Demand_Data___Hourly_OverviewSearch_1_csv[[#This Row],[Date]],Supply_Data___Hourly_DriverActivity_1_csv__3[#All],6,FALSE)</f>
        <v>0.3</v>
      </c>
      <c r="N464">
        <f>VLOOKUP(Demand_Data___Hourly_OverviewSearch_1_csv[[#This Row],[Date]],Supply_Data___Hourly_DriverActivity_1_csv__3[#All],7,FALSE)</f>
        <v>0.56999999999999995</v>
      </c>
      <c r="O464">
        <f>VLOOKUP(Demand_Data___Hourly_OverviewSearch_1_csv[[#This Row],[Date]],Supply_Data___Hourly_DriverActivity_1_csv__3[#All],8,FALSE)</f>
        <v>13</v>
      </c>
      <c r="P464">
        <f>(Demand_Data___Hourly_OverviewSearch_1_csv[[#This Row],[People saw 0 cars (unique)]]+Demand_Data___Hourly_OverviewSearch_1_csv[[#This Row],[People saw +1 cars (unique)]])</f>
        <v>67</v>
      </c>
      <c r="Q464" s="143">
        <f t="shared" si="31"/>
        <v>14</v>
      </c>
    </row>
    <row r="465" spans="1:17" x14ac:dyDescent="0.3">
      <c r="A465" t="s">
        <v>472</v>
      </c>
      <c r="B465" t="str">
        <f t="shared" si="28"/>
        <v xml:space="preserve"> 15</v>
      </c>
      <c r="C465">
        <f t="shared" si="29"/>
        <v>2</v>
      </c>
      <c r="D465" t="str">
        <f t="shared" si="30"/>
        <v xml:space="preserve">2016-11-29 </v>
      </c>
      <c r="E465" t="str">
        <f>TEXT(Demand_Data___Hourly_OverviewSearch_1_csv[[#This Row],[Day]],"dddd")</f>
        <v>Monday</v>
      </c>
      <c r="F465">
        <v>15</v>
      </c>
      <c r="G465">
        <v>43</v>
      </c>
      <c r="H465">
        <v>74</v>
      </c>
      <c r="I465">
        <f>VLOOKUP(Demand_Data___Hourly_OverviewSearch_1_csv[[#This Row],[Date]],Supply_Data___Hourly_DriverActivity_1_csv__3[#All],2,FALSE)</f>
        <v>67</v>
      </c>
      <c r="J465">
        <f>VLOOKUP(Demand_Data___Hourly_OverviewSearch_1_csv[[#This Row],[Date]],Supply_Data___Hourly_DriverActivity_1_csv__3[#All],3,FALSE)</f>
        <v>22</v>
      </c>
      <c r="K465">
        <f>VLOOKUP(Demand_Data___Hourly_OverviewSearch_1_csv[[#This Row],[Date]],Supply_Data___Hourly_DriverActivity_1_csv__3[#All],4,FALSE)</f>
        <v>8</v>
      </c>
      <c r="L465">
        <f>VLOOKUP(Demand_Data___Hourly_OverviewSearch_1_csv[[#This Row],[Date]],Supply_Data___Hourly_DriverActivity_1_csv__3[#All],5,FALSE)</f>
        <v>13</v>
      </c>
      <c r="M465">
        <f>VLOOKUP(Demand_Data___Hourly_OverviewSearch_1_csv[[#This Row],[Date]],Supply_Data___Hourly_DriverActivity_1_csv__3[#All],6,FALSE)</f>
        <v>0.3</v>
      </c>
      <c r="N465">
        <f>VLOOKUP(Demand_Data___Hourly_OverviewSearch_1_csv[[#This Row],[Date]],Supply_Data___Hourly_DriverActivity_1_csv__3[#All],7,FALSE)</f>
        <v>0.73</v>
      </c>
      <c r="O465">
        <f>VLOOKUP(Demand_Data___Hourly_OverviewSearch_1_csv[[#This Row],[Date]],Supply_Data___Hourly_DriverActivity_1_csv__3[#All],8,FALSE)</f>
        <v>16</v>
      </c>
      <c r="P465">
        <f>(Demand_Data___Hourly_OverviewSearch_1_csv[[#This Row],[People saw 0 cars (unique)]]+Demand_Data___Hourly_OverviewSearch_1_csv[[#This Row],[People saw +1 cars (unique)]])</f>
        <v>58</v>
      </c>
      <c r="Q465" s="143">
        <f t="shared" si="31"/>
        <v>14</v>
      </c>
    </row>
    <row r="466" spans="1:17" x14ac:dyDescent="0.3">
      <c r="A466" t="s">
        <v>473</v>
      </c>
      <c r="B466" t="str">
        <f t="shared" si="28"/>
        <v xml:space="preserve"> 14</v>
      </c>
      <c r="C466">
        <f t="shared" si="29"/>
        <v>2</v>
      </c>
      <c r="D466" t="str">
        <f t="shared" si="30"/>
        <v xml:space="preserve">2016-11-29 </v>
      </c>
      <c r="E466" t="str">
        <f>TEXT(Demand_Data___Hourly_OverviewSearch_1_csv[[#This Row],[Day]],"dddd")</f>
        <v>Monday</v>
      </c>
      <c r="F466">
        <v>6</v>
      </c>
      <c r="G466">
        <v>34</v>
      </c>
      <c r="H466">
        <v>85</v>
      </c>
      <c r="I466">
        <f>VLOOKUP(Demand_Data___Hourly_OverviewSearch_1_csv[[#This Row],[Date]],Supply_Data___Hourly_DriverActivity_1_csv__3[#All],2,FALSE)</f>
        <v>64</v>
      </c>
      <c r="J466">
        <f>VLOOKUP(Demand_Data___Hourly_OverviewSearch_1_csv[[#This Row],[Date]],Supply_Data___Hourly_DriverActivity_1_csv__3[#All],3,FALSE)</f>
        <v>21</v>
      </c>
      <c r="K466">
        <f>VLOOKUP(Demand_Data___Hourly_OverviewSearch_1_csv[[#This Row],[Date]],Supply_Data___Hourly_DriverActivity_1_csv__3[#All],4,FALSE)</f>
        <v>8</v>
      </c>
      <c r="L466">
        <f>VLOOKUP(Demand_Data___Hourly_OverviewSearch_1_csv[[#This Row],[Date]],Supply_Data___Hourly_DriverActivity_1_csv__3[#All],5,FALSE)</f>
        <v>13</v>
      </c>
      <c r="M466">
        <f>VLOOKUP(Demand_Data___Hourly_OverviewSearch_1_csv[[#This Row],[Date]],Supply_Data___Hourly_DriverActivity_1_csv__3[#All],6,FALSE)</f>
        <v>0.3</v>
      </c>
      <c r="N466">
        <f>VLOOKUP(Demand_Data___Hourly_OverviewSearch_1_csv[[#This Row],[Date]],Supply_Data___Hourly_DriverActivity_1_csv__3[#All],7,FALSE)</f>
        <v>0.52</v>
      </c>
      <c r="O466">
        <f>VLOOKUP(Demand_Data___Hourly_OverviewSearch_1_csv[[#This Row],[Date]],Supply_Data___Hourly_DriverActivity_1_csv__3[#All],8,FALSE)</f>
        <v>11</v>
      </c>
      <c r="P466">
        <f>(Demand_Data___Hourly_OverviewSearch_1_csv[[#This Row],[People saw 0 cars (unique)]]+Demand_Data___Hourly_OverviewSearch_1_csv[[#This Row],[People saw +1 cars (unique)]])</f>
        <v>40</v>
      </c>
      <c r="Q466" s="143">
        <f t="shared" si="31"/>
        <v>13</v>
      </c>
    </row>
    <row r="467" spans="1:17" x14ac:dyDescent="0.3">
      <c r="A467" t="s">
        <v>474</v>
      </c>
      <c r="B467" t="str">
        <f t="shared" si="28"/>
        <v xml:space="preserve"> 13</v>
      </c>
      <c r="C467">
        <f t="shared" si="29"/>
        <v>2</v>
      </c>
      <c r="D467" t="str">
        <f t="shared" si="30"/>
        <v xml:space="preserve">2016-11-29 </v>
      </c>
      <c r="E467" t="str">
        <f>TEXT(Demand_Data___Hourly_OverviewSearch_1_csv[[#This Row],[Day]],"dddd")</f>
        <v>Monday</v>
      </c>
      <c r="F467">
        <v>8</v>
      </c>
      <c r="G467">
        <v>43</v>
      </c>
      <c r="H467">
        <v>84</v>
      </c>
      <c r="I467">
        <f>VLOOKUP(Demand_Data___Hourly_OverviewSearch_1_csv[[#This Row],[Date]],Supply_Data___Hourly_DriverActivity_1_csv__3[#All],2,FALSE)</f>
        <v>71</v>
      </c>
      <c r="J467">
        <f>VLOOKUP(Demand_Data___Hourly_OverviewSearch_1_csv[[#This Row],[Date]],Supply_Data___Hourly_DriverActivity_1_csv__3[#All],3,FALSE)</f>
        <v>26</v>
      </c>
      <c r="K467">
        <f>VLOOKUP(Demand_Data___Hourly_OverviewSearch_1_csv[[#This Row],[Date]],Supply_Data___Hourly_DriverActivity_1_csv__3[#All],4,FALSE)</f>
        <v>7</v>
      </c>
      <c r="L467">
        <f>VLOOKUP(Demand_Data___Hourly_OverviewSearch_1_csv[[#This Row],[Date]],Supply_Data___Hourly_DriverActivity_1_csv__3[#All],5,FALSE)</f>
        <v>19</v>
      </c>
      <c r="M467">
        <f>VLOOKUP(Demand_Data___Hourly_OverviewSearch_1_csv[[#This Row],[Date]],Supply_Data___Hourly_DriverActivity_1_csv__3[#All],6,FALSE)</f>
        <v>0.4</v>
      </c>
      <c r="N467">
        <f>VLOOKUP(Demand_Data___Hourly_OverviewSearch_1_csv[[#This Row],[Date]],Supply_Data___Hourly_DriverActivity_1_csv__3[#All],7,FALSE)</f>
        <v>0.57999999999999996</v>
      </c>
      <c r="O467">
        <f>VLOOKUP(Demand_Data___Hourly_OverviewSearch_1_csv[[#This Row],[Date]],Supply_Data___Hourly_DriverActivity_1_csv__3[#All],8,FALSE)</f>
        <v>15</v>
      </c>
      <c r="P467">
        <f>(Demand_Data___Hourly_OverviewSearch_1_csv[[#This Row],[People saw 0 cars (unique)]]+Demand_Data___Hourly_OverviewSearch_1_csv[[#This Row],[People saw +1 cars (unique)]])</f>
        <v>51</v>
      </c>
      <c r="Q467" s="143">
        <f t="shared" si="31"/>
        <v>19</v>
      </c>
    </row>
    <row r="468" spans="1:17" x14ac:dyDescent="0.3">
      <c r="A468" t="s">
        <v>475</v>
      </c>
      <c r="B468" t="str">
        <f t="shared" si="28"/>
        <v xml:space="preserve"> 12</v>
      </c>
      <c r="C468">
        <f t="shared" si="29"/>
        <v>2</v>
      </c>
      <c r="D468" t="str">
        <f t="shared" si="30"/>
        <v xml:space="preserve">2016-11-29 </v>
      </c>
      <c r="E468" t="str">
        <f>TEXT(Demand_Data___Hourly_OverviewSearch_1_csv[[#This Row],[Day]],"dddd")</f>
        <v>Monday</v>
      </c>
      <c r="F468">
        <v>5</v>
      </c>
      <c r="G468">
        <v>32</v>
      </c>
      <c r="H468">
        <v>86</v>
      </c>
      <c r="I468">
        <f>VLOOKUP(Demand_Data___Hourly_OverviewSearch_1_csv[[#This Row],[Date]],Supply_Data___Hourly_DriverActivity_1_csv__3[#All],2,FALSE)</f>
        <v>72</v>
      </c>
      <c r="J468">
        <f>VLOOKUP(Demand_Data___Hourly_OverviewSearch_1_csv[[#This Row],[Date]],Supply_Data___Hourly_DriverActivity_1_csv__3[#All],3,FALSE)</f>
        <v>26</v>
      </c>
      <c r="K468">
        <f>VLOOKUP(Demand_Data___Hourly_OverviewSearch_1_csv[[#This Row],[Date]],Supply_Data___Hourly_DriverActivity_1_csv__3[#All],4,FALSE)</f>
        <v>5</v>
      </c>
      <c r="L468">
        <f>VLOOKUP(Demand_Data___Hourly_OverviewSearch_1_csv[[#This Row],[Date]],Supply_Data___Hourly_DriverActivity_1_csv__3[#All],5,FALSE)</f>
        <v>21</v>
      </c>
      <c r="M468">
        <f>VLOOKUP(Demand_Data___Hourly_OverviewSearch_1_csv[[#This Row],[Date]],Supply_Data___Hourly_DriverActivity_1_csv__3[#All],6,FALSE)</f>
        <v>0.4</v>
      </c>
      <c r="N468">
        <f>VLOOKUP(Demand_Data___Hourly_OverviewSearch_1_csv[[#This Row],[Date]],Supply_Data___Hourly_DriverActivity_1_csv__3[#All],7,FALSE)</f>
        <v>0.42</v>
      </c>
      <c r="O468">
        <f>VLOOKUP(Demand_Data___Hourly_OverviewSearch_1_csv[[#This Row],[Date]],Supply_Data___Hourly_DriverActivity_1_csv__3[#All],8,FALSE)</f>
        <v>11</v>
      </c>
      <c r="P468">
        <f>(Demand_Data___Hourly_OverviewSearch_1_csv[[#This Row],[People saw 0 cars (unique)]]+Demand_Data___Hourly_OverviewSearch_1_csv[[#This Row],[People saw +1 cars (unique)]])</f>
        <v>37</v>
      </c>
      <c r="Q468" s="143">
        <f t="shared" si="31"/>
        <v>21</v>
      </c>
    </row>
    <row r="469" spans="1:17" x14ac:dyDescent="0.3">
      <c r="A469" t="s">
        <v>476</v>
      </c>
      <c r="B469" t="str">
        <f t="shared" si="28"/>
        <v xml:space="preserve"> 11</v>
      </c>
      <c r="C469">
        <f t="shared" si="29"/>
        <v>2</v>
      </c>
      <c r="D469" t="str">
        <f t="shared" si="30"/>
        <v xml:space="preserve">2016-11-29 </v>
      </c>
      <c r="E469" t="str">
        <f>TEXT(Demand_Data___Hourly_OverviewSearch_1_csv[[#This Row],[Day]],"dddd")</f>
        <v>Monday</v>
      </c>
      <c r="F469">
        <v>10</v>
      </c>
      <c r="G469">
        <v>41</v>
      </c>
      <c r="H469">
        <v>80</v>
      </c>
      <c r="I469">
        <f>VLOOKUP(Demand_Data___Hourly_OverviewSearch_1_csv[[#This Row],[Date]],Supply_Data___Hourly_DriverActivity_1_csv__3[#All],2,FALSE)</f>
        <v>74</v>
      </c>
      <c r="J469">
        <f>VLOOKUP(Demand_Data___Hourly_OverviewSearch_1_csv[[#This Row],[Date]],Supply_Data___Hourly_DriverActivity_1_csv__3[#All],3,FALSE)</f>
        <v>28</v>
      </c>
      <c r="K469">
        <f>VLOOKUP(Demand_Data___Hourly_OverviewSearch_1_csv[[#This Row],[Date]],Supply_Data___Hourly_DriverActivity_1_csv__3[#All],4,FALSE)</f>
        <v>6</v>
      </c>
      <c r="L469">
        <f>VLOOKUP(Demand_Data___Hourly_OverviewSearch_1_csv[[#This Row],[Date]],Supply_Data___Hourly_DriverActivity_1_csv__3[#All],5,FALSE)</f>
        <v>22</v>
      </c>
      <c r="M469">
        <f>VLOOKUP(Demand_Data___Hourly_OverviewSearch_1_csv[[#This Row],[Date]],Supply_Data___Hourly_DriverActivity_1_csv__3[#All],6,FALSE)</f>
        <v>0.4</v>
      </c>
      <c r="N469">
        <f>VLOOKUP(Demand_Data___Hourly_OverviewSearch_1_csv[[#This Row],[Date]],Supply_Data___Hourly_DriverActivity_1_csv__3[#All],7,FALSE)</f>
        <v>0.43</v>
      </c>
      <c r="O469">
        <f>VLOOKUP(Demand_Data___Hourly_OverviewSearch_1_csv[[#This Row],[Date]],Supply_Data___Hourly_DriverActivity_1_csv__3[#All],8,FALSE)</f>
        <v>12</v>
      </c>
      <c r="P469">
        <f>(Demand_Data___Hourly_OverviewSearch_1_csv[[#This Row],[People saw 0 cars (unique)]]+Demand_Data___Hourly_OverviewSearch_1_csv[[#This Row],[People saw +1 cars (unique)]])</f>
        <v>51</v>
      </c>
      <c r="Q469" s="143">
        <f t="shared" si="31"/>
        <v>22</v>
      </c>
    </row>
    <row r="470" spans="1:17" x14ac:dyDescent="0.3">
      <c r="A470" t="s">
        <v>477</v>
      </c>
      <c r="B470" t="str">
        <f t="shared" si="28"/>
        <v xml:space="preserve"> 10</v>
      </c>
      <c r="C470">
        <f t="shared" si="29"/>
        <v>2</v>
      </c>
      <c r="D470" t="str">
        <f t="shared" si="30"/>
        <v xml:space="preserve">2016-11-29 </v>
      </c>
      <c r="E470" t="str">
        <f>TEXT(Demand_Data___Hourly_OverviewSearch_1_csv[[#This Row],[Day]],"dddd")</f>
        <v>Monday</v>
      </c>
      <c r="F470">
        <v>9</v>
      </c>
      <c r="G470">
        <v>52</v>
      </c>
      <c r="H470">
        <v>85</v>
      </c>
      <c r="I470">
        <f>VLOOKUP(Demand_Data___Hourly_OverviewSearch_1_csv[[#This Row],[Date]],Supply_Data___Hourly_DriverActivity_1_csv__3[#All],2,FALSE)</f>
        <v>90</v>
      </c>
      <c r="J470">
        <f>VLOOKUP(Demand_Data___Hourly_OverviewSearch_1_csv[[#This Row],[Date]],Supply_Data___Hourly_DriverActivity_1_csv__3[#All],3,FALSE)</f>
        <v>35</v>
      </c>
      <c r="K470">
        <f>VLOOKUP(Demand_Data___Hourly_OverviewSearch_1_csv[[#This Row],[Date]],Supply_Data___Hourly_DriverActivity_1_csv__3[#All],4,FALSE)</f>
        <v>7</v>
      </c>
      <c r="L470">
        <f>VLOOKUP(Demand_Data___Hourly_OverviewSearch_1_csv[[#This Row],[Date]],Supply_Data___Hourly_DriverActivity_1_csv__3[#All],5,FALSE)</f>
        <v>27</v>
      </c>
      <c r="M470">
        <f>VLOOKUP(Demand_Data___Hourly_OverviewSearch_1_csv[[#This Row],[Date]],Supply_Data___Hourly_DriverActivity_1_csv__3[#All],6,FALSE)</f>
        <v>0.4</v>
      </c>
      <c r="N470">
        <f>VLOOKUP(Demand_Data___Hourly_OverviewSearch_1_csv[[#This Row],[Date]],Supply_Data___Hourly_DriverActivity_1_csv__3[#All],7,FALSE)</f>
        <v>0.37</v>
      </c>
      <c r="O470">
        <f>VLOOKUP(Demand_Data___Hourly_OverviewSearch_1_csv[[#This Row],[Date]],Supply_Data___Hourly_DriverActivity_1_csv__3[#All],8,FALSE)</f>
        <v>13</v>
      </c>
      <c r="P470">
        <f>(Demand_Data___Hourly_OverviewSearch_1_csv[[#This Row],[People saw 0 cars (unique)]]+Demand_Data___Hourly_OverviewSearch_1_csv[[#This Row],[People saw +1 cars (unique)]])</f>
        <v>61</v>
      </c>
      <c r="Q470" s="143">
        <f t="shared" si="31"/>
        <v>28</v>
      </c>
    </row>
    <row r="471" spans="1:17" x14ac:dyDescent="0.3">
      <c r="A471" t="s">
        <v>478</v>
      </c>
      <c r="B471" t="str">
        <f t="shared" si="28"/>
        <v xml:space="preserve"> 09</v>
      </c>
      <c r="C471">
        <f t="shared" si="29"/>
        <v>2</v>
      </c>
      <c r="D471" t="str">
        <f t="shared" si="30"/>
        <v xml:space="preserve">2016-11-29 </v>
      </c>
      <c r="E471" t="str">
        <f>TEXT(Demand_Data___Hourly_OverviewSearch_1_csv[[#This Row],[Day]],"dddd")</f>
        <v>Monday</v>
      </c>
      <c r="F471">
        <v>33</v>
      </c>
      <c r="G471">
        <v>64</v>
      </c>
      <c r="H471">
        <v>66</v>
      </c>
      <c r="I471">
        <f>VLOOKUP(Demand_Data___Hourly_OverviewSearch_1_csv[[#This Row],[Date]],Supply_Data___Hourly_DriverActivity_1_csv__3[#All],2,FALSE)</f>
        <v>82</v>
      </c>
      <c r="J471">
        <f>VLOOKUP(Demand_Data___Hourly_OverviewSearch_1_csv[[#This Row],[Date]],Supply_Data___Hourly_DriverActivity_1_csv__3[#All],3,FALSE)</f>
        <v>35</v>
      </c>
      <c r="K471">
        <f>VLOOKUP(Demand_Data___Hourly_OverviewSearch_1_csv[[#This Row],[Date]],Supply_Data___Hourly_DriverActivity_1_csv__3[#All],4,FALSE)</f>
        <v>20</v>
      </c>
      <c r="L471">
        <f>VLOOKUP(Demand_Data___Hourly_OverviewSearch_1_csv[[#This Row],[Date]],Supply_Data___Hourly_DriverActivity_1_csv__3[#All],5,FALSE)</f>
        <v>15</v>
      </c>
      <c r="M471">
        <f>VLOOKUP(Demand_Data___Hourly_OverviewSearch_1_csv[[#This Row],[Date]],Supply_Data___Hourly_DriverActivity_1_csv__3[#All],6,FALSE)</f>
        <v>0.4</v>
      </c>
      <c r="N471">
        <f>VLOOKUP(Demand_Data___Hourly_OverviewSearch_1_csv[[#This Row],[Date]],Supply_Data___Hourly_DriverActivity_1_csv__3[#All],7,FALSE)</f>
        <v>0.86</v>
      </c>
      <c r="O471">
        <f>VLOOKUP(Demand_Data___Hourly_OverviewSearch_1_csv[[#This Row],[Date]],Supply_Data___Hourly_DriverActivity_1_csv__3[#All],8,FALSE)</f>
        <v>30</v>
      </c>
      <c r="P471">
        <f>(Demand_Data___Hourly_OverviewSearch_1_csv[[#This Row],[People saw 0 cars (unique)]]+Demand_Data___Hourly_OverviewSearch_1_csv[[#This Row],[People saw +1 cars (unique)]])</f>
        <v>97</v>
      </c>
      <c r="Q471" s="143">
        <f t="shared" si="31"/>
        <v>15</v>
      </c>
    </row>
    <row r="472" spans="1:17" x14ac:dyDescent="0.3">
      <c r="A472" t="s">
        <v>479</v>
      </c>
      <c r="B472" t="str">
        <f t="shared" si="28"/>
        <v xml:space="preserve"> 08</v>
      </c>
      <c r="C472">
        <f t="shared" si="29"/>
        <v>2</v>
      </c>
      <c r="D472" t="str">
        <f t="shared" si="30"/>
        <v xml:space="preserve">2016-11-29 </v>
      </c>
      <c r="E472" t="str">
        <f>TEXT(Demand_Data___Hourly_OverviewSearch_1_csv[[#This Row],[Day]],"dddd")</f>
        <v>Monday</v>
      </c>
      <c r="F472">
        <v>17</v>
      </c>
      <c r="G472">
        <v>55</v>
      </c>
      <c r="H472">
        <v>76</v>
      </c>
      <c r="I472">
        <f>VLOOKUP(Demand_Data___Hourly_OverviewSearch_1_csv[[#This Row],[Date]],Supply_Data___Hourly_DriverActivity_1_csv__3[#All],2,FALSE)</f>
        <v>67</v>
      </c>
      <c r="J472">
        <f>VLOOKUP(Demand_Data___Hourly_OverviewSearch_1_csv[[#This Row],[Date]],Supply_Data___Hourly_DriverActivity_1_csv__3[#All],3,FALSE)</f>
        <v>33</v>
      </c>
      <c r="K472">
        <f>VLOOKUP(Demand_Data___Hourly_OverviewSearch_1_csv[[#This Row],[Date]],Supply_Data___Hourly_DriverActivity_1_csv__3[#All],4,FALSE)</f>
        <v>14</v>
      </c>
      <c r="L472">
        <f>VLOOKUP(Demand_Data___Hourly_OverviewSearch_1_csv[[#This Row],[Date]],Supply_Data___Hourly_DriverActivity_1_csv__3[#All],5,FALSE)</f>
        <v>19</v>
      </c>
      <c r="M472">
        <f>VLOOKUP(Demand_Data___Hourly_OverviewSearch_1_csv[[#This Row],[Date]],Supply_Data___Hourly_DriverActivity_1_csv__3[#All],6,FALSE)</f>
        <v>0.5</v>
      </c>
      <c r="N472">
        <f>VLOOKUP(Demand_Data___Hourly_OverviewSearch_1_csv[[#This Row],[Date]],Supply_Data___Hourly_DriverActivity_1_csv__3[#All],7,FALSE)</f>
        <v>0.94</v>
      </c>
      <c r="O472">
        <f>VLOOKUP(Demand_Data___Hourly_OverviewSearch_1_csv[[#This Row],[Date]],Supply_Data___Hourly_DriverActivity_1_csv__3[#All],8,FALSE)</f>
        <v>31</v>
      </c>
      <c r="P472">
        <f>(Demand_Data___Hourly_OverviewSearch_1_csv[[#This Row],[People saw 0 cars (unique)]]+Demand_Data___Hourly_OverviewSearch_1_csv[[#This Row],[People saw +1 cars (unique)]])</f>
        <v>72</v>
      </c>
      <c r="Q472" s="143">
        <f t="shared" si="31"/>
        <v>19</v>
      </c>
    </row>
    <row r="473" spans="1:17" x14ac:dyDescent="0.3">
      <c r="A473" t="s">
        <v>480</v>
      </c>
      <c r="B473" t="str">
        <f t="shared" si="28"/>
        <v xml:space="preserve"> 07</v>
      </c>
      <c r="C473">
        <f t="shared" si="29"/>
        <v>2</v>
      </c>
      <c r="D473" t="str">
        <f t="shared" si="30"/>
        <v xml:space="preserve">2016-11-29 </v>
      </c>
      <c r="E473" t="str">
        <f>TEXT(Demand_Data___Hourly_OverviewSearch_1_csv[[#This Row],[Day]],"dddd")</f>
        <v>Monday</v>
      </c>
      <c r="F473">
        <v>9</v>
      </c>
      <c r="G473">
        <v>22</v>
      </c>
      <c r="H473">
        <v>71</v>
      </c>
      <c r="I473">
        <f>VLOOKUP(Demand_Data___Hourly_OverviewSearch_1_csv[[#This Row],[Date]],Supply_Data___Hourly_DriverActivity_1_csv__3[#All],2,FALSE)</f>
        <v>56</v>
      </c>
      <c r="J473">
        <f>VLOOKUP(Demand_Data___Hourly_OverviewSearch_1_csv[[#This Row],[Date]],Supply_Data___Hourly_DriverActivity_1_csv__3[#All],3,FALSE)</f>
        <v>22</v>
      </c>
      <c r="K473">
        <f>VLOOKUP(Demand_Data___Hourly_OverviewSearch_1_csv[[#This Row],[Date]],Supply_Data___Hourly_DriverActivity_1_csv__3[#All],4,FALSE)</f>
        <v>6</v>
      </c>
      <c r="L473">
        <f>VLOOKUP(Demand_Data___Hourly_OverviewSearch_1_csv[[#This Row],[Date]],Supply_Data___Hourly_DriverActivity_1_csv__3[#All],5,FALSE)</f>
        <v>16</v>
      </c>
      <c r="M473">
        <f>VLOOKUP(Demand_Data___Hourly_OverviewSearch_1_csv[[#This Row],[Date]],Supply_Data___Hourly_DriverActivity_1_csv__3[#All],6,FALSE)</f>
        <v>0.4</v>
      </c>
      <c r="N473">
        <f>VLOOKUP(Demand_Data___Hourly_OverviewSearch_1_csv[[#This Row],[Date]],Supply_Data___Hourly_DriverActivity_1_csv__3[#All],7,FALSE)</f>
        <v>0.59</v>
      </c>
      <c r="O473">
        <f>VLOOKUP(Demand_Data___Hourly_OverviewSearch_1_csv[[#This Row],[Date]],Supply_Data___Hourly_DriverActivity_1_csv__3[#All],8,FALSE)</f>
        <v>13</v>
      </c>
      <c r="P473">
        <f>(Demand_Data___Hourly_OverviewSearch_1_csv[[#This Row],[People saw 0 cars (unique)]]+Demand_Data___Hourly_OverviewSearch_1_csv[[#This Row],[People saw +1 cars (unique)]])</f>
        <v>31</v>
      </c>
      <c r="Q473" s="143">
        <f t="shared" si="31"/>
        <v>16</v>
      </c>
    </row>
    <row r="474" spans="1:17" x14ac:dyDescent="0.3">
      <c r="A474" t="s">
        <v>481</v>
      </c>
      <c r="B474" t="str">
        <f t="shared" si="28"/>
        <v xml:space="preserve"> 06</v>
      </c>
      <c r="C474">
        <f t="shared" si="29"/>
        <v>2</v>
      </c>
      <c r="D474" t="str">
        <f t="shared" si="30"/>
        <v xml:space="preserve">2016-11-29 </v>
      </c>
      <c r="E474" t="str">
        <f>TEXT(Demand_Data___Hourly_OverviewSearch_1_csv[[#This Row],[Day]],"dddd")</f>
        <v>Monday</v>
      </c>
      <c r="F474">
        <v>3</v>
      </c>
      <c r="G474">
        <v>6</v>
      </c>
      <c r="H474">
        <v>67</v>
      </c>
      <c r="I474">
        <f>VLOOKUP(Demand_Data___Hourly_OverviewSearch_1_csv[[#This Row],[Date]],Supply_Data___Hourly_DriverActivity_1_csv__3[#All],2,FALSE)</f>
        <v>35</v>
      </c>
      <c r="J474">
        <f>VLOOKUP(Demand_Data___Hourly_OverviewSearch_1_csv[[#This Row],[Date]],Supply_Data___Hourly_DriverActivity_1_csv__3[#All],3,FALSE)</f>
        <v>12</v>
      </c>
      <c r="K474">
        <f>VLOOKUP(Demand_Data___Hourly_OverviewSearch_1_csv[[#This Row],[Date]],Supply_Data___Hourly_DriverActivity_1_csv__3[#All],4,FALSE)</f>
        <v>0</v>
      </c>
      <c r="L474">
        <f>VLOOKUP(Demand_Data___Hourly_OverviewSearch_1_csv[[#This Row],[Date]],Supply_Data___Hourly_DriverActivity_1_csv__3[#All],5,FALSE)</f>
        <v>12</v>
      </c>
      <c r="M474">
        <f>VLOOKUP(Demand_Data___Hourly_OverviewSearch_1_csv[[#This Row],[Date]],Supply_Data___Hourly_DriverActivity_1_csv__3[#All],6,FALSE)</f>
        <v>0.3</v>
      </c>
      <c r="N474">
        <f>VLOOKUP(Demand_Data___Hourly_OverviewSearch_1_csv[[#This Row],[Date]],Supply_Data___Hourly_DriverActivity_1_csv__3[#All],7,FALSE)</f>
        <v>0.08</v>
      </c>
      <c r="O474">
        <f>VLOOKUP(Demand_Data___Hourly_OverviewSearch_1_csv[[#This Row],[Date]],Supply_Data___Hourly_DriverActivity_1_csv__3[#All],8,FALSE)</f>
        <v>1</v>
      </c>
      <c r="P474">
        <f>(Demand_Data___Hourly_OverviewSearch_1_csv[[#This Row],[People saw 0 cars (unique)]]+Demand_Data___Hourly_OverviewSearch_1_csv[[#This Row],[People saw +1 cars (unique)]])</f>
        <v>9</v>
      </c>
      <c r="Q474" s="143">
        <f t="shared" si="31"/>
        <v>12</v>
      </c>
    </row>
    <row r="475" spans="1:17" x14ac:dyDescent="0.3">
      <c r="A475" t="s">
        <v>482</v>
      </c>
      <c r="B475" t="str">
        <f t="shared" si="28"/>
        <v xml:space="preserve"> 05</v>
      </c>
      <c r="C475">
        <f t="shared" si="29"/>
        <v>2</v>
      </c>
      <c r="D475" t="str">
        <f t="shared" si="30"/>
        <v xml:space="preserve">2016-11-29 </v>
      </c>
      <c r="E475" t="str">
        <f>TEXT(Demand_Data___Hourly_OverviewSearch_1_csv[[#This Row],[Day]],"dddd")</f>
        <v>Monday</v>
      </c>
      <c r="F475">
        <v>3</v>
      </c>
      <c r="G475">
        <v>3</v>
      </c>
      <c r="H475">
        <v>50</v>
      </c>
      <c r="I475">
        <f>VLOOKUP(Demand_Data___Hourly_OverviewSearch_1_csv[[#This Row],[Date]],Supply_Data___Hourly_DriverActivity_1_csv__3[#All],2,FALSE)</f>
        <v>23</v>
      </c>
      <c r="J475">
        <f>VLOOKUP(Demand_Data___Hourly_OverviewSearch_1_csv[[#This Row],[Date]],Supply_Data___Hourly_DriverActivity_1_csv__3[#All],3,FALSE)</f>
        <v>10</v>
      </c>
      <c r="K475">
        <f>VLOOKUP(Demand_Data___Hourly_OverviewSearch_1_csv[[#This Row],[Date]],Supply_Data___Hourly_DriverActivity_1_csv__3[#All],4,FALSE)</f>
        <v>0</v>
      </c>
      <c r="L475">
        <f>VLOOKUP(Demand_Data___Hourly_OverviewSearch_1_csv[[#This Row],[Date]],Supply_Data___Hourly_DriverActivity_1_csv__3[#All],5,FALSE)</f>
        <v>10</v>
      </c>
      <c r="M475">
        <f>VLOOKUP(Demand_Data___Hourly_OverviewSearch_1_csv[[#This Row],[Date]],Supply_Data___Hourly_DriverActivity_1_csv__3[#All],6,FALSE)</f>
        <v>0.4</v>
      </c>
      <c r="N475">
        <f>VLOOKUP(Demand_Data___Hourly_OverviewSearch_1_csv[[#This Row],[Date]],Supply_Data___Hourly_DriverActivity_1_csv__3[#All],7,FALSE)</f>
        <v>0</v>
      </c>
      <c r="O475">
        <f>VLOOKUP(Demand_Data___Hourly_OverviewSearch_1_csv[[#This Row],[Date]],Supply_Data___Hourly_DriverActivity_1_csv__3[#All],8,FALSE)</f>
        <v>0</v>
      </c>
      <c r="P475">
        <f>(Demand_Data___Hourly_OverviewSearch_1_csv[[#This Row],[People saw 0 cars (unique)]]+Demand_Data___Hourly_OverviewSearch_1_csv[[#This Row],[People saw +1 cars (unique)]])</f>
        <v>6</v>
      </c>
      <c r="Q475" s="143">
        <f t="shared" si="31"/>
        <v>10</v>
      </c>
    </row>
    <row r="476" spans="1:17" x14ac:dyDescent="0.3">
      <c r="A476" t="s">
        <v>483</v>
      </c>
      <c r="B476" t="str">
        <f t="shared" si="28"/>
        <v xml:space="preserve"> 04</v>
      </c>
      <c r="C476">
        <f t="shared" si="29"/>
        <v>2</v>
      </c>
      <c r="D476" t="str">
        <f t="shared" si="30"/>
        <v xml:space="preserve">2016-11-29 </v>
      </c>
      <c r="E476" t="str">
        <f>TEXT(Demand_Data___Hourly_OverviewSearch_1_csv[[#This Row],[Day]],"dddd")</f>
        <v>Monday</v>
      </c>
      <c r="F476">
        <v>2</v>
      </c>
      <c r="G476">
        <v>3</v>
      </c>
      <c r="H476">
        <v>60</v>
      </c>
      <c r="I476">
        <f>VLOOKUP(Demand_Data___Hourly_OverviewSearch_1_csv[[#This Row],[Date]],Supply_Data___Hourly_DriverActivity_1_csv__3[#All],2,FALSE)</f>
        <v>23</v>
      </c>
      <c r="J476">
        <f>VLOOKUP(Demand_Data___Hourly_OverviewSearch_1_csv[[#This Row],[Date]],Supply_Data___Hourly_DriverActivity_1_csv__3[#All],3,FALSE)</f>
        <v>10</v>
      </c>
      <c r="K476">
        <f>VLOOKUP(Demand_Data___Hourly_OverviewSearch_1_csv[[#This Row],[Date]],Supply_Data___Hourly_DriverActivity_1_csv__3[#All],4,FALSE)</f>
        <v>0</v>
      </c>
      <c r="L476">
        <f>VLOOKUP(Demand_Data___Hourly_OverviewSearch_1_csv[[#This Row],[Date]],Supply_Data___Hourly_DriverActivity_1_csv__3[#All],5,FALSE)</f>
        <v>9</v>
      </c>
      <c r="M476">
        <f>VLOOKUP(Demand_Data___Hourly_OverviewSearch_1_csv[[#This Row],[Date]],Supply_Data___Hourly_DriverActivity_1_csv__3[#All],6,FALSE)</f>
        <v>0.4</v>
      </c>
      <c r="N476">
        <f>VLOOKUP(Demand_Data___Hourly_OverviewSearch_1_csv[[#This Row],[Date]],Supply_Data___Hourly_DriverActivity_1_csv__3[#All],7,FALSE)</f>
        <v>0.2</v>
      </c>
      <c r="O476">
        <f>VLOOKUP(Demand_Data___Hourly_OverviewSearch_1_csv[[#This Row],[Date]],Supply_Data___Hourly_DriverActivity_1_csv__3[#All],8,FALSE)</f>
        <v>2</v>
      </c>
      <c r="P476">
        <f>(Demand_Data___Hourly_OverviewSearch_1_csv[[#This Row],[People saw 0 cars (unique)]]+Demand_Data___Hourly_OverviewSearch_1_csv[[#This Row],[People saw +1 cars (unique)]])</f>
        <v>5</v>
      </c>
      <c r="Q476" s="143">
        <f t="shared" si="31"/>
        <v>10</v>
      </c>
    </row>
    <row r="477" spans="1:17" x14ac:dyDescent="0.3">
      <c r="A477" t="s">
        <v>484</v>
      </c>
      <c r="B477" t="str">
        <f t="shared" si="28"/>
        <v xml:space="preserve"> 03</v>
      </c>
      <c r="C477">
        <f t="shared" si="29"/>
        <v>2</v>
      </c>
      <c r="D477" t="str">
        <f t="shared" si="30"/>
        <v xml:space="preserve">2016-11-29 </v>
      </c>
      <c r="E477" t="str">
        <f>TEXT(Demand_Data___Hourly_OverviewSearch_1_csv[[#This Row],[Day]],"dddd")</f>
        <v>Monday</v>
      </c>
      <c r="F477">
        <v>1</v>
      </c>
      <c r="G477">
        <v>4</v>
      </c>
      <c r="H477">
        <v>80</v>
      </c>
      <c r="I477">
        <f>VLOOKUP(Demand_Data___Hourly_OverviewSearch_1_csv[[#This Row],[Date]],Supply_Data___Hourly_DriverActivity_1_csv__3[#All],2,FALSE)</f>
        <v>23</v>
      </c>
      <c r="J477">
        <f>VLOOKUP(Demand_Data___Hourly_OverviewSearch_1_csv[[#This Row],[Date]],Supply_Data___Hourly_DriverActivity_1_csv__3[#All],3,FALSE)</f>
        <v>11</v>
      </c>
      <c r="K477">
        <f>VLOOKUP(Demand_Data___Hourly_OverviewSearch_1_csv[[#This Row],[Date]],Supply_Data___Hourly_DriverActivity_1_csv__3[#All],4,FALSE)</f>
        <v>0</v>
      </c>
      <c r="L477">
        <f>VLOOKUP(Demand_Data___Hourly_OverviewSearch_1_csv[[#This Row],[Date]],Supply_Data___Hourly_DriverActivity_1_csv__3[#All],5,FALSE)</f>
        <v>11</v>
      </c>
      <c r="M477">
        <f>VLOOKUP(Demand_Data___Hourly_OverviewSearch_1_csv[[#This Row],[Date]],Supply_Data___Hourly_DriverActivity_1_csv__3[#All],6,FALSE)</f>
        <v>0.5</v>
      </c>
      <c r="N477">
        <f>VLOOKUP(Demand_Data___Hourly_OverviewSearch_1_csv[[#This Row],[Date]],Supply_Data___Hourly_DriverActivity_1_csv__3[#All],7,FALSE)</f>
        <v>0</v>
      </c>
      <c r="O477">
        <f>VLOOKUP(Demand_Data___Hourly_OverviewSearch_1_csv[[#This Row],[Date]],Supply_Data___Hourly_DriverActivity_1_csv__3[#All],8,FALSE)</f>
        <v>0</v>
      </c>
      <c r="P477">
        <f>(Demand_Data___Hourly_OverviewSearch_1_csv[[#This Row],[People saw 0 cars (unique)]]+Demand_Data___Hourly_OverviewSearch_1_csv[[#This Row],[People saw +1 cars (unique)]])</f>
        <v>5</v>
      </c>
      <c r="Q477" s="143">
        <f t="shared" si="31"/>
        <v>11</v>
      </c>
    </row>
    <row r="478" spans="1:17" x14ac:dyDescent="0.3">
      <c r="A478" t="s">
        <v>485</v>
      </c>
      <c r="B478" t="str">
        <f t="shared" si="28"/>
        <v xml:space="preserve"> 02</v>
      </c>
      <c r="C478">
        <f t="shared" si="29"/>
        <v>2</v>
      </c>
      <c r="D478" t="str">
        <f t="shared" si="30"/>
        <v xml:space="preserve">2016-11-29 </v>
      </c>
      <c r="E478" t="str">
        <f>TEXT(Demand_Data___Hourly_OverviewSearch_1_csv[[#This Row],[Day]],"dddd")</f>
        <v>Monday</v>
      </c>
      <c r="F478">
        <v>6</v>
      </c>
      <c r="G478">
        <v>3</v>
      </c>
      <c r="H478">
        <v>33</v>
      </c>
      <c r="I478">
        <f>VLOOKUP(Demand_Data___Hourly_OverviewSearch_1_csv[[#This Row],[Date]],Supply_Data___Hourly_DriverActivity_1_csv__3[#All],2,FALSE)</f>
        <v>26</v>
      </c>
      <c r="J478">
        <f>VLOOKUP(Demand_Data___Hourly_OverviewSearch_1_csv[[#This Row],[Date]],Supply_Data___Hourly_DriverActivity_1_csv__3[#All],3,FALSE)</f>
        <v>11</v>
      </c>
      <c r="K478">
        <f>VLOOKUP(Demand_Data___Hourly_OverviewSearch_1_csv[[#This Row],[Date]],Supply_Data___Hourly_DriverActivity_1_csv__3[#All],4,FALSE)</f>
        <v>0</v>
      </c>
      <c r="L478">
        <f>VLOOKUP(Demand_Data___Hourly_OverviewSearch_1_csv[[#This Row],[Date]],Supply_Data___Hourly_DriverActivity_1_csv__3[#All],5,FALSE)</f>
        <v>11</v>
      </c>
      <c r="M478">
        <f>VLOOKUP(Demand_Data___Hourly_OverviewSearch_1_csv[[#This Row],[Date]],Supply_Data___Hourly_DriverActivity_1_csv__3[#All],6,FALSE)</f>
        <v>0.4</v>
      </c>
      <c r="N478">
        <f>VLOOKUP(Demand_Data___Hourly_OverviewSearch_1_csv[[#This Row],[Date]],Supply_Data___Hourly_DriverActivity_1_csv__3[#All],7,FALSE)</f>
        <v>0</v>
      </c>
      <c r="O478">
        <f>VLOOKUP(Demand_Data___Hourly_OverviewSearch_1_csv[[#This Row],[Date]],Supply_Data___Hourly_DriverActivity_1_csv__3[#All],8,FALSE)</f>
        <v>0</v>
      </c>
      <c r="P478">
        <f>(Demand_Data___Hourly_OverviewSearch_1_csv[[#This Row],[People saw 0 cars (unique)]]+Demand_Data___Hourly_OverviewSearch_1_csv[[#This Row],[People saw +1 cars (unique)]])</f>
        <v>9</v>
      </c>
      <c r="Q478" s="143">
        <f t="shared" si="31"/>
        <v>11</v>
      </c>
    </row>
    <row r="479" spans="1:17" x14ac:dyDescent="0.3">
      <c r="A479" t="s">
        <v>486</v>
      </c>
      <c r="B479" t="str">
        <f t="shared" si="28"/>
        <v xml:space="preserve"> 01</v>
      </c>
      <c r="C479">
        <f t="shared" si="29"/>
        <v>2</v>
      </c>
      <c r="D479" t="str">
        <f t="shared" si="30"/>
        <v xml:space="preserve">2016-11-29 </v>
      </c>
      <c r="E479" t="str">
        <f>TEXT(Demand_Data___Hourly_OverviewSearch_1_csv[[#This Row],[Day]],"dddd")</f>
        <v>Monday</v>
      </c>
      <c r="F479">
        <v>1</v>
      </c>
      <c r="G479">
        <v>6</v>
      </c>
      <c r="H479">
        <v>86</v>
      </c>
      <c r="I479">
        <f>VLOOKUP(Demand_Data___Hourly_OverviewSearch_1_csv[[#This Row],[Date]],Supply_Data___Hourly_DriverActivity_1_csv__3[#All],2,FALSE)</f>
        <v>31</v>
      </c>
      <c r="J479">
        <f>VLOOKUP(Demand_Data___Hourly_OverviewSearch_1_csv[[#This Row],[Date]],Supply_Data___Hourly_DriverActivity_1_csv__3[#All],3,FALSE)</f>
        <v>11</v>
      </c>
      <c r="K479">
        <f>VLOOKUP(Demand_Data___Hourly_OverviewSearch_1_csv[[#This Row],[Date]],Supply_Data___Hourly_DriverActivity_1_csv__3[#All],4,FALSE)</f>
        <v>0</v>
      </c>
      <c r="L479">
        <f>VLOOKUP(Demand_Data___Hourly_OverviewSearch_1_csv[[#This Row],[Date]],Supply_Data___Hourly_DriverActivity_1_csv__3[#All],5,FALSE)</f>
        <v>11</v>
      </c>
      <c r="M479">
        <f>VLOOKUP(Demand_Data___Hourly_OverviewSearch_1_csv[[#This Row],[Date]],Supply_Data___Hourly_DriverActivity_1_csv__3[#All],6,FALSE)</f>
        <v>0.4</v>
      </c>
      <c r="N479">
        <f>VLOOKUP(Demand_Data___Hourly_OverviewSearch_1_csv[[#This Row],[Date]],Supply_Data___Hourly_DriverActivity_1_csv__3[#All],7,FALSE)</f>
        <v>0.09</v>
      </c>
      <c r="O479">
        <f>VLOOKUP(Demand_Data___Hourly_OverviewSearch_1_csv[[#This Row],[Date]],Supply_Data___Hourly_DriverActivity_1_csv__3[#All],8,FALSE)</f>
        <v>1</v>
      </c>
      <c r="P479">
        <f>(Demand_Data___Hourly_OverviewSearch_1_csv[[#This Row],[People saw 0 cars (unique)]]+Demand_Data___Hourly_OverviewSearch_1_csv[[#This Row],[People saw +1 cars (unique)]])</f>
        <v>7</v>
      </c>
      <c r="Q479" s="143">
        <f t="shared" si="31"/>
        <v>11</v>
      </c>
    </row>
    <row r="480" spans="1:17" x14ac:dyDescent="0.3">
      <c r="A480" t="s">
        <v>487</v>
      </c>
      <c r="B480" t="str">
        <f t="shared" si="28"/>
        <v xml:space="preserve"> 00</v>
      </c>
      <c r="C480">
        <f t="shared" si="29"/>
        <v>2</v>
      </c>
      <c r="D480" t="str">
        <f t="shared" si="30"/>
        <v xml:space="preserve">2016-11-29 </v>
      </c>
      <c r="E480" t="str">
        <f>TEXT(Demand_Data___Hourly_OverviewSearch_1_csv[[#This Row],[Day]],"dddd")</f>
        <v>Monday</v>
      </c>
      <c r="F480">
        <v>6</v>
      </c>
      <c r="G480">
        <v>23</v>
      </c>
      <c r="H480">
        <v>79</v>
      </c>
      <c r="I480">
        <f>VLOOKUP(Demand_Data___Hourly_OverviewSearch_1_csv[[#This Row],[Date]],Supply_Data___Hourly_DriverActivity_1_csv__3[#All],2,FALSE)</f>
        <v>47</v>
      </c>
      <c r="J480">
        <f>VLOOKUP(Demand_Data___Hourly_OverviewSearch_1_csv[[#This Row],[Date]],Supply_Data___Hourly_DriverActivity_1_csv__3[#All],3,FALSE)</f>
        <v>15</v>
      </c>
      <c r="K480">
        <f>VLOOKUP(Demand_Data___Hourly_OverviewSearch_1_csv[[#This Row],[Date]],Supply_Data___Hourly_DriverActivity_1_csv__3[#All],4,FALSE)</f>
        <v>2</v>
      </c>
      <c r="L480">
        <f>VLOOKUP(Demand_Data___Hourly_OverviewSearch_1_csv[[#This Row],[Date]],Supply_Data___Hourly_DriverActivity_1_csv__3[#All],5,FALSE)</f>
        <v>13</v>
      </c>
      <c r="M480">
        <f>VLOOKUP(Demand_Data___Hourly_OverviewSearch_1_csv[[#This Row],[Date]],Supply_Data___Hourly_DriverActivity_1_csv__3[#All],6,FALSE)</f>
        <v>0.3</v>
      </c>
      <c r="N480">
        <f>VLOOKUP(Demand_Data___Hourly_OverviewSearch_1_csv[[#This Row],[Date]],Supply_Data___Hourly_DriverActivity_1_csv__3[#All],7,FALSE)</f>
        <v>0.27</v>
      </c>
      <c r="O480">
        <f>VLOOKUP(Demand_Data___Hourly_OverviewSearch_1_csv[[#This Row],[Date]],Supply_Data___Hourly_DriverActivity_1_csv__3[#All],8,FALSE)</f>
        <v>4</v>
      </c>
      <c r="P480">
        <f>(Demand_Data___Hourly_OverviewSearch_1_csv[[#This Row],[People saw 0 cars (unique)]]+Demand_Data___Hourly_OverviewSearch_1_csv[[#This Row],[People saw +1 cars (unique)]])</f>
        <v>29</v>
      </c>
      <c r="Q480" s="143">
        <f t="shared" si="31"/>
        <v>13</v>
      </c>
    </row>
    <row r="481" spans="1:17" x14ac:dyDescent="0.3">
      <c r="A481" t="s">
        <v>488</v>
      </c>
      <c r="B481" t="str">
        <f t="shared" si="28"/>
        <v xml:space="preserve"> 23</v>
      </c>
      <c r="C481">
        <f t="shared" si="29"/>
        <v>1</v>
      </c>
      <c r="D481" t="str">
        <f t="shared" si="30"/>
        <v xml:space="preserve">2016-11-28 </v>
      </c>
      <c r="E481" t="str">
        <f>TEXT(Demand_Data___Hourly_OverviewSearch_1_csv[[#This Row],[Day]],"dddd")</f>
        <v>Sunday</v>
      </c>
      <c r="F481">
        <v>7</v>
      </c>
      <c r="G481">
        <v>36</v>
      </c>
      <c r="H481">
        <v>84</v>
      </c>
      <c r="I481">
        <f>VLOOKUP(Demand_Data___Hourly_OverviewSearch_1_csv[[#This Row],[Date]],Supply_Data___Hourly_DriverActivity_1_csv__3[#All],2,FALSE)</f>
        <v>62</v>
      </c>
      <c r="J481">
        <f>VLOOKUP(Demand_Data___Hourly_OverviewSearch_1_csv[[#This Row],[Date]],Supply_Data___Hourly_DriverActivity_1_csv__3[#All],3,FALSE)</f>
        <v>24</v>
      </c>
      <c r="K481">
        <f>VLOOKUP(Demand_Data___Hourly_OverviewSearch_1_csv[[#This Row],[Date]],Supply_Data___Hourly_DriverActivity_1_csv__3[#All],4,FALSE)</f>
        <v>5</v>
      </c>
      <c r="L481">
        <f>VLOOKUP(Demand_Data___Hourly_OverviewSearch_1_csv[[#This Row],[Date]],Supply_Data___Hourly_DriverActivity_1_csv__3[#All],5,FALSE)</f>
        <v>19</v>
      </c>
      <c r="M481">
        <f>VLOOKUP(Demand_Data___Hourly_OverviewSearch_1_csv[[#This Row],[Date]],Supply_Data___Hourly_DriverActivity_1_csv__3[#All],6,FALSE)</f>
        <v>0.4</v>
      </c>
      <c r="N481">
        <f>VLOOKUP(Demand_Data___Hourly_OverviewSearch_1_csv[[#This Row],[Date]],Supply_Data___Hourly_DriverActivity_1_csv__3[#All],7,FALSE)</f>
        <v>0.46</v>
      </c>
      <c r="O481">
        <f>VLOOKUP(Demand_Data___Hourly_OverviewSearch_1_csv[[#This Row],[Date]],Supply_Data___Hourly_DriverActivity_1_csv__3[#All],8,FALSE)</f>
        <v>11</v>
      </c>
      <c r="P481">
        <f>(Demand_Data___Hourly_OverviewSearch_1_csv[[#This Row],[People saw 0 cars (unique)]]+Demand_Data___Hourly_OverviewSearch_1_csv[[#This Row],[People saw +1 cars (unique)]])</f>
        <v>43</v>
      </c>
      <c r="Q481" s="143">
        <f t="shared" si="31"/>
        <v>19</v>
      </c>
    </row>
    <row r="482" spans="1:17" x14ac:dyDescent="0.3">
      <c r="A482" t="s">
        <v>489</v>
      </c>
      <c r="B482" t="str">
        <f t="shared" si="28"/>
        <v xml:space="preserve"> 22</v>
      </c>
      <c r="C482">
        <f t="shared" si="29"/>
        <v>1</v>
      </c>
      <c r="D482" t="str">
        <f t="shared" si="30"/>
        <v xml:space="preserve">2016-11-28 </v>
      </c>
      <c r="E482" t="str">
        <f>TEXT(Demand_Data___Hourly_OverviewSearch_1_csv[[#This Row],[Day]],"dddd")</f>
        <v>Sunday</v>
      </c>
      <c r="F482">
        <v>7</v>
      </c>
      <c r="G482">
        <v>48</v>
      </c>
      <c r="H482">
        <v>87</v>
      </c>
      <c r="I482">
        <f>VLOOKUP(Demand_Data___Hourly_OverviewSearch_1_csv[[#This Row],[Date]],Supply_Data___Hourly_DriverActivity_1_csv__3[#All],2,FALSE)</f>
        <v>72</v>
      </c>
      <c r="J482">
        <f>VLOOKUP(Demand_Data___Hourly_OverviewSearch_1_csv[[#This Row],[Date]],Supply_Data___Hourly_DriverActivity_1_csv__3[#All],3,FALSE)</f>
        <v>29</v>
      </c>
      <c r="K482">
        <f>VLOOKUP(Demand_Data___Hourly_OverviewSearch_1_csv[[#This Row],[Date]],Supply_Data___Hourly_DriverActivity_1_csv__3[#All],4,FALSE)</f>
        <v>6</v>
      </c>
      <c r="L482">
        <f>VLOOKUP(Demand_Data___Hourly_OverviewSearch_1_csv[[#This Row],[Date]],Supply_Data___Hourly_DriverActivity_1_csv__3[#All],5,FALSE)</f>
        <v>23</v>
      </c>
      <c r="M482">
        <f>VLOOKUP(Demand_Data___Hourly_OverviewSearch_1_csv[[#This Row],[Date]],Supply_Data___Hourly_DriverActivity_1_csv__3[#All],6,FALSE)</f>
        <v>0.4</v>
      </c>
      <c r="N482">
        <f>VLOOKUP(Demand_Data___Hourly_OverviewSearch_1_csv[[#This Row],[Date]],Supply_Data___Hourly_DriverActivity_1_csv__3[#All],7,FALSE)</f>
        <v>0.41</v>
      </c>
      <c r="O482">
        <f>VLOOKUP(Demand_Data___Hourly_OverviewSearch_1_csv[[#This Row],[Date]],Supply_Data___Hourly_DriverActivity_1_csv__3[#All],8,FALSE)</f>
        <v>12</v>
      </c>
      <c r="P482">
        <f>(Demand_Data___Hourly_OverviewSearch_1_csv[[#This Row],[People saw 0 cars (unique)]]+Demand_Data___Hourly_OverviewSearch_1_csv[[#This Row],[People saw +1 cars (unique)]])</f>
        <v>55</v>
      </c>
      <c r="Q482" s="143">
        <f t="shared" si="31"/>
        <v>23</v>
      </c>
    </row>
    <row r="483" spans="1:17" x14ac:dyDescent="0.3">
      <c r="A483" t="s">
        <v>490</v>
      </c>
      <c r="B483" t="str">
        <f t="shared" si="28"/>
        <v xml:space="preserve"> 21</v>
      </c>
      <c r="C483">
        <f t="shared" si="29"/>
        <v>1</v>
      </c>
      <c r="D483" t="str">
        <f t="shared" si="30"/>
        <v xml:space="preserve">2016-11-28 </v>
      </c>
      <c r="E483" t="str">
        <f>TEXT(Demand_Data___Hourly_OverviewSearch_1_csv[[#This Row],[Day]],"dddd")</f>
        <v>Sunday</v>
      </c>
      <c r="F483">
        <v>2</v>
      </c>
      <c r="G483">
        <v>37</v>
      </c>
      <c r="H483">
        <v>95</v>
      </c>
      <c r="I483">
        <f>VLOOKUP(Demand_Data___Hourly_OverviewSearch_1_csv[[#This Row],[Date]],Supply_Data___Hourly_DriverActivity_1_csv__3[#All],2,FALSE)</f>
        <v>94</v>
      </c>
      <c r="J483">
        <f>VLOOKUP(Demand_Data___Hourly_OverviewSearch_1_csv[[#This Row],[Date]],Supply_Data___Hourly_DriverActivity_1_csv__3[#All],3,FALSE)</f>
        <v>38</v>
      </c>
      <c r="K483">
        <f>VLOOKUP(Demand_Data___Hourly_OverviewSearch_1_csv[[#This Row],[Date]],Supply_Data___Hourly_DriverActivity_1_csv__3[#All],4,FALSE)</f>
        <v>5</v>
      </c>
      <c r="L483">
        <f>VLOOKUP(Demand_Data___Hourly_OverviewSearch_1_csv[[#This Row],[Date]],Supply_Data___Hourly_DriverActivity_1_csv__3[#All],5,FALSE)</f>
        <v>32</v>
      </c>
      <c r="M483">
        <f>VLOOKUP(Demand_Data___Hourly_OverviewSearch_1_csv[[#This Row],[Date]],Supply_Data___Hourly_DriverActivity_1_csv__3[#All],6,FALSE)</f>
        <v>0.4</v>
      </c>
      <c r="N483">
        <f>VLOOKUP(Demand_Data___Hourly_OverviewSearch_1_csv[[#This Row],[Date]],Supply_Data___Hourly_DriverActivity_1_csv__3[#All],7,FALSE)</f>
        <v>0.39</v>
      </c>
      <c r="O483">
        <f>VLOOKUP(Demand_Data___Hourly_OverviewSearch_1_csv[[#This Row],[Date]],Supply_Data___Hourly_DriverActivity_1_csv__3[#All],8,FALSE)</f>
        <v>15</v>
      </c>
      <c r="P483">
        <f>(Demand_Data___Hourly_OverviewSearch_1_csv[[#This Row],[People saw 0 cars (unique)]]+Demand_Data___Hourly_OverviewSearch_1_csv[[#This Row],[People saw +1 cars (unique)]])</f>
        <v>39</v>
      </c>
      <c r="Q483" s="143">
        <f t="shared" si="31"/>
        <v>33</v>
      </c>
    </row>
    <row r="484" spans="1:17" x14ac:dyDescent="0.3">
      <c r="A484" t="s">
        <v>491</v>
      </c>
      <c r="B484" t="str">
        <f t="shared" si="28"/>
        <v xml:space="preserve"> 20</v>
      </c>
      <c r="C484">
        <f t="shared" si="29"/>
        <v>1</v>
      </c>
      <c r="D484" t="str">
        <f t="shared" si="30"/>
        <v xml:space="preserve">2016-11-28 </v>
      </c>
      <c r="E484" t="str">
        <f>TEXT(Demand_Data___Hourly_OverviewSearch_1_csv[[#This Row],[Day]],"dddd")</f>
        <v>Sunday</v>
      </c>
      <c r="F484">
        <v>2</v>
      </c>
      <c r="G484">
        <v>41</v>
      </c>
      <c r="H484">
        <v>95</v>
      </c>
      <c r="I484">
        <f>VLOOKUP(Demand_Data___Hourly_OverviewSearch_1_csv[[#This Row],[Date]],Supply_Data___Hourly_DriverActivity_1_csv__3[#All],2,FALSE)</f>
        <v>113</v>
      </c>
      <c r="J484">
        <f>VLOOKUP(Demand_Data___Hourly_OverviewSearch_1_csv[[#This Row],[Date]],Supply_Data___Hourly_DriverActivity_1_csv__3[#All],3,FALSE)</f>
        <v>49</v>
      </c>
      <c r="K484">
        <f>VLOOKUP(Demand_Data___Hourly_OverviewSearch_1_csv[[#This Row],[Date]],Supply_Data___Hourly_DriverActivity_1_csv__3[#All],4,FALSE)</f>
        <v>5</v>
      </c>
      <c r="L484">
        <f>VLOOKUP(Demand_Data___Hourly_OverviewSearch_1_csv[[#This Row],[Date]],Supply_Data___Hourly_DriverActivity_1_csv__3[#All],5,FALSE)</f>
        <v>45</v>
      </c>
      <c r="M484">
        <f>VLOOKUP(Demand_Data___Hourly_OverviewSearch_1_csv[[#This Row],[Date]],Supply_Data___Hourly_DriverActivity_1_csv__3[#All],6,FALSE)</f>
        <v>0.4</v>
      </c>
      <c r="N484">
        <f>VLOOKUP(Demand_Data___Hourly_OverviewSearch_1_csv[[#This Row],[Date]],Supply_Data___Hourly_DriverActivity_1_csv__3[#All],7,FALSE)</f>
        <v>0.27</v>
      </c>
      <c r="O484">
        <f>VLOOKUP(Demand_Data___Hourly_OverviewSearch_1_csv[[#This Row],[Date]],Supply_Data___Hourly_DriverActivity_1_csv__3[#All],8,FALSE)</f>
        <v>13</v>
      </c>
      <c r="P484">
        <f>(Demand_Data___Hourly_OverviewSearch_1_csv[[#This Row],[People saw 0 cars (unique)]]+Demand_Data___Hourly_OverviewSearch_1_csv[[#This Row],[People saw +1 cars (unique)]])</f>
        <v>43</v>
      </c>
      <c r="Q484" s="143">
        <f t="shared" si="31"/>
        <v>44</v>
      </c>
    </row>
    <row r="485" spans="1:17" x14ac:dyDescent="0.3">
      <c r="A485" t="s">
        <v>492</v>
      </c>
      <c r="B485" t="str">
        <f t="shared" si="28"/>
        <v xml:space="preserve"> 19</v>
      </c>
      <c r="C485">
        <f t="shared" si="29"/>
        <v>1</v>
      </c>
      <c r="D485" t="str">
        <f t="shared" si="30"/>
        <v xml:space="preserve">2016-11-28 </v>
      </c>
      <c r="E485" t="str">
        <f>TEXT(Demand_Data___Hourly_OverviewSearch_1_csv[[#This Row],[Day]],"dddd")</f>
        <v>Sunday</v>
      </c>
      <c r="F485">
        <v>4</v>
      </c>
      <c r="G485">
        <v>70</v>
      </c>
      <c r="H485">
        <v>95</v>
      </c>
      <c r="I485">
        <f>VLOOKUP(Demand_Data___Hourly_OverviewSearch_1_csv[[#This Row],[Date]],Supply_Data___Hourly_DriverActivity_1_csv__3[#All],2,FALSE)</f>
        <v>117</v>
      </c>
      <c r="J485">
        <f>VLOOKUP(Demand_Data___Hourly_OverviewSearch_1_csv[[#This Row],[Date]],Supply_Data___Hourly_DriverActivity_1_csv__3[#All],3,FALSE)</f>
        <v>49</v>
      </c>
      <c r="K485">
        <f>VLOOKUP(Demand_Data___Hourly_OverviewSearch_1_csv[[#This Row],[Date]],Supply_Data___Hourly_DriverActivity_1_csv__3[#All],4,FALSE)</f>
        <v>13</v>
      </c>
      <c r="L485">
        <f>VLOOKUP(Demand_Data___Hourly_OverviewSearch_1_csv[[#This Row],[Date]],Supply_Data___Hourly_DriverActivity_1_csv__3[#All],5,FALSE)</f>
        <v>36</v>
      </c>
      <c r="M485">
        <f>VLOOKUP(Demand_Data___Hourly_OverviewSearch_1_csv[[#This Row],[Date]],Supply_Data___Hourly_DriverActivity_1_csv__3[#All],6,FALSE)</f>
        <v>0.4</v>
      </c>
      <c r="N485">
        <f>VLOOKUP(Demand_Data___Hourly_OverviewSearch_1_csv[[#This Row],[Date]],Supply_Data___Hourly_DriverActivity_1_csv__3[#All],7,FALSE)</f>
        <v>0.56999999999999995</v>
      </c>
      <c r="O485">
        <f>VLOOKUP(Demand_Data___Hourly_OverviewSearch_1_csv[[#This Row],[Date]],Supply_Data___Hourly_DriverActivity_1_csv__3[#All],8,FALSE)</f>
        <v>28</v>
      </c>
      <c r="P485">
        <f>(Demand_Data___Hourly_OverviewSearch_1_csv[[#This Row],[People saw 0 cars (unique)]]+Demand_Data___Hourly_OverviewSearch_1_csv[[#This Row],[People saw +1 cars (unique)]])</f>
        <v>74</v>
      </c>
      <c r="Q485" s="143">
        <f t="shared" si="31"/>
        <v>36</v>
      </c>
    </row>
    <row r="486" spans="1:17" x14ac:dyDescent="0.3">
      <c r="A486" t="s">
        <v>493</v>
      </c>
      <c r="B486" t="str">
        <f t="shared" si="28"/>
        <v xml:space="preserve"> 18</v>
      </c>
      <c r="C486">
        <f t="shared" si="29"/>
        <v>1</v>
      </c>
      <c r="D486" t="str">
        <f t="shared" si="30"/>
        <v xml:space="preserve">2016-11-28 </v>
      </c>
      <c r="E486" t="str">
        <f>TEXT(Demand_Data___Hourly_OverviewSearch_1_csv[[#This Row],[Day]],"dddd")</f>
        <v>Sunday</v>
      </c>
      <c r="F486">
        <v>1</v>
      </c>
      <c r="G486">
        <v>64</v>
      </c>
      <c r="H486">
        <v>98</v>
      </c>
      <c r="I486">
        <f>VLOOKUP(Demand_Data___Hourly_OverviewSearch_1_csv[[#This Row],[Date]],Supply_Data___Hourly_DriverActivity_1_csv__3[#All],2,FALSE)</f>
        <v>95</v>
      </c>
      <c r="J486">
        <f>VLOOKUP(Demand_Data___Hourly_OverviewSearch_1_csv[[#This Row],[Date]],Supply_Data___Hourly_DriverActivity_1_csv__3[#All],3,FALSE)</f>
        <v>40</v>
      </c>
      <c r="K486">
        <f>VLOOKUP(Demand_Data___Hourly_OverviewSearch_1_csv[[#This Row],[Date]],Supply_Data___Hourly_DriverActivity_1_csv__3[#All],4,FALSE)</f>
        <v>15</v>
      </c>
      <c r="L486">
        <f>VLOOKUP(Demand_Data___Hourly_OverviewSearch_1_csv[[#This Row],[Date]],Supply_Data___Hourly_DriverActivity_1_csv__3[#All],5,FALSE)</f>
        <v>25</v>
      </c>
      <c r="M486">
        <f>VLOOKUP(Demand_Data___Hourly_OverviewSearch_1_csv[[#This Row],[Date]],Supply_Data___Hourly_DriverActivity_1_csv__3[#All],6,FALSE)</f>
        <v>0.4</v>
      </c>
      <c r="N486">
        <f>VLOOKUP(Demand_Data___Hourly_OverviewSearch_1_csv[[#This Row],[Date]],Supply_Data___Hourly_DriverActivity_1_csv__3[#All],7,FALSE)</f>
        <v>0.88</v>
      </c>
      <c r="O486">
        <f>VLOOKUP(Demand_Data___Hourly_OverviewSearch_1_csv[[#This Row],[Date]],Supply_Data___Hourly_DriverActivity_1_csv__3[#All],8,FALSE)</f>
        <v>35</v>
      </c>
      <c r="P486">
        <f>(Demand_Data___Hourly_OverviewSearch_1_csv[[#This Row],[People saw 0 cars (unique)]]+Demand_Data___Hourly_OverviewSearch_1_csv[[#This Row],[People saw +1 cars (unique)]])</f>
        <v>65</v>
      </c>
      <c r="Q486" s="143">
        <f t="shared" si="31"/>
        <v>25</v>
      </c>
    </row>
    <row r="487" spans="1:17" x14ac:dyDescent="0.3">
      <c r="A487" t="s">
        <v>494</v>
      </c>
      <c r="B487" t="str">
        <f t="shared" si="28"/>
        <v xml:space="preserve"> 17</v>
      </c>
      <c r="C487">
        <f t="shared" si="29"/>
        <v>1</v>
      </c>
      <c r="D487" t="str">
        <f t="shared" si="30"/>
        <v xml:space="preserve">2016-11-28 </v>
      </c>
      <c r="E487" t="str">
        <f>TEXT(Demand_Data___Hourly_OverviewSearch_1_csv[[#This Row],[Day]],"dddd")</f>
        <v>Sunday</v>
      </c>
      <c r="F487">
        <v>3</v>
      </c>
      <c r="G487">
        <v>45</v>
      </c>
      <c r="H487">
        <v>94</v>
      </c>
      <c r="I487">
        <f>VLOOKUP(Demand_Data___Hourly_OverviewSearch_1_csv[[#This Row],[Date]],Supply_Data___Hourly_DriverActivity_1_csv__3[#All],2,FALSE)</f>
        <v>102</v>
      </c>
      <c r="J487">
        <f>VLOOKUP(Demand_Data___Hourly_OverviewSearch_1_csv[[#This Row],[Date]],Supply_Data___Hourly_DriverActivity_1_csv__3[#All],3,FALSE)</f>
        <v>40</v>
      </c>
      <c r="K487">
        <f>VLOOKUP(Demand_Data___Hourly_OverviewSearch_1_csv[[#This Row],[Date]],Supply_Data___Hourly_DriverActivity_1_csv__3[#All],4,FALSE)</f>
        <v>10</v>
      </c>
      <c r="L487">
        <f>VLOOKUP(Demand_Data___Hourly_OverviewSearch_1_csv[[#This Row],[Date]],Supply_Data___Hourly_DriverActivity_1_csv__3[#All],5,FALSE)</f>
        <v>30</v>
      </c>
      <c r="M487">
        <f>VLOOKUP(Demand_Data___Hourly_OverviewSearch_1_csv[[#This Row],[Date]],Supply_Data___Hourly_DriverActivity_1_csv__3[#All],6,FALSE)</f>
        <v>0.4</v>
      </c>
      <c r="N487">
        <f>VLOOKUP(Demand_Data___Hourly_OverviewSearch_1_csv[[#This Row],[Date]],Supply_Data___Hourly_DriverActivity_1_csv__3[#All],7,FALSE)</f>
        <v>0.4</v>
      </c>
      <c r="O487">
        <f>VLOOKUP(Demand_Data___Hourly_OverviewSearch_1_csv[[#This Row],[Date]],Supply_Data___Hourly_DriverActivity_1_csv__3[#All],8,FALSE)</f>
        <v>16</v>
      </c>
      <c r="P487">
        <f>(Demand_Data___Hourly_OverviewSearch_1_csv[[#This Row],[People saw 0 cars (unique)]]+Demand_Data___Hourly_OverviewSearch_1_csv[[#This Row],[People saw +1 cars (unique)]])</f>
        <v>48</v>
      </c>
      <c r="Q487" s="143">
        <f t="shared" si="31"/>
        <v>30</v>
      </c>
    </row>
    <row r="488" spans="1:17" x14ac:dyDescent="0.3">
      <c r="A488" t="s">
        <v>495</v>
      </c>
      <c r="B488" t="str">
        <f t="shared" si="28"/>
        <v xml:space="preserve"> 16</v>
      </c>
      <c r="C488">
        <f t="shared" si="29"/>
        <v>1</v>
      </c>
      <c r="D488" t="str">
        <f t="shared" si="30"/>
        <v xml:space="preserve">2016-11-28 </v>
      </c>
      <c r="E488" t="str">
        <f>TEXT(Demand_Data___Hourly_OverviewSearch_1_csv[[#This Row],[Day]],"dddd")</f>
        <v>Sunday</v>
      </c>
      <c r="F488">
        <v>2</v>
      </c>
      <c r="G488">
        <v>40</v>
      </c>
      <c r="H488">
        <v>95</v>
      </c>
      <c r="I488">
        <f>VLOOKUP(Demand_Data___Hourly_OverviewSearch_1_csv[[#This Row],[Date]],Supply_Data___Hourly_DriverActivity_1_csv__3[#All],2,FALSE)</f>
        <v>90</v>
      </c>
      <c r="J488">
        <f>VLOOKUP(Demand_Data___Hourly_OverviewSearch_1_csv[[#This Row],[Date]],Supply_Data___Hourly_DriverActivity_1_csv__3[#All],3,FALSE)</f>
        <v>35</v>
      </c>
      <c r="K488">
        <f>VLOOKUP(Demand_Data___Hourly_OverviewSearch_1_csv[[#This Row],[Date]],Supply_Data___Hourly_DriverActivity_1_csv__3[#All],4,FALSE)</f>
        <v>5</v>
      </c>
      <c r="L488">
        <f>VLOOKUP(Demand_Data___Hourly_OverviewSearch_1_csv[[#This Row],[Date]],Supply_Data___Hourly_DriverActivity_1_csv__3[#All],5,FALSE)</f>
        <v>30</v>
      </c>
      <c r="M488">
        <f>VLOOKUP(Demand_Data___Hourly_OverviewSearch_1_csv[[#This Row],[Date]],Supply_Data___Hourly_DriverActivity_1_csv__3[#All],6,FALSE)</f>
        <v>0.4</v>
      </c>
      <c r="N488">
        <f>VLOOKUP(Demand_Data___Hourly_OverviewSearch_1_csv[[#This Row],[Date]],Supply_Data___Hourly_DriverActivity_1_csv__3[#All],7,FALSE)</f>
        <v>0.34</v>
      </c>
      <c r="O488">
        <f>VLOOKUP(Demand_Data___Hourly_OverviewSearch_1_csv[[#This Row],[Date]],Supply_Data___Hourly_DriverActivity_1_csv__3[#All],8,FALSE)</f>
        <v>12</v>
      </c>
      <c r="P488">
        <f>(Demand_Data___Hourly_OverviewSearch_1_csv[[#This Row],[People saw 0 cars (unique)]]+Demand_Data___Hourly_OverviewSearch_1_csv[[#This Row],[People saw +1 cars (unique)]])</f>
        <v>42</v>
      </c>
      <c r="Q488" s="143">
        <f t="shared" si="31"/>
        <v>30</v>
      </c>
    </row>
    <row r="489" spans="1:17" x14ac:dyDescent="0.3">
      <c r="A489" t="s">
        <v>496</v>
      </c>
      <c r="B489" t="str">
        <f t="shared" si="28"/>
        <v xml:space="preserve"> 15</v>
      </c>
      <c r="C489">
        <f t="shared" si="29"/>
        <v>1</v>
      </c>
      <c r="D489" t="str">
        <f t="shared" si="30"/>
        <v xml:space="preserve">2016-11-28 </v>
      </c>
      <c r="E489" t="str">
        <f>TEXT(Demand_Data___Hourly_OverviewSearch_1_csv[[#This Row],[Day]],"dddd")</f>
        <v>Sunday</v>
      </c>
      <c r="F489">
        <v>8</v>
      </c>
      <c r="G489">
        <v>33</v>
      </c>
      <c r="H489">
        <v>80</v>
      </c>
      <c r="I489">
        <f>VLOOKUP(Demand_Data___Hourly_OverviewSearch_1_csv[[#This Row],[Date]],Supply_Data___Hourly_DriverActivity_1_csv__3[#All],2,FALSE)</f>
        <v>74</v>
      </c>
      <c r="J489">
        <f>VLOOKUP(Demand_Data___Hourly_OverviewSearch_1_csv[[#This Row],[Date]],Supply_Data___Hourly_DriverActivity_1_csv__3[#All],3,FALSE)</f>
        <v>25</v>
      </c>
      <c r="K489">
        <f>VLOOKUP(Demand_Data___Hourly_OverviewSearch_1_csv[[#This Row],[Date]],Supply_Data___Hourly_DriverActivity_1_csv__3[#All],4,FALSE)</f>
        <v>4</v>
      </c>
      <c r="L489">
        <f>VLOOKUP(Demand_Data___Hourly_OverviewSearch_1_csv[[#This Row],[Date]],Supply_Data___Hourly_DriverActivity_1_csv__3[#All],5,FALSE)</f>
        <v>21</v>
      </c>
      <c r="M489">
        <f>VLOOKUP(Demand_Data___Hourly_OverviewSearch_1_csv[[#This Row],[Date]],Supply_Data___Hourly_DriverActivity_1_csv__3[#All],6,FALSE)</f>
        <v>0.3</v>
      </c>
      <c r="N489">
        <f>VLOOKUP(Demand_Data___Hourly_OverviewSearch_1_csv[[#This Row],[Date]],Supply_Data___Hourly_DriverActivity_1_csv__3[#All],7,FALSE)</f>
        <v>0.32</v>
      </c>
      <c r="O489">
        <f>VLOOKUP(Demand_Data___Hourly_OverviewSearch_1_csv[[#This Row],[Date]],Supply_Data___Hourly_DriverActivity_1_csv__3[#All],8,FALSE)</f>
        <v>8</v>
      </c>
      <c r="P489">
        <f>(Demand_Data___Hourly_OverviewSearch_1_csv[[#This Row],[People saw 0 cars (unique)]]+Demand_Data___Hourly_OverviewSearch_1_csv[[#This Row],[People saw +1 cars (unique)]])</f>
        <v>41</v>
      </c>
      <c r="Q489" s="143">
        <f t="shared" si="31"/>
        <v>21</v>
      </c>
    </row>
    <row r="490" spans="1:17" x14ac:dyDescent="0.3">
      <c r="A490" t="s">
        <v>497</v>
      </c>
      <c r="B490" t="str">
        <f t="shared" si="28"/>
        <v xml:space="preserve"> 14</v>
      </c>
      <c r="C490">
        <f t="shared" si="29"/>
        <v>1</v>
      </c>
      <c r="D490" t="str">
        <f t="shared" si="30"/>
        <v xml:space="preserve">2016-11-28 </v>
      </c>
      <c r="E490" t="str">
        <f>TEXT(Demand_Data___Hourly_OverviewSearch_1_csv[[#This Row],[Day]],"dddd")</f>
        <v>Sunday</v>
      </c>
      <c r="F490">
        <v>5</v>
      </c>
      <c r="G490">
        <v>24</v>
      </c>
      <c r="H490">
        <v>83</v>
      </c>
      <c r="I490">
        <f>VLOOKUP(Demand_Data___Hourly_OverviewSearch_1_csv[[#This Row],[Date]],Supply_Data___Hourly_DriverActivity_1_csv__3[#All],2,FALSE)</f>
        <v>63</v>
      </c>
      <c r="J490">
        <f>VLOOKUP(Demand_Data___Hourly_OverviewSearch_1_csv[[#This Row],[Date]],Supply_Data___Hourly_DriverActivity_1_csv__3[#All],3,FALSE)</f>
        <v>20</v>
      </c>
      <c r="K490">
        <f>VLOOKUP(Demand_Data___Hourly_OverviewSearch_1_csv[[#This Row],[Date]],Supply_Data___Hourly_DriverActivity_1_csv__3[#All],4,FALSE)</f>
        <v>3</v>
      </c>
      <c r="L490">
        <f>VLOOKUP(Demand_Data___Hourly_OverviewSearch_1_csv[[#This Row],[Date]],Supply_Data___Hourly_DriverActivity_1_csv__3[#All],5,FALSE)</f>
        <v>17</v>
      </c>
      <c r="M490">
        <f>VLOOKUP(Demand_Data___Hourly_OverviewSearch_1_csv[[#This Row],[Date]],Supply_Data___Hourly_DriverActivity_1_csv__3[#All],6,FALSE)</f>
        <v>0.3</v>
      </c>
      <c r="N490">
        <f>VLOOKUP(Demand_Data___Hourly_OverviewSearch_1_csv[[#This Row],[Date]],Supply_Data___Hourly_DriverActivity_1_csv__3[#All],7,FALSE)</f>
        <v>0.3</v>
      </c>
      <c r="O490">
        <f>VLOOKUP(Demand_Data___Hourly_OverviewSearch_1_csv[[#This Row],[Date]],Supply_Data___Hourly_DriverActivity_1_csv__3[#All],8,FALSE)</f>
        <v>6</v>
      </c>
      <c r="P490">
        <f>(Demand_Data___Hourly_OverviewSearch_1_csv[[#This Row],[People saw 0 cars (unique)]]+Demand_Data___Hourly_OverviewSearch_1_csv[[#This Row],[People saw +1 cars (unique)]])</f>
        <v>29</v>
      </c>
      <c r="Q490" s="143">
        <f t="shared" si="31"/>
        <v>17</v>
      </c>
    </row>
    <row r="491" spans="1:17" x14ac:dyDescent="0.3">
      <c r="A491" t="s">
        <v>498</v>
      </c>
      <c r="B491" t="str">
        <f t="shared" si="28"/>
        <v xml:space="preserve"> 13</v>
      </c>
      <c r="C491">
        <f t="shared" si="29"/>
        <v>1</v>
      </c>
      <c r="D491" t="str">
        <f t="shared" si="30"/>
        <v xml:space="preserve">2016-11-28 </v>
      </c>
      <c r="E491" t="str">
        <f>TEXT(Demand_Data___Hourly_OverviewSearch_1_csv[[#This Row],[Day]],"dddd")</f>
        <v>Sunday</v>
      </c>
      <c r="F491">
        <v>5</v>
      </c>
      <c r="G491">
        <v>29</v>
      </c>
      <c r="H491">
        <v>85</v>
      </c>
      <c r="I491">
        <f>VLOOKUP(Demand_Data___Hourly_OverviewSearch_1_csv[[#This Row],[Date]],Supply_Data___Hourly_DriverActivity_1_csv__3[#All],2,FALSE)</f>
        <v>57</v>
      </c>
      <c r="J491">
        <f>VLOOKUP(Demand_Data___Hourly_OverviewSearch_1_csv[[#This Row],[Date]],Supply_Data___Hourly_DriverActivity_1_csv__3[#All],3,FALSE)</f>
        <v>21</v>
      </c>
      <c r="K491">
        <f>VLOOKUP(Demand_Data___Hourly_OverviewSearch_1_csv[[#This Row],[Date]],Supply_Data___Hourly_DriverActivity_1_csv__3[#All],4,FALSE)</f>
        <v>2</v>
      </c>
      <c r="L491">
        <f>VLOOKUP(Demand_Data___Hourly_OverviewSearch_1_csv[[#This Row],[Date]],Supply_Data___Hourly_DriverActivity_1_csv__3[#All],5,FALSE)</f>
        <v>19</v>
      </c>
      <c r="M491">
        <f>VLOOKUP(Demand_Data___Hourly_OverviewSearch_1_csv[[#This Row],[Date]],Supply_Data___Hourly_DriverActivity_1_csv__3[#All],6,FALSE)</f>
        <v>0.4</v>
      </c>
      <c r="N491">
        <f>VLOOKUP(Demand_Data___Hourly_OverviewSearch_1_csv[[#This Row],[Date]],Supply_Data___Hourly_DriverActivity_1_csv__3[#All],7,FALSE)</f>
        <v>0.24</v>
      </c>
      <c r="O491">
        <f>VLOOKUP(Demand_Data___Hourly_OverviewSearch_1_csv[[#This Row],[Date]],Supply_Data___Hourly_DriverActivity_1_csv__3[#All],8,FALSE)</f>
        <v>5</v>
      </c>
      <c r="P491">
        <f>(Demand_Data___Hourly_OverviewSearch_1_csv[[#This Row],[People saw 0 cars (unique)]]+Demand_Data___Hourly_OverviewSearch_1_csv[[#This Row],[People saw +1 cars (unique)]])</f>
        <v>34</v>
      </c>
      <c r="Q491" s="143">
        <f t="shared" si="31"/>
        <v>19</v>
      </c>
    </row>
    <row r="492" spans="1:17" x14ac:dyDescent="0.3">
      <c r="A492" t="s">
        <v>499</v>
      </c>
      <c r="B492" t="str">
        <f t="shared" si="28"/>
        <v xml:space="preserve"> 12</v>
      </c>
      <c r="C492">
        <f t="shared" si="29"/>
        <v>1</v>
      </c>
      <c r="D492" t="str">
        <f t="shared" si="30"/>
        <v xml:space="preserve">2016-11-28 </v>
      </c>
      <c r="E492" t="str">
        <f>TEXT(Demand_Data___Hourly_OverviewSearch_1_csv[[#This Row],[Day]],"dddd")</f>
        <v>Sunday</v>
      </c>
      <c r="F492">
        <v>1</v>
      </c>
      <c r="G492">
        <v>25</v>
      </c>
      <c r="H492">
        <v>96</v>
      </c>
      <c r="I492">
        <f>VLOOKUP(Demand_Data___Hourly_OverviewSearch_1_csv[[#This Row],[Date]],Supply_Data___Hourly_DriverActivity_1_csv__3[#All],2,FALSE)</f>
        <v>67</v>
      </c>
      <c r="J492">
        <f>VLOOKUP(Demand_Data___Hourly_OverviewSearch_1_csv[[#This Row],[Date]],Supply_Data___Hourly_DriverActivity_1_csv__3[#All],3,FALSE)</f>
        <v>22</v>
      </c>
      <c r="K492">
        <f>VLOOKUP(Demand_Data___Hourly_OverviewSearch_1_csv[[#This Row],[Date]],Supply_Data___Hourly_DriverActivity_1_csv__3[#All],4,FALSE)</f>
        <v>3</v>
      </c>
      <c r="L492">
        <f>VLOOKUP(Demand_Data___Hourly_OverviewSearch_1_csv[[#This Row],[Date]],Supply_Data___Hourly_DriverActivity_1_csv__3[#All],5,FALSE)</f>
        <v>19</v>
      </c>
      <c r="M492">
        <f>VLOOKUP(Demand_Data___Hourly_OverviewSearch_1_csv[[#This Row],[Date]],Supply_Data___Hourly_DriverActivity_1_csv__3[#All],6,FALSE)</f>
        <v>0.3</v>
      </c>
      <c r="N492">
        <f>VLOOKUP(Demand_Data___Hourly_OverviewSearch_1_csv[[#This Row],[Date]],Supply_Data___Hourly_DriverActivity_1_csv__3[#All],7,FALSE)</f>
        <v>0.36</v>
      </c>
      <c r="O492">
        <f>VLOOKUP(Demand_Data___Hourly_OverviewSearch_1_csv[[#This Row],[Date]],Supply_Data___Hourly_DriverActivity_1_csv__3[#All],8,FALSE)</f>
        <v>8</v>
      </c>
      <c r="P492">
        <f>(Demand_Data___Hourly_OverviewSearch_1_csv[[#This Row],[People saw 0 cars (unique)]]+Demand_Data___Hourly_OverviewSearch_1_csv[[#This Row],[People saw +1 cars (unique)]])</f>
        <v>26</v>
      </c>
      <c r="Q492" s="143">
        <f t="shared" si="31"/>
        <v>19</v>
      </c>
    </row>
    <row r="493" spans="1:17" x14ac:dyDescent="0.3">
      <c r="A493" t="s">
        <v>500</v>
      </c>
      <c r="B493" t="str">
        <f t="shared" si="28"/>
        <v xml:space="preserve"> 11</v>
      </c>
      <c r="C493">
        <f t="shared" si="29"/>
        <v>1</v>
      </c>
      <c r="D493" t="str">
        <f t="shared" si="30"/>
        <v xml:space="preserve">2016-11-28 </v>
      </c>
      <c r="E493" t="str">
        <f>TEXT(Demand_Data___Hourly_OverviewSearch_1_csv[[#This Row],[Day]],"dddd")</f>
        <v>Sunday</v>
      </c>
      <c r="F493">
        <v>5</v>
      </c>
      <c r="G493">
        <v>20</v>
      </c>
      <c r="H493">
        <v>80</v>
      </c>
      <c r="I493">
        <f>VLOOKUP(Demand_Data___Hourly_OverviewSearch_1_csv[[#This Row],[Date]],Supply_Data___Hourly_DriverActivity_1_csv__3[#All],2,FALSE)</f>
        <v>75</v>
      </c>
      <c r="J493">
        <f>VLOOKUP(Demand_Data___Hourly_OverviewSearch_1_csv[[#This Row],[Date]],Supply_Data___Hourly_DriverActivity_1_csv__3[#All],3,FALSE)</f>
        <v>32</v>
      </c>
      <c r="K493">
        <f>VLOOKUP(Demand_Data___Hourly_OverviewSearch_1_csv[[#This Row],[Date]],Supply_Data___Hourly_DriverActivity_1_csv__3[#All],4,FALSE)</f>
        <v>4</v>
      </c>
      <c r="L493">
        <f>VLOOKUP(Demand_Data___Hourly_OverviewSearch_1_csv[[#This Row],[Date]],Supply_Data___Hourly_DriverActivity_1_csv__3[#All],5,FALSE)</f>
        <v>28</v>
      </c>
      <c r="M493">
        <f>VLOOKUP(Demand_Data___Hourly_OverviewSearch_1_csv[[#This Row],[Date]],Supply_Data___Hourly_DriverActivity_1_csv__3[#All],6,FALSE)</f>
        <v>0.4</v>
      </c>
      <c r="N493">
        <f>VLOOKUP(Demand_Data___Hourly_OverviewSearch_1_csv[[#This Row],[Date]],Supply_Data___Hourly_DriverActivity_1_csv__3[#All],7,FALSE)</f>
        <v>0.16</v>
      </c>
      <c r="O493">
        <f>VLOOKUP(Demand_Data___Hourly_OverviewSearch_1_csv[[#This Row],[Date]],Supply_Data___Hourly_DriverActivity_1_csv__3[#All],8,FALSE)</f>
        <v>5</v>
      </c>
      <c r="P493">
        <f>(Demand_Data___Hourly_OverviewSearch_1_csv[[#This Row],[People saw 0 cars (unique)]]+Demand_Data___Hourly_OverviewSearch_1_csv[[#This Row],[People saw +1 cars (unique)]])</f>
        <v>25</v>
      </c>
      <c r="Q493" s="143">
        <f t="shared" si="31"/>
        <v>28</v>
      </c>
    </row>
    <row r="494" spans="1:17" x14ac:dyDescent="0.3">
      <c r="A494" t="s">
        <v>501</v>
      </c>
      <c r="B494" t="str">
        <f t="shared" si="28"/>
        <v xml:space="preserve"> 10</v>
      </c>
      <c r="C494">
        <f t="shared" si="29"/>
        <v>1</v>
      </c>
      <c r="D494" t="str">
        <f t="shared" si="30"/>
        <v xml:space="preserve">2016-11-28 </v>
      </c>
      <c r="E494" t="str">
        <f>TEXT(Demand_Data___Hourly_OverviewSearch_1_csv[[#This Row],[Day]],"dddd")</f>
        <v>Sunday</v>
      </c>
      <c r="F494">
        <v>4</v>
      </c>
      <c r="G494">
        <v>55</v>
      </c>
      <c r="H494">
        <v>93</v>
      </c>
      <c r="I494">
        <f>VLOOKUP(Demand_Data___Hourly_OverviewSearch_1_csv[[#This Row],[Date]],Supply_Data___Hourly_DriverActivity_1_csv__3[#All],2,FALSE)</f>
        <v>79</v>
      </c>
      <c r="J494">
        <f>VLOOKUP(Demand_Data___Hourly_OverviewSearch_1_csv[[#This Row],[Date]],Supply_Data___Hourly_DriverActivity_1_csv__3[#All],3,FALSE)</f>
        <v>36</v>
      </c>
      <c r="K494">
        <f>VLOOKUP(Demand_Data___Hourly_OverviewSearch_1_csv[[#This Row],[Date]],Supply_Data___Hourly_DriverActivity_1_csv__3[#All],4,FALSE)</f>
        <v>9</v>
      </c>
      <c r="L494">
        <f>VLOOKUP(Demand_Data___Hourly_OverviewSearch_1_csv[[#This Row],[Date]],Supply_Data___Hourly_DriverActivity_1_csv__3[#All],5,FALSE)</f>
        <v>27</v>
      </c>
      <c r="M494">
        <f>VLOOKUP(Demand_Data___Hourly_OverviewSearch_1_csv[[#This Row],[Date]],Supply_Data___Hourly_DriverActivity_1_csv__3[#All],6,FALSE)</f>
        <v>0.5</v>
      </c>
      <c r="N494">
        <f>VLOOKUP(Demand_Data___Hourly_OverviewSearch_1_csv[[#This Row],[Date]],Supply_Data___Hourly_DriverActivity_1_csv__3[#All],7,FALSE)</f>
        <v>0.47</v>
      </c>
      <c r="O494">
        <f>VLOOKUP(Demand_Data___Hourly_OverviewSearch_1_csv[[#This Row],[Date]],Supply_Data___Hourly_DriverActivity_1_csv__3[#All],8,FALSE)</f>
        <v>17</v>
      </c>
      <c r="P494">
        <f>(Demand_Data___Hourly_OverviewSearch_1_csv[[#This Row],[People saw 0 cars (unique)]]+Demand_Data___Hourly_OverviewSearch_1_csv[[#This Row],[People saw +1 cars (unique)]])</f>
        <v>59</v>
      </c>
      <c r="Q494" s="143">
        <f t="shared" si="31"/>
        <v>27</v>
      </c>
    </row>
    <row r="495" spans="1:17" x14ac:dyDescent="0.3">
      <c r="A495" t="s">
        <v>502</v>
      </c>
      <c r="B495" t="str">
        <f t="shared" si="28"/>
        <v xml:space="preserve"> 09</v>
      </c>
      <c r="C495">
        <f t="shared" si="29"/>
        <v>1</v>
      </c>
      <c r="D495" t="str">
        <f t="shared" si="30"/>
        <v xml:space="preserve">2016-11-28 </v>
      </c>
      <c r="E495" t="str">
        <f>TEXT(Demand_Data___Hourly_OverviewSearch_1_csv[[#This Row],[Day]],"dddd")</f>
        <v>Sunday</v>
      </c>
      <c r="F495">
        <v>20</v>
      </c>
      <c r="G495">
        <v>51</v>
      </c>
      <c r="H495">
        <v>72</v>
      </c>
      <c r="I495">
        <f>VLOOKUP(Demand_Data___Hourly_OverviewSearch_1_csv[[#This Row],[Date]],Supply_Data___Hourly_DriverActivity_1_csv__3[#All],2,FALSE)</f>
        <v>77</v>
      </c>
      <c r="J495">
        <f>VLOOKUP(Demand_Data___Hourly_OverviewSearch_1_csv[[#This Row],[Date]],Supply_Data___Hourly_DriverActivity_1_csv__3[#All],3,FALSE)</f>
        <v>34</v>
      </c>
      <c r="K495">
        <f>VLOOKUP(Demand_Data___Hourly_OverviewSearch_1_csv[[#This Row],[Date]],Supply_Data___Hourly_DriverActivity_1_csv__3[#All],4,FALSE)</f>
        <v>15</v>
      </c>
      <c r="L495">
        <f>VLOOKUP(Demand_Data___Hourly_OverviewSearch_1_csv[[#This Row],[Date]],Supply_Data___Hourly_DriverActivity_1_csv__3[#All],5,FALSE)</f>
        <v>19</v>
      </c>
      <c r="M495">
        <f>VLOOKUP(Demand_Data___Hourly_OverviewSearch_1_csv[[#This Row],[Date]],Supply_Data___Hourly_DriverActivity_1_csv__3[#All],6,FALSE)</f>
        <v>0.4</v>
      </c>
      <c r="N495">
        <f>VLOOKUP(Demand_Data___Hourly_OverviewSearch_1_csv[[#This Row],[Date]],Supply_Data___Hourly_DriverActivity_1_csv__3[#All],7,FALSE)</f>
        <v>0.76</v>
      </c>
      <c r="O495">
        <f>VLOOKUP(Demand_Data___Hourly_OverviewSearch_1_csv[[#This Row],[Date]],Supply_Data___Hourly_DriverActivity_1_csv__3[#All],8,FALSE)</f>
        <v>26</v>
      </c>
      <c r="P495">
        <f>(Demand_Data___Hourly_OverviewSearch_1_csv[[#This Row],[People saw 0 cars (unique)]]+Demand_Data___Hourly_OverviewSearch_1_csv[[#This Row],[People saw +1 cars (unique)]])</f>
        <v>71</v>
      </c>
      <c r="Q495" s="143">
        <f t="shared" si="31"/>
        <v>19</v>
      </c>
    </row>
    <row r="496" spans="1:17" x14ac:dyDescent="0.3">
      <c r="A496" t="s">
        <v>503</v>
      </c>
      <c r="B496" t="str">
        <f t="shared" si="28"/>
        <v xml:space="preserve"> 08</v>
      </c>
      <c r="C496">
        <f t="shared" si="29"/>
        <v>1</v>
      </c>
      <c r="D496" t="str">
        <f t="shared" si="30"/>
        <v xml:space="preserve">2016-11-28 </v>
      </c>
      <c r="E496" t="str">
        <f>TEXT(Demand_Data___Hourly_OverviewSearch_1_csv[[#This Row],[Day]],"dddd")</f>
        <v>Sunday</v>
      </c>
      <c r="F496">
        <v>21</v>
      </c>
      <c r="G496">
        <v>42</v>
      </c>
      <c r="H496">
        <v>67</v>
      </c>
      <c r="I496">
        <f>VLOOKUP(Demand_Data___Hourly_OverviewSearch_1_csv[[#This Row],[Date]],Supply_Data___Hourly_DriverActivity_1_csv__3[#All],2,FALSE)</f>
        <v>62</v>
      </c>
      <c r="J496">
        <f>VLOOKUP(Demand_Data___Hourly_OverviewSearch_1_csv[[#This Row],[Date]],Supply_Data___Hourly_DriverActivity_1_csv__3[#All],3,FALSE)</f>
        <v>24</v>
      </c>
      <c r="K496">
        <f>VLOOKUP(Demand_Data___Hourly_OverviewSearch_1_csv[[#This Row],[Date]],Supply_Data___Hourly_DriverActivity_1_csv__3[#All],4,FALSE)</f>
        <v>11</v>
      </c>
      <c r="L496">
        <f>VLOOKUP(Demand_Data___Hourly_OverviewSearch_1_csv[[#This Row],[Date]],Supply_Data___Hourly_DriverActivity_1_csv__3[#All],5,FALSE)</f>
        <v>13</v>
      </c>
      <c r="M496">
        <f>VLOOKUP(Demand_Data___Hourly_OverviewSearch_1_csv[[#This Row],[Date]],Supply_Data___Hourly_DriverActivity_1_csv__3[#All],6,FALSE)</f>
        <v>0.4</v>
      </c>
      <c r="N496">
        <f>VLOOKUP(Demand_Data___Hourly_OverviewSearch_1_csv[[#This Row],[Date]],Supply_Data___Hourly_DriverActivity_1_csv__3[#All],7,FALSE)</f>
        <v>0.96</v>
      </c>
      <c r="O496">
        <f>VLOOKUP(Demand_Data___Hourly_OverviewSearch_1_csv[[#This Row],[Date]],Supply_Data___Hourly_DriverActivity_1_csv__3[#All],8,FALSE)</f>
        <v>23</v>
      </c>
      <c r="P496">
        <f>(Demand_Data___Hourly_OverviewSearch_1_csv[[#This Row],[People saw 0 cars (unique)]]+Demand_Data___Hourly_OverviewSearch_1_csv[[#This Row],[People saw +1 cars (unique)]])</f>
        <v>63</v>
      </c>
      <c r="Q496" s="143">
        <f t="shared" si="31"/>
        <v>13</v>
      </c>
    </row>
    <row r="497" spans="1:17" x14ac:dyDescent="0.3">
      <c r="A497" t="s">
        <v>504</v>
      </c>
      <c r="B497" t="str">
        <f t="shared" si="28"/>
        <v xml:space="preserve"> 07</v>
      </c>
      <c r="C497">
        <f t="shared" si="29"/>
        <v>1</v>
      </c>
      <c r="D497" t="str">
        <f t="shared" si="30"/>
        <v xml:space="preserve">2016-11-28 </v>
      </c>
      <c r="E497" t="str">
        <f>TEXT(Demand_Data___Hourly_OverviewSearch_1_csv[[#This Row],[Day]],"dddd")</f>
        <v>Sunday</v>
      </c>
      <c r="F497">
        <v>24</v>
      </c>
      <c r="G497">
        <v>21</v>
      </c>
      <c r="H497">
        <v>47</v>
      </c>
      <c r="I497">
        <f>VLOOKUP(Demand_Data___Hourly_OverviewSearch_1_csv[[#This Row],[Date]],Supply_Data___Hourly_DriverActivity_1_csv__3[#All],2,FALSE)</f>
        <v>44</v>
      </c>
      <c r="J497">
        <f>VLOOKUP(Demand_Data___Hourly_OverviewSearch_1_csv[[#This Row],[Date]],Supply_Data___Hourly_DriverActivity_1_csv__3[#All],3,FALSE)</f>
        <v>15</v>
      </c>
      <c r="K497">
        <f>VLOOKUP(Demand_Data___Hourly_OverviewSearch_1_csv[[#This Row],[Date]],Supply_Data___Hourly_DriverActivity_1_csv__3[#All],4,FALSE)</f>
        <v>5</v>
      </c>
      <c r="L497">
        <f>VLOOKUP(Demand_Data___Hourly_OverviewSearch_1_csv[[#This Row],[Date]],Supply_Data___Hourly_DriverActivity_1_csv__3[#All],5,FALSE)</f>
        <v>10</v>
      </c>
      <c r="M497">
        <f>VLOOKUP(Demand_Data___Hourly_OverviewSearch_1_csv[[#This Row],[Date]],Supply_Data___Hourly_DriverActivity_1_csv__3[#All],6,FALSE)</f>
        <v>0.3</v>
      </c>
      <c r="N497">
        <f>VLOOKUP(Demand_Data___Hourly_OverviewSearch_1_csv[[#This Row],[Date]],Supply_Data___Hourly_DriverActivity_1_csv__3[#All],7,FALSE)</f>
        <v>0.8</v>
      </c>
      <c r="O497">
        <f>VLOOKUP(Demand_Data___Hourly_OverviewSearch_1_csv[[#This Row],[Date]],Supply_Data___Hourly_DriverActivity_1_csv__3[#All],8,FALSE)</f>
        <v>12</v>
      </c>
      <c r="P497">
        <f>(Demand_Data___Hourly_OverviewSearch_1_csv[[#This Row],[People saw 0 cars (unique)]]+Demand_Data___Hourly_OverviewSearch_1_csv[[#This Row],[People saw +1 cars (unique)]])</f>
        <v>45</v>
      </c>
      <c r="Q497" s="143">
        <f t="shared" si="31"/>
        <v>10</v>
      </c>
    </row>
    <row r="498" spans="1:17" x14ac:dyDescent="0.3">
      <c r="A498" t="s">
        <v>505</v>
      </c>
      <c r="B498" t="str">
        <f t="shared" si="28"/>
        <v xml:space="preserve"> 06</v>
      </c>
      <c r="C498">
        <f t="shared" si="29"/>
        <v>1</v>
      </c>
      <c r="D498" t="str">
        <f t="shared" si="30"/>
        <v xml:space="preserve">2016-11-28 </v>
      </c>
      <c r="E498" t="str">
        <f>TEXT(Demand_Data___Hourly_OverviewSearch_1_csv[[#This Row],[Day]],"dddd")</f>
        <v>Sunday</v>
      </c>
      <c r="F498">
        <v>7</v>
      </c>
      <c r="G498">
        <v>6</v>
      </c>
      <c r="H498">
        <v>46</v>
      </c>
      <c r="I498">
        <f>VLOOKUP(Demand_Data___Hourly_OverviewSearch_1_csv[[#This Row],[Date]],Supply_Data___Hourly_DriverActivity_1_csv__3[#All],2,FALSE)</f>
        <v>25</v>
      </c>
      <c r="J498">
        <f>VLOOKUP(Demand_Data___Hourly_OverviewSearch_1_csv[[#This Row],[Date]],Supply_Data___Hourly_DriverActivity_1_csv__3[#All],3,FALSE)</f>
        <v>8</v>
      </c>
      <c r="K498">
        <f>VLOOKUP(Demand_Data___Hourly_OverviewSearch_1_csv[[#This Row],[Date]],Supply_Data___Hourly_DriverActivity_1_csv__3[#All],4,FALSE)</f>
        <v>1</v>
      </c>
      <c r="L498">
        <f>VLOOKUP(Demand_Data___Hourly_OverviewSearch_1_csv[[#This Row],[Date]],Supply_Data___Hourly_DriverActivity_1_csv__3[#All],5,FALSE)</f>
        <v>7</v>
      </c>
      <c r="M498">
        <f>VLOOKUP(Demand_Data___Hourly_OverviewSearch_1_csv[[#This Row],[Date]],Supply_Data___Hourly_DriverActivity_1_csv__3[#All],6,FALSE)</f>
        <v>0.3</v>
      </c>
      <c r="N498">
        <f>VLOOKUP(Demand_Data___Hourly_OverviewSearch_1_csv[[#This Row],[Date]],Supply_Data___Hourly_DriverActivity_1_csv__3[#All],7,FALSE)</f>
        <v>0.5</v>
      </c>
      <c r="O498">
        <f>VLOOKUP(Demand_Data___Hourly_OverviewSearch_1_csv[[#This Row],[Date]],Supply_Data___Hourly_DriverActivity_1_csv__3[#All],8,FALSE)</f>
        <v>4</v>
      </c>
      <c r="P498">
        <f>(Demand_Data___Hourly_OverviewSearch_1_csv[[#This Row],[People saw 0 cars (unique)]]+Demand_Data___Hourly_OverviewSearch_1_csv[[#This Row],[People saw +1 cars (unique)]])</f>
        <v>13</v>
      </c>
      <c r="Q498" s="143">
        <f t="shared" si="31"/>
        <v>7</v>
      </c>
    </row>
    <row r="499" spans="1:17" x14ac:dyDescent="0.3">
      <c r="A499" t="s">
        <v>506</v>
      </c>
      <c r="B499" t="str">
        <f t="shared" si="28"/>
        <v xml:space="preserve"> 05</v>
      </c>
      <c r="C499">
        <f t="shared" si="29"/>
        <v>1</v>
      </c>
      <c r="D499" t="str">
        <f t="shared" si="30"/>
        <v xml:space="preserve">2016-11-28 </v>
      </c>
      <c r="E499" t="str">
        <f>TEXT(Demand_Data___Hourly_OverviewSearch_1_csv[[#This Row],[Day]],"dddd")</f>
        <v>Sunday</v>
      </c>
      <c r="F499">
        <v>2</v>
      </c>
      <c r="G499">
        <v>1</v>
      </c>
      <c r="H499">
        <v>33</v>
      </c>
      <c r="I499">
        <f>VLOOKUP(Demand_Data___Hourly_OverviewSearch_1_csv[[#This Row],[Date]],Supply_Data___Hourly_DriverActivity_1_csv__3[#All],2,FALSE)</f>
        <v>17</v>
      </c>
      <c r="J499">
        <f>VLOOKUP(Demand_Data___Hourly_OverviewSearch_1_csv[[#This Row],[Date]],Supply_Data___Hourly_DriverActivity_1_csv__3[#All],3,FALSE)</f>
        <v>6</v>
      </c>
      <c r="K499">
        <f>VLOOKUP(Demand_Data___Hourly_OverviewSearch_1_csv[[#This Row],[Date]],Supply_Data___Hourly_DriverActivity_1_csv__3[#All],4,FALSE)</f>
        <v>0</v>
      </c>
      <c r="L499">
        <f>VLOOKUP(Demand_Data___Hourly_OverviewSearch_1_csv[[#This Row],[Date]],Supply_Data___Hourly_DriverActivity_1_csv__3[#All],5,FALSE)</f>
        <v>6</v>
      </c>
      <c r="M499">
        <f>VLOOKUP(Demand_Data___Hourly_OverviewSearch_1_csv[[#This Row],[Date]],Supply_Data___Hourly_DriverActivity_1_csv__3[#All],6,FALSE)</f>
        <v>0.4</v>
      </c>
      <c r="N499">
        <f>VLOOKUP(Demand_Data___Hourly_OverviewSearch_1_csv[[#This Row],[Date]],Supply_Data___Hourly_DriverActivity_1_csv__3[#All],7,FALSE)</f>
        <v>0.17</v>
      </c>
      <c r="O499">
        <f>VLOOKUP(Demand_Data___Hourly_OverviewSearch_1_csv[[#This Row],[Date]],Supply_Data___Hourly_DriverActivity_1_csv__3[#All],8,FALSE)</f>
        <v>1</v>
      </c>
      <c r="P499">
        <f>(Demand_Data___Hourly_OverviewSearch_1_csv[[#This Row],[People saw 0 cars (unique)]]+Demand_Data___Hourly_OverviewSearch_1_csv[[#This Row],[People saw +1 cars (unique)]])</f>
        <v>3</v>
      </c>
      <c r="Q499" s="143">
        <f t="shared" si="31"/>
        <v>6</v>
      </c>
    </row>
    <row r="500" spans="1:17" x14ac:dyDescent="0.3">
      <c r="A500" t="s">
        <v>507</v>
      </c>
      <c r="B500" t="str">
        <f t="shared" si="28"/>
        <v xml:space="preserve"> 04</v>
      </c>
      <c r="C500">
        <f t="shared" si="29"/>
        <v>1</v>
      </c>
      <c r="D500" t="str">
        <f t="shared" si="30"/>
        <v xml:space="preserve">2016-11-28 </v>
      </c>
      <c r="E500" t="str">
        <f>TEXT(Demand_Data___Hourly_OverviewSearch_1_csv[[#This Row],[Day]],"dddd")</f>
        <v>Sunday</v>
      </c>
      <c r="F500">
        <v>7</v>
      </c>
      <c r="G500">
        <v>1</v>
      </c>
      <c r="H500">
        <v>13</v>
      </c>
      <c r="I500">
        <f>VLOOKUP(Demand_Data___Hourly_OverviewSearch_1_csv[[#This Row],[Date]],Supply_Data___Hourly_DriverActivity_1_csv__3[#All],2,FALSE)</f>
        <v>15</v>
      </c>
      <c r="J500">
        <f>VLOOKUP(Demand_Data___Hourly_OverviewSearch_1_csv[[#This Row],[Date]],Supply_Data___Hourly_DriverActivity_1_csv__3[#All],3,FALSE)</f>
        <v>7</v>
      </c>
      <c r="K500">
        <f>VLOOKUP(Demand_Data___Hourly_OverviewSearch_1_csv[[#This Row],[Date]],Supply_Data___Hourly_DriverActivity_1_csv__3[#All],4,FALSE)</f>
        <v>0</v>
      </c>
      <c r="L500">
        <f>VLOOKUP(Demand_Data___Hourly_OverviewSearch_1_csv[[#This Row],[Date]],Supply_Data___Hourly_DriverActivity_1_csv__3[#All],5,FALSE)</f>
        <v>7</v>
      </c>
      <c r="M500">
        <f>VLOOKUP(Demand_Data___Hourly_OverviewSearch_1_csv[[#This Row],[Date]],Supply_Data___Hourly_DriverActivity_1_csv__3[#All],6,FALSE)</f>
        <v>0.5</v>
      </c>
      <c r="N500">
        <f>VLOOKUP(Demand_Data___Hourly_OverviewSearch_1_csv[[#This Row],[Date]],Supply_Data___Hourly_DriverActivity_1_csv__3[#All],7,FALSE)</f>
        <v>0</v>
      </c>
      <c r="O500">
        <f>VLOOKUP(Demand_Data___Hourly_OverviewSearch_1_csv[[#This Row],[Date]],Supply_Data___Hourly_DriverActivity_1_csv__3[#All],8,FALSE)</f>
        <v>0</v>
      </c>
      <c r="P500">
        <f>(Demand_Data___Hourly_OverviewSearch_1_csv[[#This Row],[People saw 0 cars (unique)]]+Demand_Data___Hourly_OverviewSearch_1_csv[[#This Row],[People saw +1 cars (unique)]])</f>
        <v>8</v>
      </c>
      <c r="Q500" s="143">
        <f t="shared" si="31"/>
        <v>7</v>
      </c>
    </row>
    <row r="501" spans="1:17" x14ac:dyDescent="0.3">
      <c r="A501" t="s">
        <v>508</v>
      </c>
      <c r="B501" t="str">
        <f t="shared" si="28"/>
        <v xml:space="preserve"> 03</v>
      </c>
      <c r="C501">
        <f t="shared" si="29"/>
        <v>1</v>
      </c>
      <c r="D501" t="str">
        <f t="shared" si="30"/>
        <v xml:space="preserve">2016-11-28 </v>
      </c>
      <c r="E501" t="str">
        <f>TEXT(Demand_Data___Hourly_OverviewSearch_1_csv[[#This Row],[Day]],"dddd")</f>
        <v>Sunday</v>
      </c>
      <c r="F501">
        <v>2</v>
      </c>
      <c r="G501">
        <v>4</v>
      </c>
      <c r="H501">
        <v>67</v>
      </c>
      <c r="I501">
        <f>VLOOKUP(Demand_Data___Hourly_OverviewSearch_1_csv[[#This Row],[Date]],Supply_Data___Hourly_DriverActivity_1_csv__3[#All],2,FALSE)</f>
        <v>20</v>
      </c>
      <c r="J501">
        <f>VLOOKUP(Demand_Data___Hourly_OverviewSearch_1_csv[[#This Row],[Date]],Supply_Data___Hourly_DriverActivity_1_csv__3[#All],3,FALSE)</f>
        <v>8</v>
      </c>
      <c r="K501">
        <f>VLOOKUP(Demand_Data___Hourly_OverviewSearch_1_csv[[#This Row],[Date]],Supply_Data___Hourly_DriverActivity_1_csv__3[#All],4,FALSE)</f>
        <v>0</v>
      </c>
      <c r="L501">
        <f>VLOOKUP(Demand_Data___Hourly_OverviewSearch_1_csv[[#This Row],[Date]],Supply_Data___Hourly_DriverActivity_1_csv__3[#All],5,FALSE)</f>
        <v>8</v>
      </c>
      <c r="M501">
        <f>VLOOKUP(Demand_Data___Hourly_OverviewSearch_1_csv[[#This Row],[Date]],Supply_Data___Hourly_DriverActivity_1_csv__3[#All],6,FALSE)</f>
        <v>0.4</v>
      </c>
      <c r="N501">
        <f>VLOOKUP(Demand_Data___Hourly_OverviewSearch_1_csv[[#This Row],[Date]],Supply_Data___Hourly_DriverActivity_1_csv__3[#All],7,FALSE)</f>
        <v>0</v>
      </c>
      <c r="O501">
        <f>VLOOKUP(Demand_Data___Hourly_OverviewSearch_1_csv[[#This Row],[Date]],Supply_Data___Hourly_DriverActivity_1_csv__3[#All],8,FALSE)</f>
        <v>0</v>
      </c>
      <c r="P501">
        <f>(Demand_Data___Hourly_OverviewSearch_1_csv[[#This Row],[People saw 0 cars (unique)]]+Demand_Data___Hourly_OverviewSearch_1_csv[[#This Row],[People saw +1 cars (unique)]])</f>
        <v>6</v>
      </c>
      <c r="Q501" s="143">
        <f t="shared" si="31"/>
        <v>8</v>
      </c>
    </row>
    <row r="502" spans="1:17" x14ac:dyDescent="0.3">
      <c r="A502" t="s">
        <v>509</v>
      </c>
      <c r="B502" t="str">
        <f t="shared" si="28"/>
        <v xml:space="preserve"> 02</v>
      </c>
      <c r="C502">
        <f t="shared" si="29"/>
        <v>1</v>
      </c>
      <c r="D502" t="str">
        <f t="shared" si="30"/>
        <v xml:space="preserve">2016-11-28 </v>
      </c>
      <c r="E502" t="str">
        <f>TEXT(Demand_Data___Hourly_OverviewSearch_1_csv[[#This Row],[Day]],"dddd")</f>
        <v>Sunday</v>
      </c>
      <c r="F502">
        <v>2</v>
      </c>
      <c r="G502">
        <v>9</v>
      </c>
      <c r="H502">
        <v>82</v>
      </c>
      <c r="I502">
        <f>VLOOKUP(Demand_Data___Hourly_OverviewSearch_1_csv[[#This Row],[Date]],Supply_Data___Hourly_DriverActivity_1_csv__3[#All],2,FALSE)</f>
        <v>21</v>
      </c>
      <c r="J502">
        <f>VLOOKUP(Demand_Data___Hourly_OverviewSearch_1_csv[[#This Row],[Date]],Supply_Data___Hourly_DriverActivity_1_csv__3[#All],3,FALSE)</f>
        <v>10</v>
      </c>
      <c r="K502">
        <f>VLOOKUP(Demand_Data___Hourly_OverviewSearch_1_csv[[#This Row],[Date]],Supply_Data___Hourly_DriverActivity_1_csv__3[#All],4,FALSE)</f>
        <v>1</v>
      </c>
      <c r="L502">
        <f>VLOOKUP(Demand_Data___Hourly_OverviewSearch_1_csv[[#This Row],[Date]],Supply_Data___Hourly_DriverActivity_1_csv__3[#All],5,FALSE)</f>
        <v>8</v>
      </c>
      <c r="M502">
        <f>VLOOKUP(Demand_Data___Hourly_OverviewSearch_1_csv[[#This Row],[Date]],Supply_Data___Hourly_DriverActivity_1_csv__3[#All],6,FALSE)</f>
        <v>0.5</v>
      </c>
      <c r="N502">
        <f>VLOOKUP(Demand_Data___Hourly_OverviewSearch_1_csv[[#This Row],[Date]],Supply_Data___Hourly_DriverActivity_1_csv__3[#All],7,FALSE)</f>
        <v>0.3</v>
      </c>
      <c r="O502">
        <f>VLOOKUP(Demand_Data___Hourly_OverviewSearch_1_csv[[#This Row],[Date]],Supply_Data___Hourly_DriverActivity_1_csv__3[#All],8,FALSE)</f>
        <v>3</v>
      </c>
      <c r="P502">
        <f>(Demand_Data___Hourly_OverviewSearch_1_csv[[#This Row],[People saw 0 cars (unique)]]+Demand_Data___Hourly_OverviewSearch_1_csv[[#This Row],[People saw +1 cars (unique)]])</f>
        <v>11</v>
      </c>
      <c r="Q502" s="143">
        <f t="shared" si="31"/>
        <v>9</v>
      </c>
    </row>
    <row r="503" spans="1:17" x14ac:dyDescent="0.3">
      <c r="A503" t="s">
        <v>510</v>
      </c>
      <c r="B503" t="str">
        <f t="shared" si="28"/>
        <v xml:space="preserve"> 01</v>
      </c>
      <c r="C503">
        <f t="shared" si="29"/>
        <v>1</v>
      </c>
      <c r="D503" t="str">
        <f t="shared" si="30"/>
        <v xml:space="preserve">2016-11-28 </v>
      </c>
      <c r="E503" t="str">
        <f>TEXT(Demand_Data___Hourly_OverviewSearch_1_csv[[#This Row],[Day]],"dddd")</f>
        <v>Sunday</v>
      </c>
      <c r="F503">
        <v>3</v>
      </c>
      <c r="G503">
        <v>12</v>
      </c>
      <c r="H503">
        <v>80</v>
      </c>
      <c r="I503">
        <f>VLOOKUP(Demand_Data___Hourly_OverviewSearch_1_csv[[#This Row],[Date]],Supply_Data___Hourly_DriverActivity_1_csv__3[#All],2,FALSE)</f>
        <v>31</v>
      </c>
      <c r="J503">
        <f>VLOOKUP(Demand_Data___Hourly_OverviewSearch_1_csv[[#This Row],[Date]],Supply_Data___Hourly_DriverActivity_1_csv__3[#All],3,FALSE)</f>
        <v>12</v>
      </c>
      <c r="K503">
        <f>VLOOKUP(Demand_Data___Hourly_OverviewSearch_1_csv[[#This Row],[Date]],Supply_Data___Hourly_DriverActivity_1_csv__3[#All],4,FALSE)</f>
        <v>1</v>
      </c>
      <c r="L503">
        <f>VLOOKUP(Demand_Data___Hourly_OverviewSearch_1_csv[[#This Row],[Date]],Supply_Data___Hourly_DriverActivity_1_csv__3[#All],5,FALSE)</f>
        <v>11</v>
      </c>
      <c r="M503">
        <f>VLOOKUP(Demand_Data___Hourly_OverviewSearch_1_csv[[#This Row],[Date]],Supply_Data___Hourly_DriverActivity_1_csv__3[#All],6,FALSE)</f>
        <v>0.4</v>
      </c>
      <c r="N503">
        <f>VLOOKUP(Demand_Data___Hourly_OverviewSearch_1_csv[[#This Row],[Date]],Supply_Data___Hourly_DriverActivity_1_csv__3[#All],7,FALSE)</f>
        <v>0.33</v>
      </c>
      <c r="O503">
        <f>VLOOKUP(Demand_Data___Hourly_OverviewSearch_1_csv[[#This Row],[Date]],Supply_Data___Hourly_DriverActivity_1_csv__3[#All],8,FALSE)</f>
        <v>4</v>
      </c>
      <c r="P503">
        <f>(Demand_Data___Hourly_OverviewSearch_1_csv[[#This Row],[People saw 0 cars (unique)]]+Demand_Data___Hourly_OverviewSearch_1_csv[[#This Row],[People saw +1 cars (unique)]])</f>
        <v>15</v>
      </c>
      <c r="Q503" s="143">
        <f t="shared" si="31"/>
        <v>11</v>
      </c>
    </row>
    <row r="504" spans="1:17" x14ac:dyDescent="0.3">
      <c r="A504" t="s">
        <v>511</v>
      </c>
      <c r="B504" t="str">
        <f t="shared" si="28"/>
        <v xml:space="preserve"> 00</v>
      </c>
      <c r="C504">
        <f t="shared" si="29"/>
        <v>1</v>
      </c>
      <c r="D504" t="str">
        <f t="shared" si="30"/>
        <v xml:space="preserve">2016-11-28 </v>
      </c>
      <c r="E504" t="str">
        <f>TEXT(Demand_Data___Hourly_OverviewSearch_1_csv[[#This Row],[Day]],"dddd")</f>
        <v>Sunday</v>
      </c>
      <c r="F504">
        <v>1</v>
      </c>
      <c r="G504">
        <v>17</v>
      </c>
      <c r="H504">
        <v>94</v>
      </c>
      <c r="I504">
        <f>VLOOKUP(Demand_Data___Hourly_OverviewSearch_1_csv[[#This Row],[Date]],Supply_Data___Hourly_DriverActivity_1_csv__3[#All],2,FALSE)</f>
        <v>43</v>
      </c>
      <c r="J504">
        <f>VLOOKUP(Demand_Data___Hourly_OverviewSearch_1_csv[[#This Row],[Date]],Supply_Data___Hourly_DriverActivity_1_csv__3[#All],3,FALSE)</f>
        <v>17</v>
      </c>
      <c r="K504">
        <f>VLOOKUP(Demand_Data___Hourly_OverviewSearch_1_csv[[#This Row],[Date]],Supply_Data___Hourly_DriverActivity_1_csv__3[#All],4,FALSE)</f>
        <v>1</v>
      </c>
      <c r="L504">
        <f>VLOOKUP(Demand_Data___Hourly_OverviewSearch_1_csv[[#This Row],[Date]],Supply_Data___Hourly_DriverActivity_1_csv__3[#All],5,FALSE)</f>
        <v>16</v>
      </c>
      <c r="M504">
        <f>VLOOKUP(Demand_Data___Hourly_OverviewSearch_1_csv[[#This Row],[Date]],Supply_Data___Hourly_DriverActivity_1_csv__3[#All],6,FALSE)</f>
        <v>0.4</v>
      </c>
      <c r="N504">
        <f>VLOOKUP(Demand_Data___Hourly_OverviewSearch_1_csv[[#This Row],[Date]],Supply_Data___Hourly_DriverActivity_1_csv__3[#All],7,FALSE)</f>
        <v>0.18</v>
      </c>
      <c r="O504">
        <f>VLOOKUP(Demand_Data___Hourly_OverviewSearch_1_csv[[#This Row],[Date]],Supply_Data___Hourly_DriverActivity_1_csv__3[#All],8,FALSE)</f>
        <v>3</v>
      </c>
      <c r="P504">
        <f>(Demand_Data___Hourly_OverviewSearch_1_csv[[#This Row],[People saw 0 cars (unique)]]+Demand_Data___Hourly_OverviewSearch_1_csv[[#This Row],[People saw +1 cars (unique)]])</f>
        <v>18</v>
      </c>
      <c r="Q504" s="143">
        <f t="shared" si="31"/>
        <v>16</v>
      </c>
    </row>
    <row r="505" spans="1:17" x14ac:dyDescent="0.3">
      <c r="A505" t="s">
        <v>512</v>
      </c>
      <c r="B505" t="str">
        <f t="shared" si="28"/>
        <v xml:space="preserve"> 23</v>
      </c>
      <c r="C505">
        <f t="shared" si="29"/>
        <v>7</v>
      </c>
      <c r="D505" t="str">
        <f t="shared" si="30"/>
        <v xml:space="preserve">2016-11-27 </v>
      </c>
      <c r="E505" t="str">
        <f>TEXT(Demand_Data___Hourly_OverviewSearch_1_csv[[#This Row],[Day]],"dddd")</f>
        <v>Saturday</v>
      </c>
      <c r="F505">
        <v>6</v>
      </c>
      <c r="G505">
        <v>34</v>
      </c>
      <c r="H505">
        <v>85</v>
      </c>
      <c r="I505">
        <f>VLOOKUP(Demand_Data___Hourly_OverviewSearch_1_csv[[#This Row],[Date]],Supply_Data___Hourly_DriverActivity_1_csv__3[#All],2,FALSE)</f>
        <v>58</v>
      </c>
      <c r="J505">
        <f>VLOOKUP(Demand_Data___Hourly_OverviewSearch_1_csv[[#This Row],[Date]],Supply_Data___Hourly_DriverActivity_1_csv__3[#All],3,FALSE)</f>
        <v>21</v>
      </c>
      <c r="K505">
        <f>VLOOKUP(Demand_Data___Hourly_OverviewSearch_1_csv[[#This Row],[Date]],Supply_Data___Hourly_DriverActivity_1_csv__3[#All],4,FALSE)</f>
        <v>5</v>
      </c>
      <c r="L505">
        <f>VLOOKUP(Demand_Data___Hourly_OverviewSearch_1_csv[[#This Row],[Date]],Supply_Data___Hourly_DriverActivity_1_csv__3[#All],5,FALSE)</f>
        <v>16</v>
      </c>
      <c r="M505">
        <f>VLOOKUP(Demand_Data___Hourly_OverviewSearch_1_csv[[#This Row],[Date]],Supply_Data___Hourly_DriverActivity_1_csv__3[#All],6,FALSE)</f>
        <v>0.4</v>
      </c>
      <c r="N505">
        <f>VLOOKUP(Demand_Data___Hourly_OverviewSearch_1_csv[[#This Row],[Date]],Supply_Data___Hourly_DriverActivity_1_csv__3[#All],7,FALSE)</f>
        <v>0.71</v>
      </c>
      <c r="O505">
        <f>VLOOKUP(Demand_Data___Hourly_OverviewSearch_1_csv[[#This Row],[Date]],Supply_Data___Hourly_DriverActivity_1_csv__3[#All],8,FALSE)</f>
        <v>15</v>
      </c>
      <c r="P505">
        <f>(Demand_Data___Hourly_OverviewSearch_1_csv[[#This Row],[People saw 0 cars (unique)]]+Demand_Data___Hourly_OverviewSearch_1_csv[[#This Row],[People saw +1 cars (unique)]])</f>
        <v>40</v>
      </c>
      <c r="Q505" s="143">
        <f t="shared" si="31"/>
        <v>16</v>
      </c>
    </row>
    <row r="506" spans="1:17" x14ac:dyDescent="0.3">
      <c r="A506" t="s">
        <v>513</v>
      </c>
      <c r="B506" t="str">
        <f t="shared" si="28"/>
        <v xml:space="preserve"> 22</v>
      </c>
      <c r="C506">
        <f t="shared" si="29"/>
        <v>7</v>
      </c>
      <c r="D506" t="str">
        <f t="shared" si="30"/>
        <v xml:space="preserve">2016-11-27 </v>
      </c>
      <c r="E506" t="str">
        <f>TEXT(Demand_Data___Hourly_OverviewSearch_1_csv[[#This Row],[Day]],"dddd")</f>
        <v>Saturday</v>
      </c>
      <c r="F506">
        <v>3</v>
      </c>
      <c r="G506">
        <v>45</v>
      </c>
      <c r="H506">
        <v>94</v>
      </c>
      <c r="I506">
        <f>VLOOKUP(Demand_Data___Hourly_OverviewSearch_1_csv[[#This Row],[Date]],Supply_Data___Hourly_DriverActivity_1_csv__3[#All],2,FALSE)</f>
        <v>66</v>
      </c>
      <c r="J506">
        <f>VLOOKUP(Demand_Data___Hourly_OverviewSearch_1_csv[[#This Row],[Date]],Supply_Data___Hourly_DriverActivity_1_csv__3[#All],3,FALSE)</f>
        <v>28</v>
      </c>
      <c r="K506">
        <f>VLOOKUP(Demand_Data___Hourly_OverviewSearch_1_csv[[#This Row],[Date]],Supply_Data___Hourly_DriverActivity_1_csv__3[#All],4,FALSE)</f>
        <v>5</v>
      </c>
      <c r="L506">
        <f>VLOOKUP(Demand_Data___Hourly_OverviewSearch_1_csv[[#This Row],[Date]],Supply_Data___Hourly_DriverActivity_1_csv__3[#All],5,FALSE)</f>
        <v>23</v>
      </c>
      <c r="M506">
        <f>VLOOKUP(Demand_Data___Hourly_OverviewSearch_1_csv[[#This Row],[Date]],Supply_Data___Hourly_DriverActivity_1_csv__3[#All],6,FALSE)</f>
        <v>0.4</v>
      </c>
      <c r="N506">
        <f>VLOOKUP(Demand_Data___Hourly_OverviewSearch_1_csv[[#This Row],[Date]],Supply_Data___Hourly_DriverActivity_1_csv__3[#All],7,FALSE)</f>
        <v>0.56999999999999995</v>
      </c>
      <c r="O506">
        <f>VLOOKUP(Demand_Data___Hourly_OverviewSearch_1_csv[[#This Row],[Date]],Supply_Data___Hourly_DriverActivity_1_csv__3[#All],8,FALSE)</f>
        <v>16</v>
      </c>
      <c r="P506">
        <f>(Demand_Data___Hourly_OverviewSearch_1_csv[[#This Row],[People saw 0 cars (unique)]]+Demand_Data___Hourly_OverviewSearch_1_csv[[#This Row],[People saw +1 cars (unique)]])</f>
        <v>48</v>
      </c>
      <c r="Q506" s="143">
        <f t="shared" si="31"/>
        <v>23</v>
      </c>
    </row>
    <row r="507" spans="1:17" x14ac:dyDescent="0.3">
      <c r="A507" t="s">
        <v>514</v>
      </c>
      <c r="B507" t="str">
        <f t="shared" si="28"/>
        <v xml:space="preserve"> 21</v>
      </c>
      <c r="C507">
        <f t="shared" si="29"/>
        <v>7</v>
      </c>
      <c r="D507" t="str">
        <f t="shared" si="30"/>
        <v xml:space="preserve">2016-11-27 </v>
      </c>
      <c r="E507" t="str">
        <f>TEXT(Demand_Data___Hourly_OverviewSearch_1_csv[[#This Row],[Day]],"dddd")</f>
        <v>Saturday</v>
      </c>
      <c r="F507">
        <v>5</v>
      </c>
      <c r="G507">
        <v>48</v>
      </c>
      <c r="H507">
        <v>91</v>
      </c>
      <c r="I507">
        <f>VLOOKUP(Demand_Data___Hourly_OverviewSearch_1_csv[[#This Row],[Date]],Supply_Data___Hourly_DriverActivity_1_csv__3[#All],2,FALSE)</f>
        <v>85</v>
      </c>
      <c r="J507">
        <f>VLOOKUP(Demand_Data___Hourly_OverviewSearch_1_csv[[#This Row],[Date]],Supply_Data___Hourly_DriverActivity_1_csv__3[#All],3,FALSE)</f>
        <v>36</v>
      </c>
      <c r="K507">
        <f>VLOOKUP(Demand_Data___Hourly_OverviewSearch_1_csv[[#This Row],[Date]],Supply_Data___Hourly_DriverActivity_1_csv__3[#All],4,FALSE)</f>
        <v>6</v>
      </c>
      <c r="L507">
        <f>VLOOKUP(Demand_Data___Hourly_OverviewSearch_1_csv[[#This Row],[Date]],Supply_Data___Hourly_DriverActivity_1_csv__3[#All],5,FALSE)</f>
        <v>30</v>
      </c>
      <c r="M507">
        <f>VLOOKUP(Demand_Data___Hourly_OverviewSearch_1_csv[[#This Row],[Date]],Supply_Data___Hourly_DriverActivity_1_csv__3[#All],6,FALSE)</f>
        <v>0.4</v>
      </c>
      <c r="N507">
        <f>VLOOKUP(Demand_Data___Hourly_OverviewSearch_1_csv[[#This Row],[Date]],Supply_Data___Hourly_DriverActivity_1_csv__3[#All],7,FALSE)</f>
        <v>0.53</v>
      </c>
      <c r="O507">
        <f>VLOOKUP(Demand_Data___Hourly_OverviewSearch_1_csv[[#This Row],[Date]],Supply_Data___Hourly_DriverActivity_1_csv__3[#All],8,FALSE)</f>
        <v>19</v>
      </c>
      <c r="P507">
        <f>(Demand_Data___Hourly_OverviewSearch_1_csv[[#This Row],[People saw 0 cars (unique)]]+Demand_Data___Hourly_OverviewSearch_1_csv[[#This Row],[People saw +1 cars (unique)]])</f>
        <v>53</v>
      </c>
      <c r="Q507" s="143">
        <f t="shared" si="31"/>
        <v>30</v>
      </c>
    </row>
    <row r="508" spans="1:17" x14ac:dyDescent="0.3">
      <c r="A508" t="s">
        <v>515</v>
      </c>
      <c r="B508" t="str">
        <f t="shared" si="28"/>
        <v xml:space="preserve"> 20</v>
      </c>
      <c r="C508">
        <f t="shared" si="29"/>
        <v>7</v>
      </c>
      <c r="D508" t="str">
        <f t="shared" si="30"/>
        <v xml:space="preserve">2016-11-27 </v>
      </c>
      <c r="E508" t="str">
        <f>TEXT(Demand_Data___Hourly_OverviewSearch_1_csv[[#This Row],[Day]],"dddd")</f>
        <v>Saturday</v>
      </c>
      <c r="F508">
        <v>4</v>
      </c>
      <c r="G508">
        <v>41</v>
      </c>
      <c r="H508">
        <v>91</v>
      </c>
      <c r="I508">
        <f>VLOOKUP(Demand_Data___Hourly_OverviewSearch_1_csv[[#This Row],[Date]],Supply_Data___Hourly_DriverActivity_1_csv__3[#All],2,FALSE)</f>
        <v>84</v>
      </c>
      <c r="J508">
        <f>VLOOKUP(Demand_Data___Hourly_OverviewSearch_1_csv[[#This Row],[Date]],Supply_Data___Hourly_DriverActivity_1_csv__3[#All],3,FALSE)</f>
        <v>41</v>
      </c>
      <c r="K508">
        <f>VLOOKUP(Demand_Data___Hourly_OverviewSearch_1_csv[[#This Row],[Date]],Supply_Data___Hourly_DriverActivity_1_csv__3[#All],4,FALSE)</f>
        <v>5</v>
      </c>
      <c r="L508">
        <f>VLOOKUP(Demand_Data___Hourly_OverviewSearch_1_csv[[#This Row],[Date]],Supply_Data___Hourly_DriverActivity_1_csv__3[#All],5,FALSE)</f>
        <v>36</v>
      </c>
      <c r="M508">
        <f>VLOOKUP(Demand_Data___Hourly_OverviewSearch_1_csv[[#This Row],[Date]],Supply_Data___Hourly_DriverActivity_1_csv__3[#All],6,FALSE)</f>
        <v>0.5</v>
      </c>
      <c r="N508">
        <f>VLOOKUP(Demand_Data___Hourly_OverviewSearch_1_csv[[#This Row],[Date]],Supply_Data___Hourly_DriverActivity_1_csv__3[#All],7,FALSE)</f>
        <v>0.32</v>
      </c>
      <c r="O508">
        <f>VLOOKUP(Demand_Data___Hourly_OverviewSearch_1_csv[[#This Row],[Date]],Supply_Data___Hourly_DriverActivity_1_csv__3[#All],8,FALSE)</f>
        <v>13</v>
      </c>
      <c r="P508">
        <f>(Demand_Data___Hourly_OverviewSearch_1_csv[[#This Row],[People saw 0 cars (unique)]]+Demand_Data___Hourly_OverviewSearch_1_csv[[#This Row],[People saw +1 cars (unique)]])</f>
        <v>45</v>
      </c>
      <c r="Q508" s="143">
        <f t="shared" si="31"/>
        <v>36</v>
      </c>
    </row>
    <row r="509" spans="1:17" x14ac:dyDescent="0.3">
      <c r="A509" t="s">
        <v>516</v>
      </c>
      <c r="B509" t="str">
        <f t="shared" si="28"/>
        <v xml:space="preserve"> 19</v>
      </c>
      <c r="C509">
        <f t="shared" si="29"/>
        <v>7</v>
      </c>
      <c r="D509" t="str">
        <f t="shared" si="30"/>
        <v xml:space="preserve">2016-11-27 </v>
      </c>
      <c r="E509" t="str">
        <f>TEXT(Demand_Data___Hourly_OverviewSearch_1_csv[[#This Row],[Day]],"dddd")</f>
        <v>Saturday</v>
      </c>
      <c r="F509">
        <v>5</v>
      </c>
      <c r="G509">
        <v>34</v>
      </c>
      <c r="H509">
        <v>87</v>
      </c>
      <c r="I509">
        <f>VLOOKUP(Demand_Data___Hourly_OverviewSearch_1_csv[[#This Row],[Date]],Supply_Data___Hourly_DriverActivity_1_csv__3[#All],2,FALSE)</f>
        <v>89</v>
      </c>
      <c r="J509">
        <f>VLOOKUP(Demand_Data___Hourly_OverviewSearch_1_csv[[#This Row],[Date]],Supply_Data___Hourly_DriverActivity_1_csv__3[#All],3,FALSE)</f>
        <v>37</v>
      </c>
      <c r="K509">
        <f>VLOOKUP(Demand_Data___Hourly_OverviewSearch_1_csv[[#This Row],[Date]],Supply_Data___Hourly_DriverActivity_1_csv__3[#All],4,FALSE)</f>
        <v>4</v>
      </c>
      <c r="L509">
        <f>VLOOKUP(Demand_Data___Hourly_OverviewSearch_1_csv[[#This Row],[Date]],Supply_Data___Hourly_DriverActivity_1_csv__3[#All],5,FALSE)</f>
        <v>33</v>
      </c>
      <c r="M509">
        <f>VLOOKUP(Demand_Data___Hourly_OverviewSearch_1_csv[[#This Row],[Date]],Supply_Data___Hourly_DriverActivity_1_csv__3[#All],6,FALSE)</f>
        <v>0.4</v>
      </c>
      <c r="N509">
        <f>VLOOKUP(Demand_Data___Hourly_OverviewSearch_1_csv[[#This Row],[Date]],Supply_Data___Hourly_DriverActivity_1_csv__3[#All],7,FALSE)</f>
        <v>0.32</v>
      </c>
      <c r="O509">
        <f>VLOOKUP(Demand_Data___Hourly_OverviewSearch_1_csv[[#This Row],[Date]],Supply_Data___Hourly_DriverActivity_1_csv__3[#All],8,FALSE)</f>
        <v>12</v>
      </c>
      <c r="P509">
        <f>(Demand_Data___Hourly_OverviewSearch_1_csv[[#This Row],[People saw 0 cars (unique)]]+Demand_Data___Hourly_OverviewSearch_1_csv[[#This Row],[People saw +1 cars (unique)]])</f>
        <v>39</v>
      </c>
      <c r="Q509" s="143">
        <f t="shared" si="31"/>
        <v>33</v>
      </c>
    </row>
    <row r="510" spans="1:17" x14ac:dyDescent="0.3">
      <c r="A510" t="s">
        <v>517</v>
      </c>
      <c r="B510" t="str">
        <f t="shared" si="28"/>
        <v xml:space="preserve"> 18</v>
      </c>
      <c r="C510">
        <f t="shared" si="29"/>
        <v>7</v>
      </c>
      <c r="D510" t="str">
        <f t="shared" si="30"/>
        <v xml:space="preserve">2016-11-27 </v>
      </c>
      <c r="E510" t="str">
        <f>TEXT(Demand_Data___Hourly_OverviewSearch_1_csv[[#This Row],[Day]],"dddd")</f>
        <v>Saturday</v>
      </c>
      <c r="F510">
        <v>5</v>
      </c>
      <c r="G510">
        <v>40</v>
      </c>
      <c r="H510">
        <v>89</v>
      </c>
      <c r="I510">
        <f>VLOOKUP(Demand_Data___Hourly_OverviewSearch_1_csv[[#This Row],[Date]],Supply_Data___Hourly_DriverActivity_1_csv__3[#All],2,FALSE)</f>
        <v>83</v>
      </c>
      <c r="J510">
        <f>VLOOKUP(Demand_Data___Hourly_OverviewSearch_1_csv[[#This Row],[Date]],Supply_Data___Hourly_DriverActivity_1_csv__3[#All],3,FALSE)</f>
        <v>33</v>
      </c>
      <c r="K510">
        <f>VLOOKUP(Demand_Data___Hourly_OverviewSearch_1_csv[[#This Row],[Date]],Supply_Data___Hourly_DriverActivity_1_csv__3[#All],4,FALSE)</f>
        <v>8</v>
      </c>
      <c r="L510">
        <f>VLOOKUP(Demand_Data___Hourly_OverviewSearch_1_csv[[#This Row],[Date]],Supply_Data___Hourly_DriverActivity_1_csv__3[#All],5,FALSE)</f>
        <v>26</v>
      </c>
      <c r="M510">
        <f>VLOOKUP(Demand_Data___Hourly_OverviewSearch_1_csv[[#This Row],[Date]],Supply_Data___Hourly_DriverActivity_1_csv__3[#All],6,FALSE)</f>
        <v>0.4</v>
      </c>
      <c r="N510">
        <f>VLOOKUP(Demand_Data___Hourly_OverviewSearch_1_csv[[#This Row],[Date]],Supply_Data___Hourly_DriverActivity_1_csv__3[#All],7,FALSE)</f>
        <v>0.21</v>
      </c>
      <c r="O510">
        <f>VLOOKUP(Demand_Data___Hourly_OverviewSearch_1_csv[[#This Row],[Date]],Supply_Data___Hourly_DriverActivity_1_csv__3[#All],8,FALSE)</f>
        <v>7</v>
      </c>
      <c r="P510">
        <f>(Demand_Data___Hourly_OverviewSearch_1_csv[[#This Row],[People saw 0 cars (unique)]]+Demand_Data___Hourly_OverviewSearch_1_csv[[#This Row],[People saw +1 cars (unique)]])</f>
        <v>45</v>
      </c>
      <c r="Q510" s="143">
        <f t="shared" si="31"/>
        <v>25</v>
      </c>
    </row>
    <row r="511" spans="1:17" x14ac:dyDescent="0.3">
      <c r="A511" t="s">
        <v>518</v>
      </c>
      <c r="B511" t="str">
        <f t="shared" si="28"/>
        <v xml:space="preserve"> 17</v>
      </c>
      <c r="C511">
        <f t="shared" si="29"/>
        <v>7</v>
      </c>
      <c r="D511" t="str">
        <f t="shared" si="30"/>
        <v xml:space="preserve">2016-11-27 </v>
      </c>
      <c r="E511" t="str">
        <f>TEXT(Demand_Data___Hourly_OverviewSearch_1_csv[[#This Row],[Day]],"dddd")</f>
        <v>Saturday</v>
      </c>
      <c r="F511">
        <v>4</v>
      </c>
      <c r="G511">
        <v>44</v>
      </c>
      <c r="H511">
        <v>92</v>
      </c>
      <c r="I511">
        <f>VLOOKUP(Demand_Data___Hourly_OverviewSearch_1_csv[[#This Row],[Date]],Supply_Data___Hourly_DriverActivity_1_csv__3[#All],2,FALSE)</f>
        <v>84</v>
      </c>
      <c r="J511">
        <f>VLOOKUP(Demand_Data___Hourly_OverviewSearch_1_csv[[#This Row],[Date]],Supply_Data___Hourly_DriverActivity_1_csv__3[#All],3,FALSE)</f>
        <v>34</v>
      </c>
      <c r="K511">
        <f>VLOOKUP(Demand_Data___Hourly_OverviewSearch_1_csv[[#This Row],[Date]],Supply_Data___Hourly_DriverActivity_1_csv__3[#All],4,FALSE)</f>
        <v>4</v>
      </c>
      <c r="L511">
        <f>VLOOKUP(Demand_Data___Hourly_OverviewSearch_1_csv[[#This Row],[Date]],Supply_Data___Hourly_DriverActivity_1_csv__3[#All],5,FALSE)</f>
        <v>30</v>
      </c>
      <c r="M511">
        <f>VLOOKUP(Demand_Data___Hourly_OverviewSearch_1_csv[[#This Row],[Date]],Supply_Data___Hourly_DriverActivity_1_csv__3[#All],6,FALSE)</f>
        <v>0.4</v>
      </c>
      <c r="N511">
        <f>VLOOKUP(Demand_Data___Hourly_OverviewSearch_1_csv[[#This Row],[Date]],Supply_Data___Hourly_DriverActivity_1_csv__3[#All],7,FALSE)</f>
        <v>0.56000000000000005</v>
      </c>
      <c r="O511">
        <f>VLOOKUP(Demand_Data___Hourly_OverviewSearch_1_csv[[#This Row],[Date]],Supply_Data___Hourly_DriverActivity_1_csv__3[#All],8,FALSE)</f>
        <v>19</v>
      </c>
      <c r="P511">
        <f>(Demand_Data___Hourly_OverviewSearch_1_csv[[#This Row],[People saw 0 cars (unique)]]+Demand_Data___Hourly_OverviewSearch_1_csv[[#This Row],[People saw +1 cars (unique)]])</f>
        <v>48</v>
      </c>
      <c r="Q511" s="143">
        <f t="shared" si="31"/>
        <v>30</v>
      </c>
    </row>
    <row r="512" spans="1:17" x14ac:dyDescent="0.3">
      <c r="A512" t="s">
        <v>519</v>
      </c>
      <c r="B512" t="str">
        <f t="shared" si="28"/>
        <v xml:space="preserve"> 16</v>
      </c>
      <c r="C512">
        <f t="shared" si="29"/>
        <v>7</v>
      </c>
      <c r="D512" t="str">
        <f t="shared" si="30"/>
        <v xml:space="preserve">2016-11-27 </v>
      </c>
      <c r="E512" t="str">
        <f>TEXT(Demand_Data___Hourly_OverviewSearch_1_csv[[#This Row],[Day]],"dddd")</f>
        <v>Saturday</v>
      </c>
      <c r="F512">
        <v>7</v>
      </c>
      <c r="G512">
        <v>25</v>
      </c>
      <c r="H512">
        <v>78</v>
      </c>
      <c r="I512">
        <f>VLOOKUP(Demand_Data___Hourly_OverviewSearch_1_csv[[#This Row],[Date]],Supply_Data___Hourly_DriverActivity_1_csv__3[#All],2,FALSE)</f>
        <v>75</v>
      </c>
      <c r="J512">
        <f>VLOOKUP(Demand_Data___Hourly_OverviewSearch_1_csv[[#This Row],[Date]],Supply_Data___Hourly_DriverActivity_1_csv__3[#All],3,FALSE)</f>
        <v>30</v>
      </c>
      <c r="K512">
        <f>VLOOKUP(Demand_Data___Hourly_OverviewSearch_1_csv[[#This Row],[Date]],Supply_Data___Hourly_DriverActivity_1_csv__3[#All],4,FALSE)</f>
        <v>4</v>
      </c>
      <c r="L512">
        <f>VLOOKUP(Demand_Data___Hourly_OverviewSearch_1_csv[[#This Row],[Date]],Supply_Data___Hourly_DriverActivity_1_csv__3[#All],5,FALSE)</f>
        <v>26</v>
      </c>
      <c r="M512">
        <f>VLOOKUP(Demand_Data___Hourly_OverviewSearch_1_csv[[#This Row],[Date]],Supply_Data___Hourly_DriverActivity_1_csv__3[#All],6,FALSE)</f>
        <v>0.4</v>
      </c>
      <c r="N512">
        <f>VLOOKUP(Demand_Data___Hourly_OverviewSearch_1_csv[[#This Row],[Date]],Supply_Data___Hourly_DriverActivity_1_csv__3[#All],7,FALSE)</f>
        <v>0.3</v>
      </c>
      <c r="O512">
        <f>VLOOKUP(Demand_Data___Hourly_OverviewSearch_1_csv[[#This Row],[Date]],Supply_Data___Hourly_DriverActivity_1_csv__3[#All],8,FALSE)</f>
        <v>9</v>
      </c>
      <c r="P512">
        <f>(Demand_Data___Hourly_OverviewSearch_1_csv[[#This Row],[People saw 0 cars (unique)]]+Demand_Data___Hourly_OverviewSearch_1_csv[[#This Row],[People saw +1 cars (unique)]])</f>
        <v>32</v>
      </c>
      <c r="Q512" s="143">
        <f t="shared" si="31"/>
        <v>26</v>
      </c>
    </row>
    <row r="513" spans="1:17" x14ac:dyDescent="0.3">
      <c r="A513" t="s">
        <v>520</v>
      </c>
      <c r="B513" t="str">
        <f t="shared" si="28"/>
        <v xml:space="preserve"> 15</v>
      </c>
      <c r="C513">
        <f t="shared" si="29"/>
        <v>7</v>
      </c>
      <c r="D513" t="str">
        <f t="shared" si="30"/>
        <v xml:space="preserve">2016-11-27 </v>
      </c>
      <c r="E513" t="str">
        <f>TEXT(Demand_Data___Hourly_OverviewSearch_1_csv[[#This Row],[Day]],"dddd")</f>
        <v>Saturday</v>
      </c>
      <c r="F513">
        <v>2</v>
      </c>
      <c r="G513">
        <v>30</v>
      </c>
      <c r="H513">
        <v>94</v>
      </c>
      <c r="I513">
        <f>VLOOKUP(Demand_Data___Hourly_OverviewSearch_1_csv[[#This Row],[Date]],Supply_Data___Hourly_DriverActivity_1_csv__3[#All],2,FALSE)</f>
        <v>72</v>
      </c>
      <c r="J513">
        <f>VLOOKUP(Demand_Data___Hourly_OverviewSearch_1_csv[[#This Row],[Date]],Supply_Data___Hourly_DriverActivity_1_csv__3[#All],3,FALSE)</f>
        <v>31</v>
      </c>
      <c r="K513">
        <f>VLOOKUP(Demand_Data___Hourly_OverviewSearch_1_csv[[#This Row],[Date]],Supply_Data___Hourly_DriverActivity_1_csv__3[#All],4,FALSE)</f>
        <v>4</v>
      </c>
      <c r="L513">
        <f>VLOOKUP(Demand_Data___Hourly_OverviewSearch_1_csv[[#This Row],[Date]],Supply_Data___Hourly_DriverActivity_1_csv__3[#All],5,FALSE)</f>
        <v>27</v>
      </c>
      <c r="M513">
        <f>VLOOKUP(Demand_Data___Hourly_OverviewSearch_1_csv[[#This Row],[Date]],Supply_Data___Hourly_DriverActivity_1_csv__3[#All],6,FALSE)</f>
        <v>0.4</v>
      </c>
      <c r="N513">
        <f>VLOOKUP(Demand_Data___Hourly_OverviewSearch_1_csv[[#This Row],[Date]],Supply_Data___Hourly_DriverActivity_1_csv__3[#All],7,FALSE)</f>
        <v>0.42</v>
      </c>
      <c r="O513">
        <f>VLOOKUP(Demand_Data___Hourly_OverviewSearch_1_csv[[#This Row],[Date]],Supply_Data___Hourly_DriverActivity_1_csv__3[#All],8,FALSE)</f>
        <v>13</v>
      </c>
      <c r="P513">
        <f>(Demand_Data___Hourly_OverviewSearch_1_csv[[#This Row],[People saw 0 cars (unique)]]+Demand_Data___Hourly_OverviewSearch_1_csv[[#This Row],[People saw +1 cars (unique)]])</f>
        <v>32</v>
      </c>
      <c r="Q513" s="143">
        <f t="shared" si="31"/>
        <v>27</v>
      </c>
    </row>
    <row r="514" spans="1:17" x14ac:dyDescent="0.3">
      <c r="A514" t="s">
        <v>521</v>
      </c>
      <c r="B514" t="str">
        <f t="shared" ref="B514:B577" si="32">RIGHT(A514,3)</f>
        <v xml:space="preserve"> 14</v>
      </c>
      <c r="C514">
        <f t="shared" ref="C514:C577" si="33">WEEKDAY(DATEVALUE(LEFT(A514,FIND(" ",A514))),2)</f>
        <v>7</v>
      </c>
      <c r="D514" t="str">
        <f t="shared" ref="D514:D577" si="34">LEFT(A514,11)</f>
        <v xml:space="preserve">2016-11-27 </v>
      </c>
      <c r="E514" t="str">
        <f>TEXT(Demand_Data___Hourly_OverviewSearch_1_csv[[#This Row],[Day]],"dddd")</f>
        <v>Saturday</v>
      </c>
      <c r="F514">
        <v>0</v>
      </c>
      <c r="G514">
        <v>16</v>
      </c>
      <c r="H514">
        <v>100</v>
      </c>
      <c r="I514">
        <f>VLOOKUP(Demand_Data___Hourly_OverviewSearch_1_csv[[#This Row],[Date]],Supply_Data___Hourly_DriverActivity_1_csv__3[#All],2,FALSE)</f>
        <v>60</v>
      </c>
      <c r="J514">
        <f>VLOOKUP(Demand_Data___Hourly_OverviewSearch_1_csv[[#This Row],[Date]],Supply_Data___Hourly_DriverActivity_1_csv__3[#All],3,FALSE)</f>
        <v>28</v>
      </c>
      <c r="K514">
        <f>VLOOKUP(Demand_Data___Hourly_OverviewSearch_1_csv[[#This Row],[Date]],Supply_Data___Hourly_DriverActivity_1_csv__3[#All],4,FALSE)</f>
        <v>5</v>
      </c>
      <c r="L514">
        <f>VLOOKUP(Demand_Data___Hourly_OverviewSearch_1_csv[[#This Row],[Date]],Supply_Data___Hourly_DriverActivity_1_csv__3[#All],5,FALSE)</f>
        <v>23</v>
      </c>
      <c r="M514">
        <f>VLOOKUP(Demand_Data___Hourly_OverviewSearch_1_csv[[#This Row],[Date]],Supply_Data___Hourly_DriverActivity_1_csv__3[#All],6,FALSE)</f>
        <v>0.5</v>
      </c>
      <c r="N514">
        <f>VLOOKUP(Demand_Data___Hourly_OverviewSearch_1_csv[[#This Row],[Date]],Supply_Data___Hourly_DriverActivity_1_csv__3[#All],7,FALSE)</f>
        <v>0.39</v>
      </c>
      <c r="O514">
        <f>VLOOKUP(Demand_Data___Hourly_OverviewSearch_1_csv[[#This Row],[Date]],Supply_Data___Hourly_DriverActivity_1_csv__3[#All],8,FALSE)</f>
        <v>11</v>
      </c>
      <c r="P514">
        <f>(Demand_Data___Hourly_OverviewSearch_1_csv[[#This Row],[People saw 0 cars (unique)]]+Demand_Data___Hourly_OverviewSearch_1_csv[[#This Row],[People saw +1 cars (unique)]])</f>
        <v>16</v>
      </c>
      <c r="Q514" s="143">
        <f t="shared" ref="Q514:Q577" si="35">(J514-K514)</f>
        <v>23</v>
      </c>
    </row>
    <row r="515" spans="1:17" x14ac:dyDescent="0.3">
      <c r="A515" t="s">
        <v>522</v>
      </c>
      <c r="B515" t="str">
        <f t="shared" si="32"/>
        <v xml:space="preserve"> 13</v>
      </c>
      <c r="C515">
        <f t="shared" si="33"/>
        <v>7</v>
      </c>
      <c r="D515" t="str">
        <f t="shared" si="34"/>
        <v xml:space="preserve">2016-11-27 </v>
      </c>
      <c r="E515" t="str">
        <f>TEXT(Demand_Data___Hourly_OverviewSearch_1_csv[[#This Row],[Day]],"dddd")</f>
        <v>Saturday</v>
      </c>
      <c r="F515">
        <v>6</v>
      </c>
      <c r="G515">
        <v>41</v>
      </c>
      <c r="H515">
        <v>87</v>
      </c>
      <c r="I515">
        <f>VLOOKUP(Demand_Data___Hourly_OverviewSearch_1_csv[[#This Row],[Date]],Supply_Data___Hourly_DriverActivity_1_csv__3[#All],2,FALSE)</f>
        <v>48</v>
      </c>
      <c r="J515">
        <f>VLOOKUP(Demand_Data___Hourly_OverviewSearch_1_csv[[#This Row],[Date]],Supply_Data___Hourly_DriverActivity_1_csv__3[#All],3,FALSE)</f>
        <v>19</v>
      </c>
      <c r="K515">
        <f>VLOOKUP(Demand_Data___Hourly_OverviewSearch_1_csv[[#This Row],[Date]],Supply_Data___Hourly_DriverActivity_1_csv__3[#All],4,FALSE)</f>
        <v>4</v>
      </c>
      <c r="L515">
        <f>VLOOKUP(Demand_Data___Hourly_OverviewSearch_1_csv[[#This Row],[Date]],Supply_Data___Hourly_DriverActivity_1_csv__3[#All],5,FALSE)</f>
        <v>15</v>
      </c>
      <c r="M515">
        <f>VLOOKUP(Demand_Data___Hourly_OverviewSearch_1_csv[[#This Row],[Date]],Supply_Data___Hourly_DriverActivity_1_csv__3[#All],6,FALSE)</f>
        <v>0.4</v>
      </c>
      <c r="N515">
        <f>VLOOKUP(Demand_Data___Hourly_OverviewSearch_1_csv[[#This Row],[Date]],Supply_Data___Hourly_DriverActivity_1_csv__3[#All],7,FALSE)</f>
        <v>0.37</v>
      </c>
      <c r="O515">
        <f>VLOOKUP(Demand_Data___Hourly_OverviewSearch_1_csv[[#This Row],[Date]],Supply_Data___Hourly_DriverActivity_1_csv__3[#All],8,FALSE)</f>
        <v>7</v>
      </c>
      <c r="P515">
        <f>(Demand_Data___Hourly_OverviewSearch_1_csv[[#This Row],[People saw 0 cars (unique)]]+Demand_Data___Hourly_OverviewSearch_1_csv[[#This Row],[People saw +1 cars (unique)]])</f>
        <v>47</v>
      </c>
      <c r="Q515" s="143">
        <f t="shared" si="35"/>
        <v>15</v>
      </c>
    </row>
    <row r="516" spans="1:17" x14ac:dyDescent="0.3">
      <c r="A516" t="s">
        <v>523</v>
      </c>
      <c r="B516" t="str">
        <f t="shared" si="32"/>
        <v xml:space="preserve"> 12</v>
      </c>
      <c r="C516">
        <f t="shared" si="33"/>
        <v>7</v>
      </c>
      <c r="D516" t="str">
        <f t="shared" si="34"/>
        <v xml:space="preserve">2016-11-27 </v>
      </c>
      <c r="E516" t="str">
        <f>TEXT(Demand_Data___Hourly_OverviewSearch_1_csv[[#This Row],[Day]],"dddd")</f>
        <v>Saturday</v>
      </c>
      <c r="F516">
        <v>14</v>
      </c>
      <c r="G516">
        <v>34</v>
      </c>
      <c r="H516">
        <v>71</v>
      </c>
      <c r="I516">
        <f>VLOOKUP(Demand_Data___Hourly_OverviewSearch_1_csv[[#This Row],[Date]],Supply_Data___Hourly_DriverActivity_1_csv__3[#All],2,FALSE)</f>
        <v>47</v>
      </c>
      <c r="J516">
        <f>VLOOKUP(Demand_Data___Hourly_OverviewSearch_1_csv[[#This Row],[Date]],Supply_Data___Hourly_DriverActivity_1_csv__3[#All],3,FALSE)</f>
        <v>18</v>
      </c>
      <c r="K516">
        <f>VLOOKUP(Demand_Data___Hourly_OverviewSearch_1_csv[[#This Row],[Date]],Supply_Data___Hourly_DriverActivity_1_csv__3[#All],4,FALSE)</f>
        <v>5</v>
      </c>
      <c r="L516">
        <f>VLOOKUP(Demand_Data___Hourly_OverviewSearch_1_csv[[#This Row],[Date]],Supply_Data___Hourly_DriverActivity_1_csv__3[#All],5,FALSE)</f>
        <v>13</v>
      </c>
      <c r="M516">
        <f>VLOOKUP(Demand_Data___Hourly_OverviewSearch_1_csv[[#This Row],[Date]],Supply_Data___Hourly_DriverActivity_1_csv__3[#All],6,FALSE)</f>
        <v>0.4</v>
      </c>
      <c r="N516">
        <f>VLOOKUP(Demand_Data___Hourly_OverviewSearch_1_csv[[#This Row],[Date]],Supply_Data___Hourly_DriverActivity_1_csv__3[#All],7,FALSE)</f>
        <v>0.33</v>
      </c>
      <c r="O516">
        <f>VLOOKUP(Demand_Data___Hourly_OverviewSearch_1_csv[[#This Row],[Date]],Supply_Data___Hourly_DriverActivity_1_csv__3[#All],8,FALSE)</f>
        <v>6</v>
      </c>
      <c r="P516">
        <f>(Demand_Data___Hourly_OverviewSearch_1_csv[[#This Row],[People saw 0 cars (unique)]]+Demand_Data___Hourly_OverviewSearch_1_csv[[#This Row],[People saw +1 cars (unique)]])</f>
        <v>48</v>
      </c>
      <c r="Q516" s="143">
        <f t="shared" si="35"/>
        <v>13</v>
      </c>
    </row>
    <row r="517" spans="1:17" x14ac:dyDescent="0.3">
      <c r="A517" t="s">
        <v>524</v>
      </c>
      <c r="B517" t="str">
        <f t="shared" si="32"/>
        <v xml:space="preserve"> 11</v>
      </c>
      <c r="C517">
        <f t="shared" si="33"/>
        <v>7</v>
      </c>
      <c r="D517" t="str">
        <f t="shared" si="34"/>
        <v xml:space="preserve">2016-11-27 </v>
      </c>
      <c r="E517" t="str">
        <f>TEXT(Demand_Data___Hourly_OverviewSearch_1_csv[[#This Row],[Day]],"dddd")</f>
        <v>Saturday</v>
      </c>
      <c r="F517">
        <v>14</v>
      </c>
      <c r="G517">
        <v>30</v>
      </c>
      <c r="H517">
        <v>68</v>
      </c>
      <c r="I517">
        <f>VLOOKUP(Demand_Data___Hourly_OverviewSearch_1_csv[[#This Row],[Date]],Supply_Data___Hourly_DriverActivity_1_csv__3[#All],2,FALSE)</f>
        <v>42</v>
      </c>
      <c r="J517">
        <f>VLOOKUP(Demand_Data___Hourly_OverviewSearch_1_csv[[#This Row],[Date]],Supply_Data___Hourly_DriverActivity_1_csv__3[#All],3,FALSE)</f>
        <v>15</v>
      </c>
      <c r="K517">
        <f>VLOOKUP(Demand_Data___Hourly_OverviewSearch_1_csv[[#This Row],[Date]],Supply_Data___Hourly_DriverActivity_1_csv__3[#All],4,FALSE)</f>
        <v>4</v>
      </c>
      <c r="L517">
        <f>VLOOKUP(Demand_Data___Hourly_OverviewSearch_1_csv[[#This Row],[Date]],Supply_Data___Hourly_DriverActivity_1_csv__3[#All],5,FALSE)</f>
        <v>11</v>
      </c>
      <c r="M517">
        <f>VLOOKUP(Demand_Data___Hourly_OverviewSearch_1_csv[[#This Row],[Date]],Supply_Data___Hourly_DriverActivity_1_csv__3[#All],6,FALSE)</f>
        <v>0.4</v>
      </c>
      <c r="N517">
        <f>VLOOKUP(Demand_Data___Hourly_OverviewSearch_1_csv[[#This Row],[Date]],Supply_Data___Hourly_DriverActivity_1_csv__3[#All],7,FALSE)</f>
        <v>0.67</v>
      </c>
      <c r="O517">
        <f>VLOOKUP(Demand_Data___Hourly_OverviewSearch_1_csv[[#This Row],[Date]],Supply_Data___Hourly_DriverActivity_1_csv__3[#All],8,FALSE)</f>
        <v>10</v>
      </c>
      <c r="P517">
        <f>(Demand_Data___Hourly_OverviewSearch_1_csv[[#This Row],[People saw 0 cars (unique)]]+Demand_Data___Hourly_OverviewSearch_1_csv[[#This Row],[People saw +1 cars (unique)]])</f>
        <v>44</v>
      </c>
      <c r="Q517" s="143">
        <f t="shared" si="35"/>
        <v>11</v>
      </c>
    </row>
    <row r="518" spans="1:17" x14ac:dyDescent="0.3">
      <c r="A518" t="s">
        <v>525</v>
      </c>
      <c r="B518" t="str">
        <f t="shared" si="32"/>
        <v xml:space="preserve"> 10</v>
      </c>
      <c r="C518">
        <f t="shared" si="33"/>
        <v>7</v>
      </c>
      <c r="D518" t="str">
        <f t="shared" si="34"/>
        <v xml:space="preserve">2016-11-27 </v>
      </c>
      <c r="E518" t="str">
        <f>TEXT(Demand_Data___Hourly_OverviewSearch_1_csv[[#This Row],[Day]],"dddd")</f>
        <v>Saturday</v>
      </c>
      <c r="F518">
        <v>9</v>
      </c>
      <c r="G518">
        <v>21</v>
      </c>
      <c r="H518">
        <v>70</v>
      </c>
      <c r="I518">
        <f>VLOOKUP(Demand_Data___Hourly_OverviewSearch_1_csv[[#This Row],[Date]],Supply_Data___Hourly_DriverActivity_1_csv__3[#All],2,FALSE)</f>
        <v>43</v>
      </c>
      <c r="J518">
        <f>VLOOKUP(Demand_Data___Hourly_OverviewSearch_1_csv[[#This Row],[Date]],Supply_Data___Hourly_DriverActivity_1_csv__3[#All],3,FALSE)</f>
        <v>12</v>
      </c>
      <c r="K518">
        <f>VLOOKUP(Demand_Data___Hourly_OverviewSearch_1_csv[[#This Row],[Date]],Supply_Data___Hourly_DriverActivity_1_csv__3[#All],4,FALSE)</f>
        <v>3</v>
      </c>
      <c r="L518">
        <f>VLOOKUP(Demand_Data___Hourly_OverviewSearch_1_csv[[#This Row],[Date]],Supply_Data___Hourly_DriverActivity_1_csv__3[#All],5,FALSE)</f>
        <v>9</v>
      </c>
      <c r="M518">
        <f>VLOOKUP(Demand_Data___Hourly_OverviewSearch_1_csv[[#This Row],[Date]],Supply_Data___Hourly_DriverActivity_1_csv__3[#All],6,FALSE)</f>
        <v>0.3</v>
      </c>
      <c r="N518">
        <f>VLOOKUP(Demand_Data___Hourly_OverviewSearch_1_csv[[#This Row],[Date]],Supply_Data___Hourly_DriverActivity_1_csv__3[#All],7,FALSE)</f>
        <v>0.75</v>
      </c>
      <c r="O518">
        <f>VLOOKUP(Demand_Data___Hourly_OverviewSearch_1_csv[[#This Row],[Date]],Supply_Data___Hourly_DriverActivity_1_csv__3[#All],8,FALSE)</f>
        <v>9</v>
      </c>
      <c r="P518">
        <f>(Demand_Data___Hourly_OverviewSearch_1_csv[[#This Row],[People saw 0 cars (unique)]]+Demand_Data___Hourly_OverviewSearch_1_csv[[#This Row],[People saw +1 cars (unique)]])</f>
        <v>30</v>
      </c>
      <c r="Q518" s="143">
        <f t="shared" si="35"/>
        <v>9</v>
      </c>
    </row>
    <row r="519" spans="1:17" x14ac:dyDescent="0.3">
      <c r="A519" t="s">
        <v>526</v>
      </c>
      <c r="B519" t="str">
        <f t="shared" si="32"/>
        <v xml:space="preserve"> 09</v>
      </c>
      <c r="C519">
        <f t="shared" si="33"/>
        <v>7</v>
      </c>
      <c r="D519" t="str">
        <f t="shared" si="34"/>
        <v xml:space="preserve">2016-11-27 </v>
      </c>
      <c r="E519" t="str">
        <f>TEXT(Demand_Data___Hourly_OverviewSearch_1_csv[[#This Row],[Day]],"dddd")</f>
        <v>Saturday</v>
      </c>
      <c r="F519">
        <v>6</v>
      </c>
      <c r="G519">
        <v>16</v>
      </c>
      <c r="H519">
        <v>73</v>
      </c>
      <c r="I519">
        <f>VLOOKUP(Demand_Data___Hourly_OverviewSearch_1_csv[[#This Row],[Date]],Supply_Data___Hourly_DriverActivity_1_csv__3[#All],2,FALSE)</f>
        <v>28</v>
      </c>
      <c r="J519">
        <f>VLOOKUP(Demand_Data___Hourly_OverviewSearch_1_csv[[#This Row],[Date]],Supply_Data___Hourly_DriverActivity_1_csv__3[#All],3,FALSE)</f>
        <v>12</v>
      </c>
      <c r="K519">
        <f>VLOOKUP(Demand_Data___Hourly_OverviewSearch_1_csv[[#This Row],[Date]],Supply_Data___Hourly_DriverActivity_1_csv__3[#All],4,FALSE)</f>
        <v>0</v>
      </c>
      <c r="L519">
        <f>VLOOKUP(Demand_Data___Hourly_OverviewSearch_1_csv[[#This Row],[Date]],Supply_Data___Hourly_DriverActivity_1_csv__3[#All],5,FALSE)</f>
        <v>12</v>
      </c>
      <c r="M519">
        <f>VLOOKUP(Demand_Data___Hourly_OverviewSearch_1_csv[[#This Row],[Date]],Supply_Data___Hourly_DriverActivity_1_csv__3[#All],6,FALSE)</f>
        <v>0.4</v>
      </c>
      <c r="N519">
        <f>VLOOKUP(Demand_Data___Hourly_OverviewSearch_1_csv[[#This Row],[Date]],Supply_Data___Hourly_DriverActivity_1_csv__3[#All],7,FALSE)</f>
        <v>0.17</v>
      </c>
      <c r="O519">
        <f>VLOOKUP(Demand_Data___Hourly_OverviewSearch_1_csv[[#This Row],[Date]],Supply_Data___Hourly_DriverActivity_1_csv__3[#All],8,FALSE)</f>
        <v>2</v>
      </c>
      <c r="P519">
        <f>(Demand_Data___Hourly_OverviewSearch_1_csv[[#This Row],[People saw 0 cars (unique)]]+Demand_Data___Hourly_OverviewSearch_1_csv[[#This Row],[People saw +1 cars (unique)]])</f>
        <v>22</v>
      </c>
      <c r="Q519" s="143">
        <f t="shared" si="35"/>
        <v>12</v>
      </c>
    </row>
    <row r="520" spans="1:17" x14ac:dyDescent="0.3">
      <c r="A520" t="s">
        <v>527</v>
      </c>
      <c r="B520" t="str">
        <f t="shared" si="32"/>
        <v xml:space="preserve"> 08</v>
      </c>
      <c r="C520">
        <f t="shared" si="33"/>
        <v>7</v>
      </c>
      <c r="D520" t="str">
        <f t="shared" si="34"/>
        <v xml:space="preserve">2016-11-27 </v>
      </c>
      <c r="E520" t="str">
        <f>TEXT(Demand_Data___Hourly_OverviewSearch_1_csv[[#This Row],[Day]],"dddd")</f>
        <v>Saturday</v>
      </c>
      <c r="F520">
        <v>11</v>
      </c>
      <c r="G520">
        <v>15</v>
      </c>
      <c r="H520">
        <v>58</v>
      </c>
      <c r="I520">
        <f>VLOOKUP(Demand_Data___Hourly_OverviewSearch_1_csv[[#This Row],[Date]],Supply_Data___Hourly_DriverActivity_1_csv__3[#All],2,FALSE)</f>
        <v>29</v>
      </c>
      <c r="J520">
        <f>VLOOKUP(Demand_Data___Hourly_OverviewSearch_1_csv[[#This Row],[Date]],Supply_Data___Hourly_DriverActivity_1_csv__3[#All],3,FALSE)</f>
        <v>10</v>
      </c>
      <c r="K520">
        <f>VLOOKUP(Demand_Data___Hourly_OverviewSearch_1_csv[[#This Row],[Date]],Supply_Data___Hourly_DriverActivity_1_csv__3[#All],4,FALSE)</f>
        <v>2</v>
      </c>
      <c r="L520">
        <f>VLOOKUP(Demand_Data___Hourly_OverviewSearch_1_csv[[#This Row],[Date]],Supply_Data___Hourly_DriverActivity_1_csv__3[#All],5,FALSE)</f>
        <v>8</v>
      </c>
      <c r="M520">
        <f>VLOOKUP(Demand_Data___Hourly_OverviewSearch_1_csv[[#This Row],[Date]],Supply_Data___Hourly_DriverActivity_1_csv__3[#All],6,FALSE)</f>
        <v>0.3</v>
      </c>
      <c r="N520">
        <f>VLOOKUP(Demand_Data___Hourly_OverviewSearch_1_csv[[#This Row],[Date]],Supply_Data___Hourly_DriverActivity_1_csv__3[#All],7,FALSE)</f>
        <v>0.3</v>
      </c>
      <c r="O520">
        <f>VLOOKUP(Demand_Data___Hourly_OverviewSearch_1_csv[[#This Row],[Date]],Supply_Data___Hourly_DriverActivity_1_csv__3[#All],8,FALSE)</f>
        <v>3</v>
      </c>
      <c r="P520">
        <f>(Demand_Data___Hourly_OverviewSearch_1_csv[[#This Row],[People saw 0 cars (unique)]]+Demand_Data___Hourly_OverviewSearch_1_csv[[#This Row],[People saw +1 cars (unique)]])</f>
        <v>26</v>
      </c>
      <c r="Q520" s="143">
        <f t="shared" si="35"/>
        <v>8</v>
      </c>
    </row>
    <row r="521" spans="1:17" x14ac:dyDescent="0.3">
      <c r="A521" t="s">
        <v>528</v>
      </c>
      <c r="B521" t="str">
        <f t="shared" si="32"/>
        <v xml:space="preserve"> 07</v>
      </c>
      <c r="C521">
        <f t="shared" si="33"/>
        <v>7</v>
      </c>
      <c r="D521" t="str">
        <f t="shared" si="34"/>
        <v xml:space="preserve">2016-11-27 </v>
      </c>
      <c r="E521" t="str">
        <f>TEXT(Demand_Data___Hourly_OverviewSearch_1_csv[[#This Row],[Day]],"dddd")</f>
        <v>Saturday</v>
      </c>
      <c r="F521">
        <v>5</v>
      </c>
      <c r="G521">
        <v>3</v>
      </c>
      <c r="H521">
        <v>38</v>
      </c>
      <c r="I521">
        <f>VLOOKUP(Demand_Data___Hourly_OverviewSearch_1_csv[[#This Row],[Date]],Supply_Data___Hourly_DriverActivity_1_csv__3[#All],2,FALSE)</f>
        <v>24</v>
      </c>
      <c r="J521">
        <f>VLOOKUP(Demand_Data___Hourly_OverviewSearch_1_csv[[#This Row],[Date]],Supply_Data___Hourly_DriverActivity_1_csv__3[#All],3,FALSE)</f>
        <v>10</v>
      </c>
      <c r="K521">
        <f>VLOOKUP(Demand_Data___Hourly_OverviewSearch_1_csv[[#This Row],[Date]],Supply_Data___Hourly_DriverActivity_1_csv__3[#All],4,FALSE)</f>
        <v>1</v>
      </c>
      <c r="L521">
        <f>VLOOKUP(Demand_Data___Hourly_OverviewSearch_1_csv[[#This Row],[Date]],Supply_Data___Hourly_DriverActivity_1_csv__3[#All],5,FALSE)</f>
        <v>9</v>
      </c>
      <c r="M521">
        <f>VLOOKUP(Demand_Data___Hourly_OverviewSearch_1_csv[[#This Row],[Date]],Supply_Data___Hourly_DriverActivity_1_csv__3[#All],6,FALSE)</f>
        <v>0.4</v>
      </c>
      <c r="N521">
        <f>VLOOKUP(Demand_Data___Hourly_OverviewSearch_1_csv[[#This Row],[Date]],Supply_Data___Hourly_DriverActivity_1_csv__3[#All],7,FALSE)</f>
        <v>0.3</v>
      </c>
      <c r="O521">
        <f>VLOOKUP(Demand_Data___Hourly_OverviewSearch_1_csv[[#This Row],[Date]],Supply_Data___Hourly_DriverActivity_1_csv__3[#All],8,FALSE)</f>
        <v>3</v>
      </c>
      <c r="P521">
        <f>(Demand_Data___Hourly_OverviewSearch_1_csv[[#This Row],[People saw 0 cars (unique)]]+Demand_Data___Hourly_OverviewSearch_1_csv[[#This Row],[People saw +1 cars (unique)]])</f>
        <v>8</v>
      </c>
      <c r="Q521" s="143">
        <f t="shared" si="35"/>
        <v>9</v>
      </c>
    </row>
    <row r="522" spans="1:17" x14ac:dyDescent="0.3">
      <c r="A522" t="s">
        <v>529</v>
      </c>
      <c r="B522" t="str">
        <f t="shared" si="32"/>
        <v xml:space="preserve"> 06</v>
      </c>
      <c r="C522">
        <f t="shared" si="33"/>
        <v>7</v>
      </c>
      <c r="D522" t="str">
        <f t="shared" si="34"/>
        <v xml:space="preserve">2016-11-27 </v>
      </c>
      <c r="E522" t="str">
        <f>TEXT(Demand_Data___Hourly_OverviewSearch_1_csv[[#This Row],[Day]],"dddd")</f>
        <v>Saturday</v>
      </c>
      <c r="F522">
        <v>0</v>
      </c>
      <c r="G522">
        <v>10</v>
      </c>
      <c r="H522">
        <v>100</v>
      </c>
      <c r="I522">
        <f>VLOOKUP(Demand_Data___Hourly_OverviewSearch_1_csv[[#This Row],[Date]],Supply_Data___Hourly_DriverActivity_1_csv__3[#All],2,FALSE)</f>
        <v>34</v>
      </c>
      <c r="J522">
        <f>VLOOKUP(Demand_Data___Hourly_OverviewSearch_1_csv[[#This Row],[Date]],Supply_Data___Hourly_DriverActivity_1_csv__3[#All],3,FALSE)</f>
        <v>13</v>
      </c>
      <c r="K522">
        <f>VLOOKUP(Demand_Data___Hourly_OverviewSearch_1_csv[[#This Row],[Date]],Supply_Data___Hourly_DriverActivity_1_csv__3[#All],4,FALSE)</f>
        <v>2</v>
      </c>
      <c r="L522">
        <f>VLOOKUP(Demand_Data___Hourly_OverviewSearch_1_csv[[#This Row],[Date]],Supply_Data___Hourly_DriverActivity_1_csv__3[#All],5,FALSE)</f>
        <v>12</v>
      </c>
      <c r="M522">
        <f>VLOOKUP(Demand_Data___Hourly_OverviewSearch_1_csv[[#This Row],[Date]],Supply_Data___Hourly_DriverActivity_1_csv__3[#All],6,FALSE)</f>
        <v>0.4</v>
      </c>
      <c r="N522">
        <f>VLOOKUP(Demand_Data___Hourly_OverviewSearch_1_csv[[#This Row],[Date]],Supply_Data___Hourly_DriverActivity_1_csv__3[#All],7,FALSE)</f>
        <v>0.08</v>
      </c>
      <c r="O522">
        <f>VLOOKUP(Demand_Data___Hourly_OverviewSearch_1_csv[[#This Row],[Date]],Supply_Data___Hourly_DriverActivity_1_csv__3[#All],8,FALSE)</f>
        <v>1</v>
      </c>
      <c r="P522">
        <f>(Demand_Data___Hourly_OverviewSearch_1_csv[[#This Row],[People saw 0 cars (unique)]]+Demand_Data___Hourly_OverviewSearch_1_csv[[#This Row],[People saw +1 cars (unique)]])</f>
        <v>10</v>
      </c>
      <c r="Q522" s="143">
        <f t="shared" si="35"/>
        <v>11</v>
      </c>
    </row>
    <row r="523" spans="1:17" x14ac:dyDescent="0.3">
      <c r="A523" t="s">
        <v>530</v>
      </c>
      <c r="B523" t="str">
        <f t="shared" si="32"/>
        <v xml:space="preserve"> 05</v>
      </c>
      <c r="C523">
        <f t="shared" si="33"/>
        <v>7</v>
      </c>
      <c r="D523" t="str">
        <f t="shared" si="34"/>
        <v xml:space="preserve">2016-11-27 </v>
      </c>
      <c r="E523" t="str">
        <f>TEXT(Demand_Data___Hourly_OverviewSearch_1_csv[[#This Row],[Day]],"dddd")</f>
        <v>Saturday</v>
      </c>
      <c r="F523">
        <v>0</v>
      </c>
      <c r="G523">
        <v>19</v>
      </c>
      <c r="H523">
        <v>100</v>
      </c>
      <c r="I523">
        <f>VLOOKUP(Demand_Data___Hourly_OverviewSearch_1_csv[[#This Row],[Date]],Supply_Data___Hourly_DriverActivity_1_csv__3[#All],2,FALSE)</f>
        <v>46</v>
      </c>
      <c r="J523">
        <f>VLOOKUP(Demand_Data___Hourly_OverviewSearch_1_csv[[#This Row],[Date]],Supply_Data___Hourly_DriverActivity_1_csv__3[#All],3,FALSE)</f>
        <v>20</v>
      </c>
      <c r="K523">
        <f>VLOOKUP(Demand_Data___Hourly_OverviewSearch_1_csv[[#This Row],[Date]],Supply_Data___Hourly_DriverActivity_1_csv__3[#All],4,FALSE)</f>
        <v>4</v>
      </c>
      <c r="L523">
        <f>VLOOKUP(Demand_Data___Hourly_OverviewSearch_1_csv[[#This Row],[Date]],Supply_Data___Hourly_DriverActivity_1_csv__3[#All],5,FALSE)</f>
        <v>16</v>
      </c>
      <c r="M523">
        <f>VLOOKUP(Demand_Data___Hourly_OverviewSearch_1_csv[[#This Row],[Date]],Supply_Data___Hourly_DriverActivity_1_csv__3[#All],6,FALSE)</f>
        <v>0.4</v>
      </c>
      <c r="N523">
        <f>VLOOKUP(Demand_Data___Hourly_OverviewSearch_1_csv[[#This Row],[Date]],Supply_Data___Hourly_DriverActivity_1_csv__3[#All],7,FALSE)</f>
        <v>0.55000000000000004</v>
      </c>
      <c r="O523">
        <f>VLOOKUP(Demand_Data___Hourly_OverviewSearch_1_csv[[#This Row],[Date]],Supply_Data___Hourly_DriverActivity_1_csv__3[#All],8,FALSE)</f>
        <v>11</v>
      </c>
      <c r="P523">
        <f>(Demand_Data___Hourly_OverviewSearch_1_csv[[#This Row],[People saw 0 cars (unique)]]+Demand_Data___Hourly_OverviewSearch_1_csv[[#This Row],[People saw +1 cars (unique)]])</f>
        <v>19</v>
      </c>
      <c r="Q523" s="143">
        <f t="shared" si="35"/>
        <v>16</v>
      </c>
    </row>
    <row r="524" spans="1:17" x14ac:dyDescent="0.3">
      <c r="A524" t="s">
        <v>531</v>
      </c>
      <c r="B524" t="str">
        <f t="shared" si="32"/>
        <v xml:space="preserve"> 04</v>
      </c>
      <c r="C524">
        <f t="shared" si="33"/>
        <v>7</v>
      </c>
      <c r="D524" t="str">
        <f t="shared" si="34"/>
        <v xml:space="preserve">2016-11-27 </v>
      </c>
      <c r="E524" t="str">
        <f>TEXT(Demand_Data___Hourly_OverviewSearch_1_csv[[#This Row],[Day]],"dddd")</f>
        <v>Saturday</v>
      </c>
      <c r="F524">
        <v>6</v>
      </c>
      <c r="G524">
        <v>34</v>
      </c>
      <c r="H524">
        <v>85</v>
      </c>
      <c r="I524">
        <f>VLOOKUP(Demand_Data___Hourly_OverviewSearch_1_csv[[#This Row],[Date]],Supply_Data___Hourly_DriverActivity_1_csv__3[#All],2,FALSE)</f>
        <v>56</v>
      </c>
      <c r="J524">
        <f>VLOOKUP(Demand_Data___Hourly_OverviewSearch_1_csv[[#This Row],[Date]],Supply_Data___Hourly_DriverActivity_1_csv__3[#All],3,FALSE)</f>
        <v>24</v>
      </c>
      <c r="K524">
        <f>VLOOKUP(Demand_Data___Hourly_OverviewSearch_1_csv[[#This Row],[Date]],Supply_Data___Hourly_DriverActivity_1_csv__3[#All],4,FALSE)</f>
        <v>8</v>
      </c>
      <c r="L524">
        <f>VLOOKUP(Demand_Data___Hourly_OverviewSearch_1_csv[[#This Row],[Date]],Supply_Data___Hourly_DriverActivity_1_csv__3[#All],5,FALSE)</f>
        <v>16</v>
      </c>
      <c r="M524">
        <f>VLOOKUP(Demand_Data___Hourly_OverviewSearch_1_csv[[#This Row],[Date]],Supply_Data___Hourly_DriverActivity_1_csv__3[#All],6,FALSE)</f>
        <v>0.4</v>
      </c>
      <c r="N524">
        <f>VLOOKUP(Demand_Data___Hourly_OverviewSearch_1_csv[[#This Row],[Date]],Supply_Data___Hourly_DriverActivity_1_csv__3[#All],7,FALSE)</f>
        <v>1</v>
      </c>
      <c r="O524">
        <f>VLOOKUP(Demand_Data___Hourly_OverviewSearch_1_csv[[#This Row],[Date]],Supply_Data___Hourly_DriverActivity_1_csv__3[#All],8,FALSE)</f>
        <v>24</v>
      </c>
      <c r="P524">
        <f>(Demand_Data___Hourly_OverviewSearch_1_csv[[#This Row],[People saw 0 cars (unique)]]+Demand_Data___Hourly_OverviewSearch_1_csv[[#This Row],[People saw +1 cars (unique)]])</f>
        <v>40</v>
      </c>
      <c r="Q524" s="143">
        <f t="shared" si="35"/>
        <v>16</v>
      </c>
    </row>
    <row r="525" spans="1:17" x14ac:dyDescent="0.3">
      <c r="A525" t="s">
        <v>532</v>
      </c>
      <c r="B525" t="str">
        <f t="shared" si="32"/>
        <v xml:space="preserve"> 03</v>
      </c>
      <c r="C525">
        <f t="shared" si="33"/>
        <v>7</v>
      </c>
      <c r="D525" t="str">
        <f t="shared" si="34"/>
        <v xml:space="preserve">2016-11-27 </v>
      </c>
      <c r="E525" t="str">
        <f>TEXT(Demand_Data___Hourly_OverviewSearch_1_csv[[#This Row],[Day]],"dddd")</f>
        <v>Saturday</v>
      </c>
      <c r="F525">
        <v>0</v>
      </c>
      <c r="G525">
        <v>34</v>
      </c>
      <c r="H525">
        <v>100</v>
      </c>
      <c r="I525">
        <f>VLOOKUP(Demand_Data___Hourly_OverviewSearch_1_csv[[#This Row],[Date]],Supply_Data___Hourly_DriverActivity_1_csv__3[#All],2,FALSE)</f>
        <v>71</v>
      </c>
      <c r="J525">
        <f>VLOOKUP(Demand_Data___Hourly_OverviewSearch_1_csv[[#This Row],[Date]],Supply_Data___Hourly_DriverActivity_1_csv__3[#All],3,FALSE)</f>
        <v>32</v>
      </c>
      <c r="K525">
        <f>VLOOKUP(Demand_Data___Hourly_OverviewSearch_1_csv[[#This Row],[Date]],Supply_Data___Hourly_DriverActivity_1_csv__3[#All],4,FALSE)</f>
        <v>6</v>
      </c>
      <c r="L525">
        <f>VLOOKUP(Demand_Data___Hourly_OverviewSearch_1_csv[[#This Row],[Date]],Supply_Data___Hourly_DriverActivity_1_csv__3[#All],5,FALSE)</f>
        <v>25</v>
      </c>
      <c r="M525">
        <f>VLOOKUP(Demand_Data___Hourly_OverviewSearch_1_csv[[#This Row],[Date]],Supply_Data___Hourly_DriverActivity_1_csv__3[#All],6,FALSE)</f>
        <v>0.5</v>
      </c>
      <c r="N525">
        <f>VLOOKUP(Demand_Data___Hourly_OverviewSearch_1_csv[[#This Row],[Date]],Supply_Data___Hourly_DriverActivity_1_csv__3[#All],7,FALSE)</f>
        <v>0.59</v>
      </c>
      <c r="O525">
        <f>VLOOKUP(Demand_Data___Hourly_OverviewSearch_1_csv[[#This Row],[Date]],Supply_Data___Hourly_DriverActivity_1_csv__3[#All],8,FALSE)</f>
        <v>19</v>
      </c>
      <c r="P525">
        <f>(Demand_Data___Hourly_OverviewSearch_1_csv[[#This Row],[People saw 0 cars (unique)]]+Demand_Data___Hourly_OverviewSearch_1_csv[[#This Row],[People saw +1 cars (unique)]])</f>
        <v>34</v>
      </c>
      <c r="Q525" s="143">
        <f t="shared" si="35"/>
        <v>26</v>
      </c>
    </row>
    <row r="526" spans="1:17" x14ac:dyDescent="0.3">
      <c r="A526" t="s">
        <v>533</v>
      </c>
      <c r="B526" t="str">
        <f t="shared" si="32"/>
        <v xml:space="preserve"> 02</v>
      </c>
      <c r="C526">
        <f t="shared" si="33"/>
        <v>7</v>
      </c>
      <c r="D526" t="str">
        <f t="shared" si="34"/>
        <v xml:space="preserve">2016-11-27 </v>
      </c>
      <c r="E526" t="str">
        <f>TEXT(Demand_Data___Hourly_OverviewSearch_1_csv[[#This Row],[Day]],"dddd")</f>
        <v>Saturday</v>
      </c>
      <c r="F526">
        <v>0</v>
      </c>
      <c r="G526">
        <v>38</v>
      </c>
      <c r="H526">
        <v>100</v>
      </c>
      <c r="I526">
        <f>VLOOKUP(Demand_Data___Hourly_OverviewSearch_1_csv[[#This Row],[Date]],Supply_Data___Hourly_DriverActivity_1_csv__3[#All],2,FALSE)</f>
        <v>78</v>
      </c>
      <c r="J526">
        <f>VLOOKUP(Demand_Data___Hourly_OverviewSearch_1_csv[[#This Row],[Date]],Supply_Data___Hourly_DriverActivity_1_csv__3[#All],3,FALSE)</f>
        <v>34</v>
      </c>
      <c r="K526">
        <f>VLOOKUP(Demand_Data___Hourly_OverviewSearch_1_csv[[#This Row],[Date]],Supply_Data___Hourly_DriverActivity_1_csv__3[#All],4,FALSE)</f>
        <v>8</v>
      </c>
      <c r="L526">
        <f>VLOOKUP(Demand_Data___Hourly_OverviewSearch_1_csv[[#This Row],[Date]],Supply_Data___Hourly_DriverActivity_1_csv__3[#All],5,FALSE)</f>
        <v>26</v>
      </c>
      <c r="M526">
        <f>VLOOKUP(Demand_Data___Hourly_OverviewSearch_1_csv[[#This Row],[Date]],Supply_Data___Hourly_DriverActivity_1_csv__3[#All],6,FALSE)</f>
        <v>0.4</v>
      </c>
      <c r="N526">
        <f>VLOOKUP(Demand_Data___Hourly_OverviewSearch_1_csv[[#This Row],[Date]],Supply_Data___Hourly_DriverActivity_1_csv__3[#All],7,FALSE)</f>
        <v>0.62</v>
      </c>
      <c r="O526">
        <f>VLOOKUP(Demand_Data___Hourly_OverviewSearch_1_csv[[#This Row],[Date]],Supply_Data___Hourly_DriverActivity_1_csv__3[#All],8,FALSE)</f>
        <v>21</v>
      </c>
      <c r="P526">
        <f>(Demand_Data___Hourly_OverviewSearch_1_csv[[#This Row],[People saw 0 cars (unique)]]+Demand_Data___Hourly_OverviewSearch_1_csv[[#This Row],[People saw +1 cars (unique)]])</f>
        <v>38</v>
      </c>
      <c r="Q526" s="143">
        <f t="shared" si="35"/>
        <v>26</v>
      </c>
    </row>
    <row r="527" spans="1:17" x14ac:dyDescent="0.3">
      <c r="A527" t="s">
        <v>534</v>
      </c>
      <c r="B527" t="str">
        <f t="shared" si="32"/>
        <v xml:space="preserve"> 01</v>
      </c>
      <c r="C527">
        <f t="shared" si="33"/>
        <v>7</v>
      </c>
      <c r="D527" t="str">
        <f t="shared" si="34"/>
        <v xml:space="preserve">2016-11-27 </v>
      </c>
      <c r="E527" t="str">
        <f>TEXT(Demand_Data___Hourly_OverviewSearch_1_csv[[#This Row],[Day]],"dddd")</f>
        <v>Saturday</v>
      </c>
      <c r="F527">
        <v>0</v>
      </c>
      <c r="G527">
        <v>68</v>
      </c>
      <c r="H527">
        <v>100</v>
      </c>
      <c r="I527">
        <f>VLOOKUP(Demand_Data___Hourly_OverviewSearch_1_csv[[#This Row],[Date]],Supply_Data___Hourly_DriverActivity_1_csv__3[#All],2,FALSE)</f>
        <v>93</v>
      </c>
      <c r="J527">
        <f>VLOOKUP(Demand_Data___Hourly_OverviewSearch_1_csv[[#This Row],[Date]],Supply_Data___Hourly_DriverActivity_1_csv__3[#All],3,FALSE)</f>
        <v>44</v>
      </c>
      <c r="K527">
        <f>VLOOKUP(Demand_Data___Hourly_OverviewSearch_1_csv[[#This Row],[Date]],Supply_Data___Hourly_DriverActivity_1_csv__3[#All],4,FALSE)</f>
        <v>13</v>
      </c>
      <c r="L527">
        <f>VLOOKUP(Demand_Data___Hourly_OverviewSearch_1_csv[[#This Row],[Date]],Supply_Data___Hourly_DriverActivity_1_csv__3[#All],5,FALSE)</f>
        <v>31</v>
      </c>
      <c r="M527">
        <f>VLOOKUP(Demand_Data___Hourly_OverviewSearch_1_csv[[#This Row],[Date]],Supply_Data___Hourly_DriverActivity_1_csv__3[#All],6,FALSE)</f>
        <v>0.5</v>
      </c>
      <c r="N527">
        <f>VLOOKUP(Demand_Data___Hourly_OverviewSearch_1_csv[[#This Row],[Date]],Supply_Data___Hourly_DriverActivity_1_csv__3[#All],7,FALSE)</f>
        <v>0.59</v>
      </c>
      <c r="O527">
        <f>VLOOKUP(Demand_Data___Hourly_OverviewSearch_1_csv[[#This Row],[Date]],Supply_Data___Hourly_DriverActivity_1_csv__3[#All],8,FALSE)</f>
        <v>26</v>
      </c>
      <c r="P527">
        <f>(Demand_Data___Hourly_OverviewSearch_1_csv[[#This Row],[People saw 0 cars (unique)]]+Demand_Data___Hourly_OverviewSearch_1_csv[[#This Row],[People saw +1 cars (unique)]])</f>
        <v>68</v>
      </c>
      <c r="Q527" s="143">
        <f t="shared" si="35"/>
        <v>31</v>
      </c>
    </row>
    <row r="528" spans="1:17" x14ac:dyDescent="0.3">
      <c r="A528" t="s">
        <v>535</v>
      </c>
      <c r="B528" t="str">
        <f t="shared" si="32"/>
        <v xml:space="preserve"> 00</v>
      </c>
      <c r="C528">
        <f t="shared" si="33"/>
        <v>7</v>
      </c>
      <c r="D528" t="str">
        <f t="shared" si="34"/>
        <v xml:space="preserve">2016-11-27 </v>
      </c>
      <c r="E528" t="str">
        <f>TEXT(Demand_Data___Hourly_OverviewSearch_1_csv[[#This Row],[Day]],"dddd")</f>
        <v>Saturday</v>
      </c>
      <c r="F528">
        <v>0</v>
      </c>
      <c r="G528">
        <v>73</v>
      </c>
      <c r="H528">
        <v>100</v>
      </c>
      <c r="I528">
        <f>VLOOKUP(Demand_Data___Hourly_OverviewSearch_1_csv[[#This Row],[Date]],Supply_Data___Hourly_DriverActivity_1_csv__3[#All],2,FALSE)</f>
        <v>97</v>
      </c>
      <c r="J528">
        <f>VLOOKUP(Demand_Data___Hourly_OverviewSearch_1_csv[[#This Row],[Date]],Supply_Data___Hourly_DriverActivity_1_csv__3[#All],3,FALSE)</f>
        <v>42</v>
      </c>
      <c r="K528">
        <f>VLOOKUP(Demand_Data___Hourly_OverviewSearch_1_csv[[#This Row],[Date]],Supply_Data___Hourly_DriverActivity_1_csv__3[#All],4,FALSE)</f>
        <v>14</v>
      </c>
      <c r="L528">
        <f>VLOOKUP(Demand_Data___Hourly_OverviewSearch_1_csv[[#This Row],[Date]],Supply_Data___Hourly_DriverActivity_1_csv__3[#All],5,FALSE)</f>
        <v>28</v>
      </c>
      <c r="M528">
        <f>VLOOKUP(Demand_Data___Hourly_OverviewSearch_1_csv[[#This Row],[Date]],Supply_Data___Hourly_DriverActivity_1_csv__3[#All],6,FALSE)</f>
        <v>0.4</v>
      </c>
      <c r="N528">
        <f>VLOOKUP(Demand_Data___Hourly_OverviewSearch_1_csv[[#This Row],[Date]],Supply_Data___Hourly_DriverActivity_1_csv__3[#All],7,FALSE)</f>
        <v>1</v>
      </c>
      <c r="O528">
        <f>VLOOKUP(Demand_Data___Hourly_OverviewSearch_1_csv[[#This Row],[Date]],Supply_Data___Hourly_DriverActivity_1_csv__3[#All],8,FALSE)</f>
        <v>42</v>
      </c>
      <c r="P528">
        <f>(Demand_Data___Hourly_OverviewSearch_1_csv[[#This Row],[People saw 0 cars (unique)]]+Demand_Data___Hourly_OverviewSearch_1_csv[[#This Row],[People saw +1 cars (unique)]])</f>
        <v>73</v>
      </c>
      <c r="Q528" s="143">
        <f t="shared" si="35"/>
        <v>28</v>
      </c>
    </row>
    <row r="529" spans="1:17" x14ac:dyDescent="0.3">
      <c r="A529" t="s">
        <v>536</v>
      </c>
      <c r="B529" t="str">
        <f t="shared" si="32"/>
        <v xml:space="preserve"> 23</v>
      </c>
      <c r="C529">
        <f t="shared" si="33"/>
        <v>6</v>
      </c>
      <c r="D529" t="str">
        <f t="shared" si="34"/>
        <v xml:space="preserve">2016-11-26 </v>
      </c>
      <c r="E529" t="str">
        <f>TEXT(Demand_Data___Hourly_OverviewSearch_1_csv[[#This Row],[Day]],"dddd")</f>
        <v>Friday</v>
      </c>
      <c r="F529">
        <v>1</v>
      </c>
      <c r="G529">
        <v>61</v>
      </c>
      <c r="H529">
        <v>98</v>
      </c>
      <c r="I529">
        <f>VLOOKUP(Demand_Data___Hourly_OverviewSearch_1_csv[[#This Row],[Date]],Supply_Data___Hourly_DriverActivity_1_csv__3[#All],2,FALSE)</f>
        <v>105</v>
      </c>
      <c r="J529">
        <f>VLOOKUP(Demand_Data___Hourly_OverviewSearch_1_csv[[#This Row],[Date]],Supply_Data___Hourly_DriverActivity_1_csv__3[#All],3,FALSE)</f>
        <v>51</v>
      </c>
      <c r="K529">
        <f>VLOOKUP(Demand_Data___Hourly_OverviewSearch_1_csv[[#This Row],[Date]],Supply_Data___Hourly_DriverActivity_1_csv__3[#All],4,FALSE)</f>
        <v>7</v>
      </c>
      <c r="L529">
        <f>VLOOKUP(Demand_Data___Hourly_OverviewSearch_1_csv[[#This Row],[Date]],Supply_Data___Hourly_DriverActivity_1_csv__3[#All],5,FALSE)</f>
        <v>44</v>
      </c>
      <c r="M529">
        <f>VLOOKUP(Demand_Data___Hourly_OverviewSearch_1_csv[[#This Row],[Date]],Supply_Data___Hourly_DriverActivity_1_csv__3[#All],6,FALSE)</f>
        <v>0.5</v>
      </c>
      <c r="N529">
        <f>VLOOKUP(Demand_Data___Hourly_OverviewSearch_1_csv[[#This Row],[Date]],Supply_Data___Hourly_DriverActivity_1_csv__3[#All],7,FALSE)</f>
        <v>0.51</v>
      </c>
      <c r="O529">
        <f>VLOOKUP(Demand_Data___Hourly_OverviewSearch_1_csv[[#This Row],[Date]],Supply_Data___Hourly_DriverActivity_1_csv__3[#All],8,FALSE)</f>
        <v>26</v>
      </c>
      <c r="P529">
        <f>(Demand_Data___Hourly_OverviewSearch_1_csv[[#This Row],[People saw 0 cars (unique)]]+Demand_Data___Hourly_OverviewSearch_1_csv[[#This Row],[People saw +1 cars (unique)]])</f>
        <v>62</v>
      </c>
      <c r="Q529" s="143">
        <f t="shared" si="35"/>
        <v>44</v>
      </c>
    </row>
    <row r="530" spans="1:17" x14ac:dyDescent="0.3">
      <c r="A530" t="s">
        <v>537</v>
      </c>
      <c r="B530" t="str">
        <f t="shared" si="32"/>
        <v xml:space="preserve"> 22</v>
      </c>
      <c r="C530">
        <f t="shared" si="33"/>
        <v>6</v>
      </c>
      <c r="D530" t="str">
        <f t="shared" si="34"/>
        <v xml:space="preserve">2016-11-26 </v>
      </c>
      <c r="E530" t="str">
        <f>TEXT(Demand_Data___Hourly_OverviewSearch_1_csv[[#This Row],[Day]],"dddd")</f>
        <v>Friday</v>
      </c>
      <c r="F530">
        <v>1</v>
      </c>
      <c r="G530">
        <v>52</v>
      </c>
      <c r="H530">
        <v>98</v>
      </c>
      <c r="I530">
        <f>VLOOKUP(Demand_Data___Hourly_OverviewSearch_1_csv[[#This Row],[Date]],Supply_Data___Hourly_DriverActivity_1_csv__3[#All],2,FALSE)</f>
        <v>110</v>
      </c>
      <c r="J530">
        <f>VLOOKUP(Demand_Data___Hourly_OverviewSearch_1_csv[[#This Row],[Date]],Supply_Data___Hourly_DriverActivity_1_csv__3[#All],3,FALSE)</f>
        <v>51</v>
      </c>
      <c r="K530">
        <f>VLOOKUP(Demand_Data___Hourly_OverviewSearch_1_csv[[#This Row],[Date]],Supply_Data___Hourly_DriverActivity_1_csv__3[#All],4,FALSE)</f>
        <v>6</v>
      </c>
      <c r="L530">
        <f>VLOOKUP(Demand_Data___Hourly_OverviewSearch_1_csv[[#This Row],[Date]],Supply_Data___Hourly_DriverActivity_1_csv__3[#All],5,FALSE)</f>
        <v>45</v>
      </c>
      <c r="M530">
        <f>VLOOKUP(Demand_Data___Hourly_OverviewSearch_1_csv[[#This Row],[Date]],Supply_Data___Hourly_DriverActivity_1_csv__3[#All],6,FALSE)</f>
        <v>0.5</v>
      </c>
      <c r="N530">
        <f>VLOOKUP(Demand_Data___Hourly_OverviewSearch_1_csv[[#This Row],[Date]],Supply_Data___Hourly_DriverActivity_1_csv__3[#All],7,FALSE)</f>
        <v>0.31</v>
      </c>
      <c r="O530">
        <f>VLOOKUP(Demand_Data___Hourly_OverviewSearch_1_csv[[#This Row],[Date]],Supply_Data___Hourly_DriverActivity_1_csv__3[#All],8,FALSE)</f>
        <v>16</v>
      </c>
      <c r="P530">
        <f>(Demand_Data___Hourly_OverviewSearch_1_csv[[#This Row],[People saw 0 cars (unique)]]+Demand_Data___Hourly_OverviewSearch_1_csv[[#This Row],[People saw +1 cars (unique)]])</f>
        <v>53</v>
      </c>
      <c r="Q530" s="143">
        <f t="shared" si="35"/>
        <v>45</v>
      </c>
    </row>
    <row r="531" spans="1:17" x14ac:dyDescent="0.3">
      <c r="A531" t="s">
        <v>538</v>
      </c>
      <c r="B531" t="str">
        <f t="shared" si="32"/>
        <v xml:space="preserve"> 21</v>
      </c>
      <c r="C531">
        <f t="shared" si="33"/>
        <v>6</v>
      </c>
      <c r="D531" t="str">
        <f t="shared" si="34"/>
        <v xml:space="preserve">2016-11-26 </v>
      </c>
      <c r="E531" t="str">
        <f>TEXT(Demand_Data___Hourly_OverviewSearch_1_csv[[#This Row],[Day]],"dddd")</f>
        <v>Friday</v>
      </c>
      <c r="F531">
        <v>2</v>
      </c>
      <c r="G531">
        <v>47</v>
      </c>
      <c r="H531">
        <v>96</v>
      </c>
      <c r="I531">
        <f>VLOOKUP(Demand_Data___Hourly_OverviewSearch_1_csv[[#This Row],[Date]],Supply_Data___Hourly_DriverActivity_1_csv__3[#All],2,FALSE)</f>
        <v>116</v>
      </c>
      <c r="J531">
        <f>VLOOKUP(Demand_Data___Hourly_OverviewSearch_1_csv[[#This Row],[Date]],Supply_Data___Hourly_DriverActivity_1_csv__3[#All],3,FALSE)</f>
        <v>56</v>
      </c>
      <c r="K531">
        <f>VLOOKUP(Demand_Data___Hourly_OverviewSearch_1_csv[[#This Row],[Date]],Supply_Data___Hourly_DriverActivity_1_csv__3[#All],4,FALSE)</f>
        <v>8</v>
      </c>
      <c r="L531">
        <f>VLOOKUP(Demand_Data___Hourly_OverviewSearch_1_csv[[#This Row],[Date]],Supply_Data___Hourly_DriverActivity_1_csv__3[#All],5,FALSE)</f>
        <v>48</v>
      </c>
      <c r="M531">
        <f>VLOOKUP(Demand_Data___Hourly_OverviewSearch_1_csv[[#This Row],[Date]],Supply_Data___Hourly_DriverActivity_1_csv__3[#All],6,FALSE)</f>
        <v>0.5</v>
      </c>
      <c r="N531">
        <f>VLOOKUP(Demand_Data___Hourly_OverviewSearch_1_csv[[#This Row],[Date]],Supply_Data___Hourly_DriverActivity_1_csv__3[#All],7,FALSE)</f>
        <v>0.38</v>
      </c>
      <c r="O531">
        <f>VLOOKUP(Demand_Data___Hourly_OverviewSearch_1_csv[[#This Row],[Date]],Supply_Data___Hourly_DriverActivity_1_csv__3[#All],8,FALSE)</f>
        <v>21</v>
      </c>
      <c r="P531">
        <f>(Demand_Data___Hourly_OverviewSearch_1_csv[[#This Row],[People saw 0 cars (unique)]]+Demand_Data___Hourly_OverviewSearch_1_csv[[#This Row],[People saw +1 cars (unique)]])</f>
        <v>49</v>
      </c>
      <c r="Q531" s="143">
        <f t="shared" si="35"/>
        <v>48</v>
      </c>
    </row>
    <row r="532" spans="1:17" x14ac:dyDescent="0.3">
      <c r="A532" t="s">
        <v>539</v>
      </c>
      <c r="B532" t="str">
        <f t="shared" si="32"/>
        <v xml:space="preserve"> 20</v>
      </c>
      <c r="C532">
        <f t="shared" si="33"/>
        <v>6</v>
      </c>
      <c r="D532" t="str">
        <f t="shared" si="34"/>
        <v xml:space="preserve">2016-11-26 </v>
      </c>
      <c r="E532" t="str">
        <f>TEXT(Demand_Data___Hourly_OverviewSearch_1_csv[[#This Row],[Day]],"dddd")</f>
        <v>Friday</v>
      </c>
      <c r="F532">
        <v>2</v>
      </c>
      <c r="G532">
        <v>49</v>
      </c>
      <c r="H532">
        <v>96</v>
      </c>
      <c r="I532">
        <f>VLOOKUP(Demand_Data___Hourly_OverviewSearch_1_csv[[#This Row],[Date]],Supply_Data___Hourly_DriverActivity_1_csv__3[#All],2,FALSE)</f>
        <v>112</v>
      </c>
      <c r="J532">
        <f>VLOOKUP(Demand_Data___Hourly_OverviewSearch_1_csv[[#This Row],[Date]],Supply_Data___Hourly_DriverActivity_1_csv__3[#All],3,FALSE)</f>
        <v>51</v>
      </c>
      <c r="K532">
        <f>VLOOKUP(Demand_Data___Hourly_OverviewSearch_1_csv[[#This Row],[Date]],Supply_Data___Hourly_DriverActivity_1_csv__3[#All],4,FALSE)</f>
        <v>8</v>
      </c>
      <c r="L532">
        <f>VLOOKUP(Demand_Data___Hourly_OverviewSearch_1_csv[[#This Row],[Date]],Supply_Data___Hourly_DriverActivity_1_csv__3[#All],5,FALSE)</f>
        <v>43</v>
      </c>
      <c r="M532">
        <f>VLOOKUP(Demand_Data___Hourly_OverviewSearch_1_csv[[#This Row],[Date]],Supply_Data___Hourly_DriverActivity_1_csv__3[#All],6,FALSE)</f>
        <v>0.5</v>
      </c>
      <c r="N532">
        <f>VLOOKUP(Demand_Data___Hourly_OverviewSearch_1_csv[[#This Row],[Date]],Supply_Data___Hourly_DriverActivity_1_csv__3[#All],7,FALSE)</f>
        <v>0.43</v>
      </c>
      <c r="O532">
        <f>VLOOKUP(Demand_Data___Hourly_OverviewSearch_1_csv[[#This Row],[Date]],Supply_Data___Hourly_DriverActivity_1_csv__3[#All],8,FALSE)</f>
        <v>22</v>
      </c>
      <c r="P532">
        <f>(Demand_Data___Hourly_OverviewSearch_1_csv[[#This Row],[People saw 0 cars (unique)]]+Demand_Data___Hourly_OverviewSearch_1_csv[[#This Row],[People saw +1 cars (unique)]])</f>
        <v>51</v>
      </c>
      <c r="Q532" s="143">
        <f t="shared" si="35"/>
        <v>43</v>
      </c>
    </row>
    <row r="533" spans="1:17" x14ac:dyDescent="0.3">
      <c r="A533" t="s">
        <v>540</v>
      </c>
      <c r="B533" t="str">
        <f t="shared" si="32"/>
        <v xml:space="preserve"> 19</v>
      </c>
      <c r="C533">
        <f t="shared" si="33"/>
        <v>6</v>
      </c>
      <c r="D533" t="str">
        <f t="shared" si="34"/>
        <v xml:space="preserve">2016-11-26 </v>
      </c>
      <c r="E533" t="str">
        <f>TEXT(Demand_Data___Hourly_OverviewSearch_1_csv[[#This Row],[Day]],"dddd")</f>
        <v>Friday</v>
      </c>
      <c r="F533">
        <v>10</v>
      </c>
      <c r="G533">
        <v>55</v>
      </c>
      <c r="H533">
        <v>85</v>
      </c>
      <c r="I533">
        <f>VLOOKUP(Demand_Data___Hourly_OverviewSearch_1_csv[[#This Row],[Date]],Supply_Data___Hourly_DriverActivity_1_csv__3[#All],2,FALSE)</f>
        <v>108</v>
      </c>
      <c r="J533">
        <f>VLOOKUP(Demand_Data___Hourly_OverviewSearch_1_csv[[#This Row],[Date]],Supply_Data___Hourly_DriverActivity_1_csv__3[#All],3,FALSE)</f>
        <v>46</v>
      </c>
      <c r="K533">
        <f>VLOOKUP(Demand_Data___Hourly_OverviewSearch_1_csv[[#This Row],[Date]],Supply_Data___Hourly_DriverActivity_1_csv__3[#All],4,FALSE)</f>
        <v>5</v>
      </c>
      <c r="L533">
        <f>VLOOKUP(Demand_Data___Hourly_OverviewSearch_1_csv[[#This Row],[Date]],Supply_Data___Hourly_DriverActivity_1_csv__3[#All],5,FALSE)</f>
        <v>41</v>
      </c>
      <c r="M533">
        <f>VLOOKUP(Demand_Data___Hourly_OverviewSearch_1_csv[[#This Row],[Date]],Supply_Data___Hourly_DriverActivity_1_csv__3[#All],6,FALSE)</f>
        <v>0.4</v>
      </c>
      <c r="N533">
        <f>VLOOKUP(Demand_Data___Hourly_OverviewSearch_1_csv[[#This Row],[Date]],Supply_Data___Hourly_DriverActivity_1_csv__3[#All],7,FALSE)</f>
        <v>0.37</v>
      </c>
      <c r="O533">
        <f>VLOOKUP(Demand_Data___Hourly_OverviewSearch_1_csv[[#This Row],[Date]],Supply_Data___Hourly_DriverActivity_1_csv__3[#All],8,FALSE)</f>
        <v>17</v>
      </c>
      <c r="P533">
        <f>(Demand_Data___Hourly_OverviewSearch_1_csv[[#This Row],[People saw 0 cars (unique)]]+Demand_Data___Hourly_OverviewSearch_1_csv[[#This Row],[People saw +1 cars (unique)]])</f>
        <v>65</v>
      </c>
      <c r="Q533" s="143">
        <f t="shared" si="35"/>
        <v>41</v>
      </c>
    </row>
    <row r="534" spans="1:17" x14ac:dyDescent="0.3">
      <c r="A534" t="s">
        <v>541</v>
      </c>
      <c r="B534" t="str">
        <f t="shared" si="32"/>
        <v xml:space="preserve"> 18</v>
      </c>
      <c r="C534">
        <f t="shared" si="33"/>
        <v>6</v>
      </c>
      <c r="D534" t="str">
        <f t="shared" si="34"/>
        <v xml:space="preserve">2016-11-26 </v>
      </c>
      <c r="E534" t="str">
        <f>TEXT(Demand_Data___Hourly_OverviewSearch_1_csv[[#This Row],[Day]],"dddd")</f>
        <v>Friday</v>
      </c>
      <c r="F534">
        <v>2</v>
      </c>
      <c r="G534">
        <v>31</v>
      </c>
      <c r="H534">
        <v>94</v>
      </c>
      <c r="I534">
        <f>VLOOKUP(Demand_Data___Hourly_OverviewSearch_1_csv[[#This Row],[Date]],Supply_Data___Hourly_DriverActivity_1_csv__3[#All],2,FALSE)</f>
        <v>100</v>
      </c>
      <c r="J534">
        <f>VLOOKUP(Demand_Data___Hourly_OverviewSearch_1_csv[[#This Row],[Date]],Supply_Data___Hourly_DriverActivity_1_csv__3[#All],3,FALSE)</f>
        <v>40</v>
      </c>
      <c r="K534">
        <f>VLOOKUP(Demand_Data___Hourly_OverviewSearch_1_csv[[#This Row],[Date]],Supply_Data___Hourly_DriverActivity_1_csv__3[#All],4,FALSE)</f>
        <v>3</v>
      </c>
      <c r="L534">
        <f>VLOOKUP(Demand_Data___Hourly_OverviewSearch_1_csv[[#This Row],[Date]],Supply_Data___Hourly_DriverActivity_1_csv__3[#All],5,FALSE)</f>
        <v>36</v>
      </c>
      <c r="M534">
        <f>VLOOKUP(Demand_Data___Hourly_OverviewSearch_1_csv[[#This Row],[Date]],Supply_Data___Hourly_DriverActivity_1_csv__3[#All],6,FALSE)</f>
        <v>0.4</v>
      </c>
      <c r="N534">
        <f>VLOOKUP(Demand_Data___Hourly_OverviewSearch_1_csv[[#This Row],[Date]],Supply_Data___Hourly_DriverActivity_1_csv__3[#All],7,FALSE)</f>
        <v>0.15</v>
      </c>
      <c r="O534">
        <f>VLOOKUP(Demand_Data___Hourly_OverviewSearch_1_csv[[#This Row],[Date]],Supply_Data___Hourly_DriverActivity_1_csv__3[#All],8,FALSE)</f>
        <v>6</v>
      </c>
      <c r="P534">
        <f>(Demand_Data___Hourly_OverviewSearch_1_csv[[#This Row],[People saw 0 cars (unique)]]+Demand_Data___Hourly_OverviewSearch_1_csv[[#This Row],[People saw +1 cars (unique)]])</f>
        <v>33</v>
      </c>
      <c r="Q534" s="143">
        <f t="shared" si="35"/>
        <v>37</v>
      </c>
    </row>
    <row r="535" spans="1:17" x14ac:dyDescent="0.3">
      <c r="A535" t="s">
        <v>542</v>
      </c>
      <c r="B535" t="str">
        <f t="shared" si="32"/>
        <v xml:space="preserve"> 17</v>
      </c>
      <c r="C535">
        <f t="shared" si="33"/>
        <v>6</v>
      </c>
      <c r="D535" t="str">
        <f t="shared" si="34"/>
        <v xml:space="preserve">2016-11-26 </v>
      </c>
      <c r="E535" t="str">
        <f>TEXT(Demand_Data___Hourly_OverviewSearch_1_csv[[#This Row],[Day]],"dddd")</f>
        <v>Friday</v>
      </c>
      <c r="F535">
        <v>6</v>
      </c>
      <c r="G535">
        <v>32</v>
      </c>
      <c r="H535">
        <v>84</v>
      </c>
      <c r="I535">
        <f>VLOOKUP(Demand_Data___Hourly_OverviewSearch_1_csv[[#This Row],[Date]],Supply_Data___Hourly_DriverActivity_1_csv__3[#All],2,FALSE)</f>
        <v>85</v>
      </c>
      <c r="J535">
        <f>VLOOKUP(Demand_Data___Hourly_OverviewSearch_1_csv[[#This Row],[Date]],Supply_Data___Hourly_DriverActivity_1_csv__3[#All],3,FALSE)</f>
        <v>34</v>
      </c>
      <c r="K535">
        <f>VLOOKUP(Demand_Data___Hourly_OverviewSearch_1_csv[[#This Row],[Date]],Supply_Data___Hourly_DriverActivity_1_csv__3[#All],4,FALSE)</f>
        <v>5</v>
      </c>
      <c r="L535">
        <f>VLOOKUP(Demand_Data___Hourly_OverviewSearch_1_csv[[#This Row],[Date]],Supply_Data___Hourly_DriverActivity_1_csv__3[#All],5,FALSE)</f>
        <v>30</v>
      </c>
      <c r="M535">
        <f>VLOOKUP(Demand_Data___Hourly_OverviewSearch_1_csv[[#This Row],[Date]],Supply_Data___Hourly_DriverActivity_1_csv__3[#All],6,FALSE)</f>
        <v>0.4</v>
      </c>
      <c r="N535">
        <f>VLOOKUP(Demand_Data___Hourly_OverviewSearch_1_csv[[#This Row],[Date]],Supply_Data___Hourly_DriverActivity_1_csv__3[#All],7,FALSE)</f>
        <v>0.35</v>
      </c>
      <c r="O535">
        <f>VLOOKUP(Demand_Data___Hourly_OverviewSearch_1_csv[[#This Row],[Date]],Supply_Data___Hourly_DriverActivity_1_csv__3[#All],8,FALSE)</f>
        <v>12</v>
      </c>
      <c r="P535">
        <f>(Demand_Data___Hourly_OverviewSearch_1_csv[[#This Row],[People saw 0 cars (unique)]]+Demand_Data___Hourly_OverviewSearch_1_csv[[#This Row],[People saw +1 cars (unique)]])</f>
        <v>38</v>
      </c>
      <c r="Q535" s="143">
        <f t="shared" si="35"/>
        <v>29</v>
      </c>
    </row>
    <row r="536" spans="1:17" x14ac:dyDescent="0.3">
      <c r="A536" t="s">
        <v>543</v>
      </c>
      <c r="B536" t="str">
        <f t="shared" si="32"/>
        <v xml:space="preserve"> 16</v>
      </c>
      <c r="C536">
        <f t="shared" si="33"/>
        <v>6</v>
      </c>
      <c r="D536" t="str">
        <f t="shared" si="34"/>
        <v xml:space="preserve">2016-11-26 </v>
      </c>
      <c r="E536" t="str">
        <f>TEXT(Demand_Data___Hourly_OverviewSearch_1_csv[[#This Row],[Day]],"dddd")</f>
        <v>Friday</v>
      </c>
      <c r="F536">
        <v>2</v>
      </c>
      <c r="G536">
        <v>31</v>
      </c>
      <c r="H536">
        <v>94</v>
      </c>
      <c r="I536">
        <f>VLOOKUP(Demand_Data___Hourly_OverviewSearch_1_csv[[#This Row],[Date]],Supply_Data___Hourly_DriverActivity_1_csv__3[#All],2,FALSE)</f>
        <v>69</v>
      </c>
      <c r="J536">
        <f>VLOOKUP(Demand_Data___Hourly_OverviewSearch_1_csv[[#This Row],[Date]],Supply_Data___Hourly_DriverActivity_1_csv__3[#All],3,FALSE)</f>
        <v>25</v>
      </c>
      <c r="K536">
        <f>VLOOKUP(Demand_Data___Hourly_OverviewSearch_1_csv[[#This Row],[Date]],Supply_Data___Hourly_DriverActivity_1_csv__3[#All],4,FALSE)</f>
        <v>6</v>
      </c>
      <c r="L536">
        <f>VLOOKUP(Demand_Data___Hourly_OverviewSearch_1_csv[[#This Row],[Date]],Supply_Data___Hourly_DriverActivity_1_csv__3[#All],5,FALSE)</f>
        <v>19</v>
      </c>
      <c r="M536">
        <f>VLOOKUP(Demand_Data___Hourly_OverviewSearch_1_csv[[#This Row],[Date]],Supply_Data___Hourly_DriverActivity_1_csv__3[#All],6,FALSE)</f>
        <v>0.4</v>
      </c>
      <c r="N536">
        <f>VLOOKUP(Demand_Data___Hourly_OverviewSearch_1_csv[[#This Row],[Date]],Supply_Data___Hourly_DriverActivity_1_csv__3[#All],7,FALSE)</f>
        <v>0.44</v>
      </c>
      <c r="O536">
        <f>VLOOKUP(Demand_Data___Hourly_OverviewSearch_1_csv[[#This Row],[Date]],Supply_Data___Hourly_DriverActivity_1_csv__3[#All],8,FALSE)</f>
        <v>11</v>
      </c>
      <c r="P536">
        <f>(Demand_Data___Hourly_OverviewSearch_1_csv[[#This Row],[People saw 0 cars (unique)]]+Demand_Data___Hourly_OverviewSearch_1_csv[[#This Row],[People saw +1 cars (unique)]])</f>
        <v>33</v>
      </c>
      <c r="Q536" s="143">
        <f t="shared" si="35"/>
        <v>19</v>
      </c>
    </row>
    <row r="537" spans="1:17" x14ac:dyDescent="0.3">
      <c r="A537" t="s">
        <v>544</v>
      </c>
      <c r="B537" t="str">
        <f t="shared" si="32"/>
        <v xml:space="preserve"> 15</v>
      </c>
      <c r="C537">
        <f t="shared" si="33"/>
        <v>6</v>
      </c>
      <c r="D537" t="str">
        <f t="shared" si="34"/>
        <v xml:space="preserve">2016-11-26 </v>
      </c>
      <c r="E537" t="str">
        <f>TEXT(Demand_Data___Hourly_OverviewSearch_1_csv[[#This Row],[Day]],"dddd")</f>
        <v>Friday</v>
      </c>
      <c r="F537">
        <v>4</v>
      </c>
      <c r="G537">
        <v>49</v>
      </c>
      <c r="H537">
        <v>92</v>
      </c>
      <c r="I537">
        <f>VLOOKUP(Demand_Data___Hourly_OverviewSearch_1_csv[[#This Row],[Date]],Supply_Data___Hourly_DriverActivity_1_csv__3[#All],2,FALSE)</f>
        <v>58</v>
      </c>
      <c r="J537">
        <f>VLOOKUP(Demand_Data___Hourly_OverviewSearch_1_csv[[#This Row],[Date]],Supply_Data___Hourly_DriverActivity_1_csv__3[#All],3,FALSE)</f>
        <v>22</v>
      </c>
      <c r="K537">
        <f>VLOOKUP(Demand_Data___Hourly_OverviewSearch_1_csv[[#This Row],[Date]],Supply_Data___Hourly_DriverActivity_1_csv__3[#All],4,FALSE)</f>
        <v>4</v>
      </c>
      <c r="L537">
        <f>VLOOKUP(Demand_Data___Hourly_OverviewSearch_1_csv[[#This Row],[Date]],Supply_Data___Hourly_DriverActivity_1_csv__3[#All],5,FALSE)</f>
        <v>18</v>
      </c>
      <c r="M537">
        <f>VLOOKUP(Demand_Data___Hourly_OverviewSearch_1_csv[[#This Row],[Date]],Supply_Data___Hourly_DriverActivity_1_csv__3[#All],6,FALSE)</f>
        <v>0.4</v>
      </c>
      <c r="N537">
        <f>VLOOKUP(Demand_Data___Hourly_OverviewSearch_1_csv[[#This Row],[Date]],Supply_Data___Hourly_DriverActivity_1_csv__3[#All],7,FALSE)</f>
        <v>0.32</v>
      </c>
      <c r="O537">
        <f>VLOOKUP(Demand_Data___Hourly_OverviewSearch_1_csv[[#This Row],[Date]],Supply_Data___Hourly_DriverActivity_1_csv__3[#All],8,FALSE)</f>
        <v>7</v>
      </c>
      <c r="P537">
        <f>(Demand_Data___Hourly_OverviewSearch_1_csv[[#This Row],[People saw 0 cars (unique)]]+Demand_Data___Hourly_OverviewSearch_1_csv[[#This Row],[People saw +1 cars (unique)]])</f>
        <v>53</v>
      </c>
      <c r="Q537" s="143">
        <f t="shared" si="35"/>
        <v>18</v>
      </c>
    </row>
    <row r="538" spans="1:17" x14ac:dyDescent="0.3">
      <c r="A538" t="s">
        <v>545</v>
      </c>
      <c r="B538" t="str">
        <f t="shared" si="32"/>
        <v xml:space="preserve"> 14</v>
      </c>
      <c r="C538">
        <f t="shared" si="33"/>
        <v>6</v>
      </c>
      <c r="D538" t="str">
        <f t="shared" si="34"/>
        <v xml:space="preserve">2016-11-26 </v>
      </c>
      <c r="E538" t="str">
        <f>TEXT(Demand_Data___Hourly_OverviewSearch_1_csv[[#This Row],[Day]],"dddd")</f>
        <v>Friday</v>
      </c>
      <c r="F538">
        <v>4</v>
      </c>
      <c r="G538">
        <v>27</v>
      </c>
      <c r="H538">
        <v>87</v>
      </c>
      <c r="I538">
        <f>VLOOKUP(Demand_Data___Hourly_OverviewSearch_1_csv[[#This Row],[Date]],Supply_Data___Hourly_DriverActivity_1_csv__3[#All],2,FALSE)</f>
        <v>62</v>
      </c>
      <c r="J538">
        <f>VLOOKUP(Demand_Data___Hourly_OverviewSearch_1_csv[[#This Row],[Date]],Supply_Data___Hourly_DriverActivity_1_csv__3[#All],3,FALSE)</f>
        <v>20</v>
      </c>
      <c r="K538">
        <f>VLOOKUP(Demand_Data___Hourly_OverviewSearch_1_csv[[#This Row],[Date]],Supply_Data___Hourly_DriverActivity_1_csv__3[#All],4,FALSE)</f>
        <v>4</v>
      </c>
      <c r="L538">
        <f>VLOOKUP(Demand_Data___Hourly_OverviewSearch_1_csv[[#This Row],[Date]],Supply_Data___Hourly_DriverActivity_1_csv__3[#All],5,FALSE)</f>
        <v>16</v>
      </c>
      <c r="M538">
        <f>VLOOKUP(Demand_Data___Hourly_OverviewSearch_1_csv[[#This Row],[Date]],Supply_Data___Hourly_DriverActivity_1_csv__3[#All],6,FALSE)</f>
        <v>0.3</v>
      </c>
      <c r="N538">
        <f>VLOOKUP(Demand_Data___Hourly_OverviewSearch_1_csv[[#This Row],[Date]],Supply_Data___Hourly_DriverActivity_1_csv__3[#All],7,FALSE)</f>
        <v>0.55000000000000004</v>
      </c>
      <c r="O538">
        <f>VLOOKUP(Demand_Data___Hourly_OverviewSearch_1_csv[[#This Row],[Date]],Supply_Data___Hourly_DriverActivity_1_csv__3[#All],8,FALSE)</f>
        <v>11</v>
      </c>
      <c r="P538">
        <f>(Demand_Data___Hourly_OverviewSearch_1_csv[[#This Row],[People saw 0 cars (unique)]]+Demand_Data___Hourly_OverviewSearch_1_csv[[#This Row],[People saw +1 cars (unique)]])</f>
        <v>31</v>
      </c>
      <c r="Q538" s="143">
        <f t="shared" si="35"/>
        <v>16</v>
      </c>
    </row>
    <row r="539" spans="1:17" x14ac:dyDescent="0.3">
      <c r="A539" t="s">
        <v>546</v>
      </c>
      <c r="B539" t="str">
        <f t="shared" si="32"/>
        <v xml:space="preserve"> 13</v>
      </c>
      <c r="C539">
        <f t="shared" si="33"/>
        <v>6</v>
      </c>
      <c r="D539" t="str">
        <f t="shared" si="34"/>
        <v xml:space="preserve">2016-11-26 </v>
      </c>
      <c r="E539" t="str">
        <f>TEXT(Demand_Data___Hourly_OverviewSearch_1_csv[[#This Row],[Day]],"dddd")</f>
        <v>Friday</v>
      </c>
      <c r="F539">
        <v>2</v>
      </c>
      <c r="G539">
        <v>26</v>
      </c>
      <c r="H539">
        <v>93</v>
      </c>
      <c r="I539">
        <f>VLOOKUP(Demand_Data___Hourly_OverviewSearch_1_csv[[#This Row],[Date]],Supply_Data___Hourly_DriverActivity_1_csv__3[#All],2,FALSE)</f>
        <v>66</v>
      </c>
      <c r="J539">
        <f>VLOOKUP(Demand_Data___Hourly_OverviewSearch_1_csv[[#This Row],[Date]],Supply_Data___Hourly_DriverActivity_1_csv__3[#All],3,FALSE)</f>
        <v>28</v>
      </c>
      <c r="K539">
        <f>VLOOKUP(Demand_Data___Hourly_OverviewSearch_1_csv[[#This Row],[Date]],Supply_Data___Hourly_DriverActivity_1_csv__3[#All],4,FALSE)</f>
        <v>2</v>
      </c>
      <c r="L539">
        <f>VLOOKUP(Demand_Data___Hourly_OverviewSearch_1_csv[[#This Row],[Date]],Supply_Data___Hourly_DriverActivity_1_csv__3[#All],5,FALSE)</f>
        <v>26</v>
      </c>
      <c r="M539">
        <f>VLOOKUP(Demand_Data___Hourly_OverviewSearch_1_csv[[#This Row],[Date]],Supply_Data___Hourly_DriverActivity_1_csv__3[#All],6,FALSE)</f>
        <v>0.4</v>
      </c>
      <c r="N539">
        <f>VLOOKUP(Demand_Data___Hourly_OverviewSearch_1_csv[[#This Row],[Date]],Supply_Data___Hourly_DriverActivity_1_csv__3[#All],7,FALSE)</f>
        <v>0.14000000000000001</v>
      </c>
      <c r="O539">
        <f>VLOOKUP(Demand_Data___Hourly_OverviewSearch_1_csv[[#This Row],[Date]],Supply_Data___Hourly_DriverActivity_1_csv__3[#All],8,FALSE)</f>
        <v>4</v>
      </c>
      <c r="P539">
        <f>(Demand_Data___Hourly_OverviewSearch_1_csv[[#This Row],[People saw 0 cars (unique)]]+Demand_Data___Hourly_OverviewSearch_1_csv[[#This Row],[People saw +1 cars (unique)]])</f>
        <v>28</v>
      </c>
      <c r="Q539" s="143">
        <f t="shared" si="35"/>
        <v>26</v>
      </c>
    </row>
    <row r="540" spans="1:17" x14ac:dyDescent="0.3">
      <c r="A540" t="s">
        <v>547</v>
      </c>
      <c r="B540" t="str">
        <f t="shared" si="32"/>
        <v xml:space="preserve"> 12</v>
      </c>
      <c r="C540">
        <f t="shared" si="33"/>
        <v>6</v>
      </c>
      <c r="D540" t="str">
        <f t="shared" si="34"/>
        <v xml:space="preserve">2016-11-26 </v>
      </c>
      <c r="E540" t="str">
        <f>TEXT(Demand_Data___Hourly_OverviewSearch_1_csv[[#This Row],[Day]],"dddd")</f>
        <v>Friday</v>
      </c>
      <c r="F540">
        <v>3</v>
      </c>
      <c r="G540">
        <v>30</v>
      </c>
      <c r="H540">
        <v>91</v>
      </c>
      <c r="I540">
        <f>VLOOKUP(Demand_Data___Hourly_OverviewSearch_1_csv[[#This Row],[Date]],Supply_Data___Hourly_DriverActivity_1_csv__3[#All],2,FALSE)</f>
        <v>60</v>
      </c>
      <c r="J540">
        <f>VLOOKUP(Demand_Data___Hourly_OverviewSearch_1_csv[[#This Row],[Date]],Supply_Data___Hourly_DriverActivity_1_csv__3[#All],3,FALSE)</f>
        <v>27</v>
      </c>
      <c r="K540">
        <f>VLOOKUP(Demand_Data___Hourly_OverviewSearch_1_csv[[#This Row],[Date]],Supply_Data___Hourly_DriverActivity_1_csv__3[#All],4,FALSE)</f>
        <v>7</v>
      </c>
      <c r="L540">
        <f>VLOOKUP(Demand_Data___Hourly_OverviewSearch_1_csv[[#This Row],[Date]],Supply_Data___Hourly_DriverActivity_1_csv__3[#All],5,FALSE)</f>
        <v>20</v>
      </c>
      <c r="M540">
        <f>VLOOKUP(Demand_Data___Hourly_OverviewSearch_1_csv[[#This Row],[Date]],Supply_Data___Hourly_DriverActivity_1_csv__3[#All],6,FALSE)</f>
        <v>0.5</v>
      </c>
      <c r="N540">
        <f>VLOOKUP(Demand_Data___Hourly_OverviewSearch_1_csv[[#This Row],[Date]],Supply_Data___Hourly_DriverActivity_1_csv__3[#All],7,FALSE)</f>
        <v>0.63</v>
      </c>
      <c r="O540">
        <f>VLOOKUP(Demand_Data___Hourly_OverviewSearch_1_csv[[#This Row],[Date]],Supply_Data___Hourly_DriverActivity_1_csv__3[#All],8,FALSE)</f>
        <v>17</v>
      </c>
      <c r="P540">
        <f>(Demand_Data___Hourly_OverviewSearch_1_csv[[#This Row],[People saw 0 cars (unique)]]+Demand_Data___Hourly_OverviewSearch_1_csv[[#This Row],[People saw +1 cars (unique)]])</f>
        <v>33</v>
      </c>
      <c r="Q540" s="143">
        <f t="shared" si="35"/>
        <v>20</v>
      </c>
    </row>
    <row r="541" spans="1:17" x14ac:dyDescent="0.3">
      <c r="A541" t="s">
        <v>548</v>
      </c>
      <c r="B541" t="str">
        <f t="shared" si="32"/>
        <v xml:space="preserve"> 11</v>
      </c>
      <c r="C541">
        <f t="shared" si="33"/>
        <v>6</v>
      </c>
      <c r="D541" t="str">
        <f t="shared" si="34"/>
        <v xml:space="preserve">2016-11-26 </v>
      </c>
      <c r="E541" t="str">
        <f>TEXT(Demand_Data___Hourly_OverviewSearch_1_csv[[#This Row],[Day]],"dddd")</f>
        <v>Friday</v>
      </c>
      <c r="F541">
        <v>3</v>
      </c>
      <c r="G541">
        <v>39</v>
      </c>
      <c r="H541">
        <v>93</v>
      </c>
      <c r="I541">
        <f>VLOOKUP(Demand_Data___Hourly_OverviewSearch_1_csv[[#This Row],[Date]],Supply_Data___Hourly_DriverActivity_1_csv__3[#All],2,FALSE)</f>
        <v>57</v>
      </c>
      <c r="J541">
        <f>VLOOKUP(Demand_Data___Hourly_OverviewSearch_1_csv[[#This Row],[Date]],Supply_Data___Hourly_DriverActivity_1_csv__3[#All],3,FALSE)</f>
        <v>24</v>
      </c>
      <c r="K541">
        <f>VLOOKUP(Demand_Data___Hourly_OverviewSearch_1_csv[[#This Row],[Date]],Supply_Data___Hourly_DriverActivity_1_csv__3[#All],4,FALSE)</f>
        <v>5</v>
      </c>
      <c r="L541">
        <f>VLOOKUP(Demand_Data___Hourly_OverviewSearch_1_csv[[#This Row],[Date]],Supply_Data___Hourly_DriverActivity_1_csv__3[#All],5,FALSE)</f>
        <v>18</v>
      </c>
      <c r="M541">
        <f>VLOOKUP(Demand_Data___Hourly_OverviewSearch_1_csv[[#This Row],[Date]],Supply_Data___Hourly_DriverActivity_1_csv__3[#All],6,FALSE)</f>
        <v>0.4</v>
      </c>
      <c r="N541">
        <f>VLOOKUP(Demand_Data___Hourly_OverviewSearch_1_csv[[#This Row],[Date]],Supply_Data___Hourly_DriverActivity_1_csv__3[#All],7,FALSE)</f>
        <v>0.42</v>
      </c>
      <c r="O541">
        <f>VLOOKUP(Demand_Data___Hourly_OverviewSearch_1_csv[[#This Row],[Date]],Supply_Data___Hourly_DriverActivity_1_csv__3[#All],8,FALSE)</f>
        <v>10</v>
      </c>
      <c r="P541">
        <f>(Demand_Data___Hourly_OverviewSearch_1_csv[[#This Row],[People saw 0 cars (unique)]]+Demand_Data___Hourly_OverviewSearch_1_csv[[#This Row],[People saw +1 cars (unique)]])</f>
        <v>42</v>
      </c>
      <c r="Q541" s="143">
        <f t="shared" si="35"/>
        <v>19</v>
      </c>
    </row>
    <row r="542" spans="1:17" x14ac:dyDescent="0.3">
      <c r="A542" t="s">
        <v>549</v>
      </c>
      <c r="B542" t="str">
        <f t="shared" si="32"/>
        <v xml:space="preserve"> 10</v>
      </c>
      <c r="C542">
        <f t="shared" si="33"/>
        <v>6</v>
      </c>
      <c r="D542" t="str">
        <f t="shared" si="34"/>
        <v xml:space="preserve">2016-11-26 </v>
      </c>
      <c r="E542" t="str">
        <f>TEXT(Demand_Data___Hourly_OverviewSearch_1_csv[[#This Row],[Day]],"dddd")</f>
        <v>Friday</v>
      </c>
      <c r="F542">
        <v>13</v>
      </c>
      <c r="G542">
        <v>41</v>
      </c>
      <c r="H542">
        <v>76</v>
      </c>
      <c r="I542">
        <f>VLOOKUP(Demand_Data___Hourly_OverviewSearch_1_csv[[#This Row],[Date]],Supply_Data___Hourly_DriverActivity_1_csv__3[#All],2,FALSE)</f>
        <v>51</v>
      </c>
      <c r="J542">
        <f>VLOOKUP(Demand_Data___Hourly_OverviewSearch_1_csv[[#This Row],[Date]],Supply_Data___Hourly_DriverActivity_1_csv__3[#All],3,FALSE)</f>
        <v>19</v>
      </c>
      <c r="K542">
        <f>VLOOKUP(Demand_Data___Hourly_OverviewSearch_1_csv[[#This Row],[Date]],Supply_Data___Hourly_DriverActivity_1_csv__3[#All],4,FALSE)</f>
        <v>6</v>
      </c>
      <c r="L542">
        <f>VLOOKUP(Demand_Data___Hourly_OverviewSearch_1_csv[[#This Row],[Date]],Supply_Data___Hourly_DriverActivity_1_csv__3[#All],5,FALSE)</f>
        <v>13</v>
      </c>
      <c r="M542">
        <f>VLOOKUP(Demand_Data___Hourly_OverviewSearch_1_csv[[#This Row],[Date]],Supply_Data___Hourly_DriverActivity_1_csv__3[#All],6,FALSE)</f>
        <v>0.4</v>
      </c>
      <c r="N542">
        <f>VLOOKUP(Demand_Data___Hourly_OverviewSearch_1_csv[[#This Row],[Date]],Supply_Data___Hourly_DriverActivity_1_csv__3[#All],7,FALSE)</f>
        <v>0.79</v>
      </c>
      <c r="O542">
        <f>VLOOKUP(Demand_Data___Hourly_OverviewSearch_1_csv[[#This Row],[Date]],Supply_Data___Hourly_DriverActivity_1_csv__3[#All],8,FALSE)</f>
        <v>15</v>
      </c>
      <c r="P542">
        <f>(Demand_Data___Hourly_OverviewSearch_1_csv[[#This Row],[People saw 0 cars (unique)]]+Demand_Data___Hourly_OverviewSearch_1_csv[[#This Row],[People saw +1 cars (unique)]])</f>
        <v>54</v>
      </c>
      <c r="Q542" s="143">
        <f t="shared" si="35"/>
        <v>13</v>
      </c>
    </row>
    <row r="543" spans="1:17" x14ac:dyDescent="0.3">
      <c r="A543" t="s">
        <v>550</v>
      </c>
      <c r="B543" t="str">
        <f t="shared" si="32"/>
        <v xml:space="preserve"> 09</v>
      </c>
      <c r="C543">
        <f t="shared" si="33"/>
        <v>6</v>
      </c>
      <c r="D543" t="str">
        <f t="shared" si="34"/>
        <v xml:space="preserve">2016-11-26 </v>
      </c>
      <c r="E543" t="str">
        <f>TEXT(Demand_Data___Hourly_OverviewSearch_1_csv[[#This Row],[Day]],"dddd")</f>
        <v>Friday</v>
      </c>
      <c r="F543">
        <v>6</v>
      </c>
      <c r="G543">
        <v>23</v>
      </c>
      <c r="H543">
        <v>79</v>
      </c>
      <c r="I543">
        <f>VLOOKUP(Demand_Data___Hourly_OverviewSearch_1_csv[[#This Row],[Date]],Supply_Data___Hourly_DriverActivity_1_csv__3[#All],2,FALSE)</f>
        <v>45</v>
      </c>
      <c r="J543">
        <f>VLOOKUP(Demand_Data___Hourly_OverviewSearch_1_csv[[#This Row],[Date]],Supply_Data___Hourly_DriverActivity_1_csv__3[#All],3,FALSE)</f>
        <v>17</v>
      </c>
      <c r="K543">
        <f>VLOOKUP(Demand_Data___Hourly_OverviewSearch_1_csv[[#This Row],[Date]],Supply_Data___Hourly_DriverActivity_1_csv__3[#All],4,FALSE)</f>
        <v>2</v>
      </c>
      <c r="L543">
        <f>VLOOKUP(Demand_Data___Hourly_OverviewSearch_1_csv[[#This Row],[Date]],Supply_Data___Hourly_DriverActivity_1_csv__3[#All],5,FALSE)</f>
        <v>15</v>
      </c>
      <c r="M543">
        <f>VLOOKUP(Demand_Data___Hourly_OverviewSearch_1_csv[[#This Row],[Date]],Supply_Data___Hourly_DriverActivity_1_csv__3[#All],6,FALSE)</f>
        <v>0.4</v>
      </c>
      <c r="N543">
        <f>VLOOKUP(Demand_Data___Hourly_OverviewSearch_1_csv[[#This Row],[Date]],Supply_Data___Hourly_DriverActivity_1_csv__3[#All],7,FALSE)</f>
        <v>0.28999999999999998</v>
      </c>
      <c r="O543">
        <f>VLOOKUP(Demand_Data___Hourly_OverviewSearch_1_csv[[#This Row],[Date]],Supply_Data___Hourly_DriverActivity_1_csv__3[#All],8,FALSE)</f>
        <v>5</v>
      </c>
      <c r="P543">
        <f>(Demand_Data___Hourly_OverviewSearch_1_csv[[#This Row],[People saw 0 cars (unique)]]+Demand_Data___Hourly_OverviewSearch_1_csv[[#This Row],[People saw +1 cars (unique)]])</f>
        <v>29</v>
      </c>
      <c r="Q543" s="143">
        <f t="shared" si="35"/>
        <v>15</v>
      </c>
    </row>
    <row r="544" spans="1:17" x14ac:dyDescent="0.3">
      <c r="A544" t="s">
        <v>551</v>
      </c>
      <c r="B544" t="str">
        <f t="shared" si="32"/>
        <v xml:space="preserve"> 08</v>
      </c>
      <c r="C544">
        <f t="shared" si="33"/>
        <v>6</v>
      </c>
      <c r="D544" t="str">
        <f t="shared" si="34"/>
        <v xml:space="preserve">2016-11-26 </v>
      </c>
      <c r="E544" t="str">
        <f>TEXT(Demand_Data___Hourly_OverviewSearch_1_csv[[#This Row],[Day]],"dddd")</f>
        <v>Friday</v>
      </c>
      <c r="F544">
        <v>2</v>
      </c>
      <c r="G544">
        <v>18</v>
      </c>
      <c r="H544">
        <v>90</v>
      </c>
      <c r="I544">
        <f>VLOOKUP(Demand_Data___Hourly_OverviewSearch_1_csv[[#This Row],[Date]],Supply_Data___Hourly_DriverActivity_1_csv__3[#All],2,FALSE)</f>
        <v>37</v>
      </c>
      <c r="J544">
        <f>VLOOKUP(Demand_Data___Hourly_OverviewSearch_1_csv[[#This Row],[Date]],Supply_Data___Hourly_DriverActivity_1_csv__3[#All],3,FALSE)</f>
        <v>15</v>
      </c>
      <c r="K544">
        <f>VLOOKUP(Demand_Data___Hourly_OverviewSearch_1_csv[[#This Row],[Date]],Supply_Data___Hourly_DriverActivity_1_csv__3[#All],4,FALSE)</f>
        <v>2</v>
      </c>
      <c r="L544">
        <f>VLOOKUP(Demand_Data___Hourly_OverviewSearch_1_csv[[#This Row],[Date]],Supply_Data___Hourly_DriverActivity_1_csv__3[#All],5,FALSE)</f>
        <v>13</v>
      </c>
      <c r="M544">
        <f>VLOOKUP(Demand_Data___Hourly_OverviewSearch_1_csv[[#This Row],[Date]],Supply_Data___Hourly_DriverActivity_1_csv__3[#All],6,FALSE)</f>
        <v>0.4</v>
      </c>
      <c r="N544">
        <f>VLOOKUP(Demand_Data___Hourly_OverviewSearch_1_csv[[#This Row],[Date]],Supply_Data___Hourly_DriverActivity_1_csv__3[#All],7,FALSE)</f>
        <v>0.27</v>
      </c>
      <c r="O544">
        <f>VLOOKUP(Demand_Data___Hourly_OverviewSearch_1_csv[[#This Row],[Date]],Supply_Data___Hourly_DriverActivity_1_csv__3[#All],8,FALSE)</f>
        <v>4</v>
      </c>
      <c r="P544">
        <f>(Demand_Data___Hourly_OverviewSearch_1_csv[[#This Row],[People saw 0 cars (unique)]]+Demand_Data___Hourly_OverviewSearch_1_csv[[#This Row],[People saw +1 cars (unique)]])</f>
        <v>20</v>
      </c>
      <c r="Q544" s="143">
        <f t="shared" si="35"/>
        <v>13</v>
      </c>
    </row>
    <row r="545" spans="1:17" x14ac:dyDescent="0.3">
      <c r="A545" t="s">
        <v>552</v>
      </c>
      <c r="B545" t="str">
        <f t="shared" si="32"/>
        <v xml:space="preserve"> 07</v>
      </c>
      <c r="C545">
        <f t="shared" si="33"/>
        <v>6</v>
      </c>
      <c r="D545" t="str">
        <f t="shared" si="34"/>
        <v xml:space="preserve">2016-11-26 </v>
      </c>
      <c r="E545" t="str">
        <f>TEXT(Demand_Data___Hourly_OverviewSearch_1_csv[[#This Row],[Day]],"dddd")</f>
        <v>Friday</v>
      </c>
      <c r="F545">
        <v>0</v>
      </c>
      <c r="G545">
        <v>8</v>
      </c>
      <c r="H545">
        <v>100</v>
      </c>
      <c r="I545">
        <f>VLOOKUP(Demand_Data___Hourly_OverviewSearch_1_csv[[#This Row],[Date]],Supply_Data___Hourly_DriverActivity_1_csv__3[#All],2,FALSE)</f>
        <v>34</v>
      </c>
      <c r="J545">
        <f>VLOOKUP(Demand_Data___Hourly_OverviewSearch_1_csv[[#This Row],[Date]],Supply_Data___Hourly_DriverActivity_1_csv__3[#All],3,FALSE)</f>
        <v>14</v>
      </c>
      <c r="K545">
        <f>VLOOKUP(Demand_Data___Hourly_OverviewSearch_1_csv[[#This Row],[Date]],Supply_Data___Hourly_DriverActivity_1_csv__3[#All],4,FALSE)</f>
        <v>1</v>
      </c>
      <c r="L545">
        <f>VLOOKUP(Demand_Data___Hourly_OverviewSearch_1_csv[[#This Row],[Date]],Supply_Data___Hourly_DriverActivity_1_csv__3[#All],5,FALSE)</f>
        <v>12</v>
      </c>
      <c r="M545">
        <f>VLOOKUP(Demand_Data___Hourly_OverviewSearch_1_csv[[#This Row],[Date]],Supply_Data___Hourly_DriverActivity_1_csv__3[#All],6,FALSE)</f>
        <v>0.4</v>
      </c>
      <c r="N545">
        <f>VLOOKUP(Demand_Data___Hourly_OverviewSearch_1_csv[[#This Row],[Date]],Supply_Data___Hourly_DriverActivity_1_csv__3[#All],7,FALSE)</f>
        <v>0.21</v>
      </c>
      <c r="O545">
        <f>VLOOKUP(Demand_Data___Hourly_OverviewSearch_1_csv[[#This Row],[Date]],Supply_Data___Hourly_DriverActivity_1_csv__3[#All],8,FALSE)</f>
        <v>3</v>
      </c>
      <c r="P545">
        <f>(Demand_Data___Hourly_OverviewSearch_1_csv[[#This Row],[People saw 0 cars (unique)]]+Demand_Data___Hourly_OverviewSearch_1_csv[[#This Row],[People saw +1 cars (unique)]])</f>
        <v>8</v>
      </c>
      <c r="Q545" s="143">
        <f t="shared" si="35"/>
        <v>13</v>
      </c>
    </row>
    <row r="546" spans="1:17" x14ac:dyDescent="0.3">
      <c r="A546" t="s">
        <v>553</v>
      </c>
      <c r="B546" t="str">
        <f t="shared" si="32"/>
        <v xml:space="preserve"> 06</v>
      </c>
      <c r="C546">
        <f t="shared" si="33"/>
        <v>6</v>
      </c>
      <c r="D546" t="str">
        <f t="shared" si="34"/>
        <v xml:space="preserve">2016-11-26 </v>
      </c>
      <c r="E546" t="str">
        <f>TEXT(Demand_Data___Hourly_OverviewSearch_1_csv[[#This Row],[Day]],"dddd")</f>
        <v>Friday</v>
      </c>
      <c r="F546">
        <v>1</v>
      </c>
      <c r="G546">
        <v>8</v>
      </c>
      <c r="H546">
        <v>89</v>
      </c>
      <c r="I546">
        <f>VLOOKUP(Demand_Data___Hourly_OverviewSearch_1_csv[[#This Row],[Date]],Supply_Data___Hourly_DriverActivity_1_csv__3[#All],2,FALSE)</f>
        <v>31</v>
      </c>
      <c r="J546">
        <f>VLOOKUP(Demand_Data___Hourly_OverviewSearch_1_csv[[#This Row],[Date]],Supply_Data___Hourly_DriverActivity_1_csv__3[#All],3,FALSE)</f>
        <v>12</v>
      </c>
      <c r="K546">
        <f>VLOOKUP(Demand_Data___Hourly_OverviewSearch_1_csv[[#This Row],[Date]],Supply_Data___Hourly_DriverActivity_1_csv__3[#All],4,FALSE)</f>
        <v>2</v>
      </c>
      <c r="L546">
        <f>VLOOKUP(Demand_Data___Hourly_OverviewSearch_1_csv[[#This Row],[Date]],Supply_Data___Hourly_DriverActivity_1_csv__3[#All],5,FALSE)</f>
        <v>11</v>
      </c>
      <c r="M546">
        <f>VLOOKUP(Demand_Data___Hourly_OverviewSearch_1_csv[[#This Row],[Date]],Supply_Data___Hourly_DriverActivity_1_csv__3[#All],6,FALSE)</f>
        <v>0.4</v>
      </c>
      <c r="N546">
        <f>VLOOKUP(Demand_Data___Hourly_OverviewSearch_1_csv[[#This Row],[Date]],Supply_Data___Hourly_DriverActivity_1_csv__3[#All],7,FALSE)</f>
        <v>0.33</v>
      </c>
      <c r="O546">
        <f>VLOOKUP(Demand_Data___Hourly_OverviewSearch_1_csv[[#This Row],[Date]],Supply_Data___Hourly_DriverActivity_1_csv__3[#All],8,FALSE)</f>
        <v>4</v>
      </c>
      <c r="P546">
        <f>(Demand_Data___Hourly_OverviewSearch_1_csv[[#This Row],[People saw 0 cars (unique)]]+Demand_Data___Hourly_OverviewSearch_1_csv[[#This Row],[People saw +1 cars (unique)]])</f>
        <v>9</v>
      </c>
      <c r="Q546" s="143">
        <f t="shared" si="35"/>
        <v>10</v>
      </c>
    </row>
    <row r="547" spans="1:17" x14ac:dyDescent="0.3">
      <c r="A547" t="s">
        <v>554</v>
      </c>
      <c r="B547" t="str">
        <f t="shared" si="32"/>
        <v xml:space="preserve"> 05</v>
      </c>
      <c r="C547">
        <f t="shared" si="33"/>
        <v>6</v>
      </c>
      <c r="D547" t="str">
        <f t="shared" si="34"/>
        <v xml:space="preserve">2016-11-26 </v>
      </c>
      <c r="E547" t="str">
        <f>TEXT(Demand_Data___Hourly_OverviewSearch_1_csv[[#This Row],[Day]],"dddd")</f>
        <v>Friday</v>
      </c>
      <c r="F547">
        <v>1</v>
      </c>
      <c r="G547">
        <v>10</v>
      </c>
      <c r="H547">
        <v>91</v>
      </c>
      <c r="I547">
        <f>VLOOKUP(Demand_Data___Hourly_OverviewSearch_1_csv[[#This Row],[Date]],Supply_Data___Hourly_DriverActivity_1_csv__3[#All],2,FALSE)</f>
        <v>36</v>
      </c>
      <c r="J547">
        <f>VLOOKUP(Demand_Data___Hourly_OverviewSearch_1_csv[[#This Row],[Date]],Supply_Data___Hourly_DriverActivity_1_csv__3[#All],3,FALSE)</f>
        <v>14</v>
      </c>
      <c r="K547">
        <f>VLOOKUP(Demand_Data___Hourly_OverviewSearch_1_csv[[#This Row],[Date]],Supply_Data___Hourly_DriverActivity_1_csv__3[#All],4,FALSE)</f>
        <v>3</v>
      </c>
      <c r="L547">
        <f>VLOOKUP(Demand_Data___Hourly_OverviewSearch_1_csv[[#This Row],[Date]],Supply_Data___Hourly_DriverActivity_1_csv__3[#All],5,FALSE)</f>
        <v>10</v>
      </c>
      <c r="M547">
        <f>VLOOKUP(Demand_Data___Hourly_OverviewSearch_1_csv[[#This Row],[Date]],Supply_Data___Hourly_DriverActivity_1_csv__3[#All],6,FALSE)</f>
        <v>0.4</v>
      </c>
      <c r="N547">
        <f>VLOOKUP(Demand_Data___Hourly_OverviewSearch_1_csv[[#This Row],[Date]],Supply_Data___Hourly_DriverActivity_1_csv__3[#All],7,FALSE)</f>
        <v>0.36</v>
      </c>
      <c r="O547">
        <f>VLOOKUP(Demand_Data___Hourly_OverviewSearch_1_csv[[#This Row],[Date]],Supply_Data___Hourly_DriverActivity_1_csv__3[#All],8,FALSE)</f>
        <v>5</v>
      </c>
      <c r="P547">
        <f>(Demand_Data___Hourly_OverviewSearch_1_csv[[#This Row],[People saw 0 cars (unique)]]+Demand_Data___Hourly_OverviewSearch_1_csv[[#This Row],[People saw +1 cars (unique)]])</f>
        <v>11</v>
      </c>
      <c r="Q547" s="143">
        <f t="shared" si="35"/>
        <v>11</v>
      </c>
    </row>
    <row r="548" spans="1:17" x14ac:dyDescent="0.3">
      <c r="A548" t="s">
        <v>555</v>
      </c>
      <c r="B548" t="str">
        <f t="shared" si="32"/>
        <v xml:space="preserve"> 04</v>
      </c>
      <c r="C548">
        <f t="shared" si="33"/>
        <v>6</v>
      </c>
      <c r="D548" t="str">
        <f t="shared" si="34"/>
        <v xml:space="preserve">2016-11-26 </v>
      </c>
      <c r="E548" t="str">
        <f>TEXT(Demand_Data___Hourly_OverviewSearch_1_csv[[#This Row],[Day]],"dddd")</f>
        <v>Friday</v>
      </c>
      <c r="F548">
        <v>8</v>
      </c>
      <c r="G548">
        <v>29</v>
      </c>
      <c r="H548">
        <v>78</v>
      </c>
      <c r="I548">
        <f>VLOOKUP(Demand_Data___Hourly_OverviewSearch_1_csv[[#This Row],[Date]],Supply_Data___Hourly_DriverActivity_1_csv__3[#All],2,FALSE)</f>
        <v>43</v>
      </c>
      <c r="J548">
        <f>VLOOKUP(Demand_Data___Hourly_OverviewSearch_1_csv[[#This Row],[Date]],Supply_Data___Hourly_DriverActivity_1_csv__3[#All],3,FALSE)</f>
        <v>18</v>
      </c>
      <c r="K548">
        <f>VLOOKUP(Demand_Data___Hourly_OverviewSearch_1_csv[[#This Row],[Date]],Supply_Data___Hourly_DriverActivity_1_csv__3[#All],4,FALSE)</f>
        <v>9</v>
      </c>
      <c r="L548">
        <f>VLOOKUP(Demand_Data___Hourly_OverviewSearch_1_csv[[#This Row],[Date]],Supply_Data___Hourly_DriverActivity_1_csv__3[#All],5,FALSE)</f>
        <v>9</v>
      </c>
      <c r="M548">
        <f>VLOOKUP(Demand_Data___Hourly_OverviewSearch_1_csv[[#This Row],[Date]],Supply_Data___Hourly_DriverActivity_1_csv__3[#All],6,FALSE)</f>
        <v>0.4</v>
      </c>
      <c r="N548">
        <f>VLOOKUP(Demand_Data___Hourly_OverviewSearch_1_csv[[#This Row],[Date]],Supply_Data___Hourly_DriverActivity_1_csv__3[#All],7,FALSE)</f>
        <v>1.1100000000000001</v>
      </c>
      <c r="O548">
        <f>VLOOKUP(Demand_Data___Hourly_OverviewSearch_1_csv[[#This Row],[Date]],Supply_Data___Hourly_DriverActivity_1_csv__3[#All],8,FALSE)</f>
        <v>20</v>
      </c>
      <c r="P548">
        <f>(Demand_Data___Hourly_OverviewSearch_1_csv[[#This Row],[People saw 0 cars (unique)]]+Demand_Data___Hourly_OverviewSearch_1_csv[[#This Row],[People saw +1 cars (unique)]])</f>
        <v>37</v>
      </c>
      <c r="Q548" s="143">
        <f t="shared" si="35"/>
        <v>9</v>
      </c>
    </row>
    <row r="549" spans="1:17" x14ac:dyDescent="0.3">
      <c r="A549" t="s">
        <v>556</v>
      </c>
      <c r="B549" t="str">
        <f t="shared" si="32"/>
        <v xml:space="preserve"> 03</v>
      </c>
      <c r="C549">
        <f t="shared" si="33"/>
        <v>6</v>
      </c>
      <c r="D549" t="str">
        <f t="shared" si="34"/>
        <v xml:space="preserve">2016-11-26 </v>
      </c>
      <c r="E549" t="str">
        <f>TEXT(Demand_Data___Hourly_OverviewSearch_1_csv[[#This Row],[Day]],"dddd")</f>
        <v>Friday</v>
      </c>
      <c r="F549">
        <v>0</v>
      </c>
      <c r="G549">
        <v>37</v>
      </c>
      <c r="H549">
        <v>100</v>
      </c>
      <c r="I549">
        <f>VLOOKUP(Demand_Data___Hourly_OverviewSearch_1_csv[[#This Row],[Date]],Supply_Data___Hourly_DriverActivity_1_csv__3[#All],2,FALSE)</f>
        <v>58</v>
      </c>
      <c r="J549">
        <f>VLOOKUP(Demand_Data___Hourly_OverviewSearch_1_csv[[#This Row],[Date]],Supply_Data___Hourly_DriverActivity_1_csv__3[#All],3,FALSE)</f>
        <v>24</v>
      </c>
      <c r="K549">
        <f>VLOOKUP(Demand_Data___Hourly_OverviewSearch_1_csv[[#This Row],[Date]],Supply_Data___Hourly_DriverActivity_1_csv__3[#All],4,FALSE)</f>
        <v>6</v>
      </c>
      <c r="L549">
        <f>VLOOKUP(Demand_Data___Hourly_OverviewSearch_1_csv[[#This Row],[Date]],Supply_Data___Hourly_DriverActivity_1_csv__3[#All],5,FALSE)</f>
        <v>17</v>
      </c>
      <c r="M549">
        <f>VLOOKUP(Demand_Data___Hourly_OverviewSearch_1_csv[[#This Row],[Date]],Supply_Data___Hourly_DriverActivity_1_csv__3[#All],6,FALSE)</f>
        <v>0.4</v>
      </c>
      <c r="N549">
        <f>VLOOKUP(Demand_Data___Hourly_OverviewSearch_1_csv[[#This Row],[Date]],Supply_Data___Hourly_DriverActivity_1_csv__3[#All],7,FALSE)</f>
        <v>0.71</v>
      </c>
      <c r="O549">
        <f>VLOOKUP(Demand_Data___Hourly_OverviewSearch_1_csv[[#This Row],[Date]],Supply_Data___Hourly_DriverActivity_1_csv__3[#All],8,FALSE)</f>
        <v>17</v>
      </c>
      <c r="P549">
        <f>(Demand_Data___Hourly_OverviewSearch_1_csv[[#This Row],[People saw 0 cars (unique)]]+Demand_Data___Hourly_OverviewSearch_1_csv[[#This Row],[People saw +1 cars (unique)]])</f>
        <v>37</v>
      </c>
      <c r="Q549" s="143">
        <f t="shared" si="35"/>
        <v>18</v>
      </c>
    </row>
    <row r="550" spans="1:17" x14ac:dyDescent="0.3">
      <c r="A550" t="s">
        <v>557</v>
      </c>
      <c r="B550" t="str">
        <f t="shared" si="32"/>
        <v xml:space="preserve"> 02</v>
      </c>
      <c r="C550">
        <f t="shared" si="33"/>
        <v>6</v>
      </c>
      <c r="D550" t="str">
        <f t="shared" si="34"/>
        <v xml:space="preserve">2016-11-26 </v>
      </c>
      <c r="E550" t="str">
        <f>TEXT(Demand_Data___Hourly_OverviewSearch_1_csv[[#This Row],[Day]],"dddd")</f>
        <v>Friday</v>
      </c>
      <c r="F550">
        <v>2</v>
      </c>
      <c r="G550">
        <v>40</v>
      </c>
      <c r="H550">
        <v>95</v>
      </c>
      <c r="I550">
        <f>VLOOKUP(Demand_Data___Hourly_OverviewSearch_1_csv[[#This Row],[Date]],Supply_Data___Hourly_DriverActivity_1_csv__3[#All],2,FALSE)</f>
        <v>72</v>
      </c>
      <c r="J550">
        <f>VLOOKUP(Demand_Data___Hourly_OverviewSearch_1_csv[[#This Row],[Date]],Supply_Data___Hourly_DriverActivity_1_csv__3[#All],3,FALSE)</f>
        <v>29</v>
      </c>
      <c r="K550">
        <f>VLOOKUP(Demand_Data___Hourly_OverviewSearch_1_csv[[#This Row],[Date]],Supply_Data___Hourly_DriverActivity_1_csv__3[#All],4,FALSE)</f>
        <v>8</v>
      </c>
      <c r="L550">
        <f>VLOOKUP(Demand_Data___Hourly_OverviewSearch_1_csv[[#This Row],[Date]],Supply_Data___Hourly_DriverActivity_1_csv__3[#All],5,FALSE)</f>
        <v>21</v>
      </c>
      <c r="M550">
        <f>VLOOKUP(Demand_Data___Hourly_OverviewSearch_1_csv[[#This Row],[Date]],Supply_Data___Hourly_DriverActivity_1_csv__3[#All],6,FALSE)</f>
        <v>0.4</v>
      </c>
      <c r="N550">
        <f>VLOOKUP(Demand_Data___Hourly_OverviewSearch_1_csv[[#This Row],[Date]],Supply_Data___Hourly_DriverActivity_1_csv__3[#All],7,FALSE)</f>
        <v>0.69</v>
      </c>
      <c r="O550">
        <f>VLOOKUP(Demand_Data___Hourly_OverviewSearch_1_csv[[#This Row],[Date]],Supply_Data___Hourly_DriverActivity_1_csv__3[#All],8,FALSE)</f>
        <v>20</v>
      </c>
      <c r="P550">
        <f>(Demand_Data___Hourly_OverviewSearch_1_csv[[#This Row],[People saw 0 cars (unique)]]+Demand_Data___Hourly_OverviewSearch_1_csv[[#This Row],[People saw +1 cars (unique)]])</f>
        <v>42</v>
      </c>
      <c r="Q550" s="143">
        <f t="shared" si="35"/>
        <v>21</v>
      </c>
    </row>
    <row r="551" spans="1:17" x14ac:dyDescent="0.3">
      <c r="A551" t="s">
        <v>558</v>
      </c>
      <c r="B551" t="str">
        <f t="shared" si="32"/>
        <v xml:space="preserve"> 01</v>
      </c>
      <c r="C551">
        <f t="shared" si="33"/>
        <v>6</v>
      </c>
      <c r="D551" t="str">
        <f t="shared" si="34"/>
        <v xml:space="preserve">2016-11-26 </v>
      </c>
      <c r="E551" t="str">
        <f>TEXT(Demand_Data___Hourly_OverviewSearch_1_csv[[#This Row],[Day]],"dddd")</f>
        <v>Friday</v>
      </c>
      <c r="F551">
        <v>3</v>
      </c>
      <c r="G551">
        <v>32</v>
      </c>
      <c r="H551">
        <v>91</v>
      </c>
      <c r="I551">
        <f>VLOOKUP(Demand_Data___Hourly_OverviewSearch_1_csv[[#This Row],[Date]],Supply_Data___Hourly_DriverActivity_1_csv__3[#All],2,FALSE)</f>
        <v>85</v>
      </c>
      <c r="J551">
        <f>VLOOKUP(Demand_Data___Hourly_OverviewSearch_1_csv[[#This Row],[Date]],Supply_Data___Hourly_DriverActivity_1_csv__3[#All],3,FALSE)</f>
        <v>34</v>
      </c>
      <c r="K551">
        <f>VLOOKUP(Demand_Data___Hourly_OverviewSearch_1_csv[[#This Row],[Date]],Supply_Data___Hourly_DriverActivity_1_csv__3[#All],4,FALSE)</f>
        <v>6</v>
      </c>
      <c r="L551">
        <f>VLOOKUP(Demand_Data___Hourly_OverviewSearch_1_csv[[#This Row],[Date]],Supply_Data___Hourly_DriverActivity_1_csv__3[#All],5,FALSE)</f>
        <v>28</v>
      </c>
      <c r="M551">
        <f>VLOOKUP(Demand_Data___Hourly_OverviewSearch_1_csv[[#This Row],[Date]],Supply_Data___Hourly_DriverActivity_1_csv__3[#All],6,FALSE)</f>
        <v>0.4</v>
      </c>
      <c r="N551">
        <f>VLOOKUP(Demand_Data___Hourly_OverviewSearch_1_csv[[#This Row],[Date]],Supply_Data___Hourly_DriverActivity_1_csv__3[#All],7,FALSE)</f>
        <v>0.53</v>
      </c>
      <c r="O551">
        <f>VLOOKUP(Demand_Data___Hourly_OverviewSearch_1_csv[[#This Row],[Date]],Supply_Data___Hourly_DriverActivity_1_csv__3[#All],8,FALSE)</f>
        <v>18</v>
      </c>
      <c r="P551">
        <f>(Demand_Data___Hourly_OverviewSearch_1_csv[[#This Row],[People saw 0 cars (unique)]]+Demand_Data___Hourly_OverviewSearch_1_csv[[#This Row],[People saw +1 cars (unique)]])</f>
        <v>35</v>
      </c>
      <c r="Q551" s="143">
        <f t="shared" si="35"/>
        <v>28</v>
      </c>
    </row>
    <row r="552" spans="1:17" x14ac:dyDescent="0.3">
      <c r="A552" t="s">
        <v>559</v>
      </c>
      <c r="B552" t="str">
        <f t="shared" si="32"/>
        <v xml:space="preserve"> 00</v>
      </c>
      <c r="C552">
        <f t="shared" si="33"/>
        <v>6</v>
      </c>
      <c r="D552" t="str">
        <f t="shared" si="34"/>
        <v xml:space="preserve">2016-11-26 </v>
      </c>
      <c r="E552" t="str">
        <f>TEXT(Demand_Data___Hourly_OverviewSearch_1_csv[[#This Row],[Day]],"dddd")</f>
        <v>Friday</v>
      </c>
      <c r="F552">
        <v>1</v>
      </c>
      <c r="G552">
        <v>49</v>
      </c>
      <c r="H552">
        <v>98</v>
      </c>
      <c r="I552">
        <f>VLOOKUP(Demand_Data___Hourly_OverviewSearch_1_csv[[#This Row],[Date]],Supply_Data___Hourly_DriverActivity_1_csv__3[#All],2,FALSE)</f>
        <v>96</v>
      </c>
      <c r="J552">
        <f>VLOOKUP(Demand_Data___Hourly_OverviewSearch_1_csv[[#This Row],[Date]],Supply_Data___Hourly_DriverActivity_1_csv__3[#All],3,FALSE)</f>
        <v>41</v>
      </c>
      <c r="K552">
        <f>VLOOKUP(Demand_Data___Hourly_OverviewSearch_1_csv[[#This Row],[Date]],Supply_Data___Hourly_DriverActivity_1_csv__3[#All],4,FALSE)</f>
        <v>9</v>
      </c>
      <c r="L552">
        <f>VLOOKUP(Demand_Data___Hourly_OverviewSearch_1_csv[[#This Row],[Date]],Supply_Data___Hourly_DriverActivity_1_csv__3[#All],5,FALSE)</f>
        <v>33</v>
      </c>
      <c r="M552">
        <f>VLOOKUP(Demand_Data___Hourly_OverviewSearch_1_csv[[#This Row],[Date]],Supply_Data___Hourly_DriverActivity_1_csv__3[#All],6,FALSE)</f>
        <v>0.4</v>
      </c>
      <c r="N552">
        <f>VLOOKUP(Demand_Data___Hourly_OverviewSearch_1_csv[[#This Row],[Date]],Supply_Data___Hourly_DriverActivity_1_csv__3[#All],7,FALSE)</f>
        <v>0.54</v>
      </c>
      <c r="O552">
        <f>VLOOKUP(Demand_Data___Hourly_OverviewSearch_1_csv[[#This Row],[Date]],Supply_Data___Hourly_DriverActivity_1_csv__3[#All],8,FALSE)</f>
        <v>22</v>
      </c>
      <c r="P552">
        <f>(Demand_Data___Hourly_OverviewSearch_1_csv[[#This Row],[People saw 0 cars (unique)]]+Demand_Data___Hourly_OverviewSearch_1_csv[[#This Row],[People saw +1 cars (unique)]])</f>
        <v>50</v>
      </c>
      <c r="Q552" s="143">
        <f t="shared" si="35"/>
        <v>32</v>
      </c>
    </row>
    <row r="553" spans="1:17" x14ac:dyDescent="0.3">
      <c r="A553" t="s">
        <v>560</v>
      </c>
      <c r="B553" t="str">
        <f t="shared" si="32"/>
        <v xml:space="preserve"> 23</v>
      </c>
      <c r="C553">
        <f t="shared" si="33"/>
        <v>5</v>
      </c>
      <c r="D553" t="str">
        <f t="shared" si="34"/>
        <v xml:space="preserve">2016-11-25 </v>
      </c>
      <c r="E553" t="str">
        <f>TEXT(Demand_Data___Hourly_OverviewSearch_1_csv[[#This Row],[Day]],"dddd")</f>
        <v>Thursday</v>
      </c>
      <c r="F553">
        <v>4</v>
      </c>
      <c r="G553">
        <v>63</v>
      </c>
      <c r="H553">
        <v>94</v>
      </c>
      <c r="I553">
        <f>VLOOKUP(Demand_Data___Hourly_OverviewSearch_1_csv[[#This Row],[Date]],Supply_Data___Hourly_DriverActivity_1_csv__3[#All],2,FALSE)</f>
        <v>99</v>
      </c>
      <c r="J553">
        <f>VLOOKUP(Demand_Data___Hourly_OverviewSearch_1_csv[[#This Row],[Date]],Supply_Data___Hourly_DriverActivity_1_csv__3[#All],3,FALSE)</f>
        <v>38</v>
      </c>
      <c r="K553">
        <f>VLOOKUP(Demand_Data___Hourly_OverviewSearch_1_csv[[#This Row],[Date]],Supply_Data___Hourly_DriverActivity_1_csv__3[#All],4,FALSE)</f>
        <v>7</v>
      </c>
      <c r="L553">
        <f>VLOOKUP(Demand_Data___Hourly_OverviewSearch_1_csv[[#This Row],[Date]],Supply_Data___Hourly_DriverActivity_1_csv__3[#All],5,FALSE)</f>
        <v>31</v>
      </c>
      <c r="M553">
        <f>VLOOKUP(Demand_Data___Hourly_OverviewSearch_1_csv[[#This Row],[Date]],Supply_Data___Hourly_DriverActivity_1_csv__3[#All],6,FALSE)</f>
        <v>0.4</v>
      </c>
      <c r="N553">
        <f>VLOOKUP(Demand_Data___Hourly_OverviewSearch_1_csv[[#This Row],[Date]],Supply_Data___Hourly_DriverActivity_1_csv__3[#All],7,FALSE)</f>
        <v>0.66</v>
      </c>
      <c r="O553">
        <f>VLOOKUP(Demand_Data___Hourly_OverviewSearch_1_csv[[#This Row],[Date]],Supply_Data___Hourly_DriverActivity_1_csv__3[#All],8,FALSE)</f>
        <v>25</v>
      </c>
      <c r="P553">
        <f>(Demand_Data___Hourly_OverviewSearch_1_csv[[#This Row],[People saw 0 cars (unique)]]+Demand_Data___Hourly_OverviewSearch_1_csv[[#This Row],[People saw +1 cars (unique)]])</f>
        <v>67</v>
      </c>
      <c r="Q553" s="143">
        <f t="shared" si="35"/>
        <v>31</v>
      </c>
    </row>
    <row r="554" spans="1:17" x14ac:dyDescent="0.3">
      <c r="A554" t="s">
        <v>561</v>
      </c>
      <c r="B554" t="str">
        <f t="shared" si="32"/>
        <v xml:space="preserve"> 22</v>
      </c>
      <c r="C554">
        <f t="shared" si="33"/>
        <v>5</v>
      </c>
      <c r="D554" t="str">
        <f t="shared" si="34"/>
        <v xml:space="preserve">2016-11-25 </v>
      </c>
      <c r="E554" t="str">
        <f>TEXT(Demand_Data___Hourly_OverviewSearch_1_csv[[#This Row],[Day]],"dddd")</f>
        <v>Thursday</v>
      </c>
      <c r="F554">
        <v>8</v>
      </c>
      <c r="G554">
        <v>51</v>
      </c>
      <c r="H554">
        <v>86</v>
      </c>
      <c r="I554">
        <f>VLOOKUP(Demand_Data___Hourly_OverviewSearch_1_csv[[#This Row],[Date]],Supply_Data___Hourly_DriverActivity_1_csv__3[#All],2,FALSE)</f>
        <v>109</v>
      </c>
      <c r="J554">
        <f>VLOOKUP(Demand_Data___Hourly_OverviewSearch_1_csv[[#This Row],[Date]],Supply_Data___Hourly_DriverActivity_1_csv__3[#All],3,FALSE)</f>
        <v>48</v>
      </c>
      <c r="K554">
        <f>VLOOKUP(Demand_Data___Hourly_OverviewSearch_1_csv[[#This Row],[Date]],Supply_Data___Hourly_DriverActivity_1_csv__3[#All],4,FALSE)</f>
        <v>7</v>
      </c>
      <c r="L554">
        <f>VLOOKUP(Demand_Data___Hourly_OverviewSearch_1_csv[[#This Row],[Date]],Supply_Data___Hourly_DriverActivity_1_csv__3[#All],5,FALSE)</f>
        <v>41</v>
      </c>
      <c r="M554">
        <f>VLOOKUP(Demand_Data___Hourly_OverviewSearch_1_csv[[#This Row],[Date]],Supply_Data___Hourly_DriverActivity_1_csv__3[#All],6,FALSE)</f>
        <v>0.4</v>
      </c>
      <c r="N554">
        <f>VLOOKUP(Demand_Data___Hourly_OverviewSearch_1_csv[[#This Row],[Date]],Supply_Data___Hourly_DriverActivity_1_csv__3[#All],7,FALSE)</f>
        <v>0.42</v>
      </c>
      <c r="O554">
        <f>VLOOKUP(Demand_Data___Hourly_OverviewSearch_1_csv[[#This Row],[Date]],Supply_Data___Hourly_DriverActivity_1_csv__3[#All],8,FALSE)</f>
        <v>20</v>
      </c>
      <c r="P554">
        <f>(Demand_Data___Hourly_OverviewSearch_1_csv[[#This Row],[People saw 0 cars (unique)]]+Demand_Data___Hourly_OverviewSearch_1_csv[[#This Row],[People saw +1 cars (unique)]])</f>
        <v>59</v>
      </c>
      <c r="Q554" s="143">
        <f t="shared" si="35"/>
        <v>41</v>
      </c>
    </row>
    <row r="555" spans="1:17" x14ac:dyDescent="0.3">
      <c r="A555" t="s">
        <v>562</v>
      </c>
      <c r="B555" t="str">
        <f t="shared" si="32"/>
        <v xml:space="preserve"> 21</v>
      </c>
      <c r="C555">
        <f t="shared" si="33"/>
        <v>5</v>
      </c>
      <c r="D555" t="str">
        <f t="shared" si="34"/>
        <v xml:space="preserve">2016-11-25 </v>
      </c>
      <c r="E555" t="str">
        <f>TEXT(Demand_Data___Hourly_OverviewSearch_1_csv[[#This Row],[Day]],"dddd")</f>
        <v>Thursday</v>
      </c>
      <c r="F555">
        <v>2</v>
      </c>
      <c r="G555">
        <v>49</v>
      </c>
      <c r="H555">
        <v>96</v>
      </c>
      <c r="I555">
        <f>VLOOKUP(Demand_Data___Hourly_OverviewSearch_1_csv[[#This Row],[Date]],Supply_Data___Hourly_DriverActivity_1_csv__3[#All],2,FALSE)</f>
        <v>111</v>
      </c>
      <c r="J555">
        <f>VLOOKUP(Demand_Data___Hourly_OverviewSearch_1_csv[[#This Row],[Date]],Supply_Data___Hourly_DriverActivity_1_csv__3[#All],3,FALSE)</f>
        <v>48</v>
      </c>
      <c r="K555">
        <f>VLOOKUP(Demand_Data___Hourly_OverviewSearch_1_csv[[#This Row],[Date]],Supply_Data___Hourly_DriverActivity_1_csv__3[#All],4,FALSE)</f>
        <v>7</v>
      </c>
      <c r="L555">
        <f>VLOOKUP(Demand_Data___Hourly_OverviewSearch_1_csv[[#This Row],[Date]],Supply_Data___Hourly_DriverActivity_1_csv__3[#All],5,FALSE)</f>
        <v>41</v>
      </c>
      <c r="M555">
        <f>VLOOKUP(Demand_Data___Hourly_OverviewSearch_1_csv[[#This Row],[Date]],Supply_Data___Hourly_DriverActivity_1_csv__3[#All],6,FALSE)</f>
        <v>0.4</v>
      </c>
      <c r="N555">
        <f>VLOOKUP(Demand_Data___Hourly_OverviewSearch_1_csv[[#This Row],[Date]],Supply_Data___Hourly_DriverActivity_1_csv__3[#All],7,FALSE)</f>
        <v>0.42</v>
      </c>
      <c r="O555">
        <f>VLOOKUP(Demand_Data___Hourly_OverviewSearch_1_csv[[#This Row],[Date]],Supply_Data___Hourly_DriverActivity_1_csv__3[#All],8,FALSE)</f>
        <v>20</v>
      </c>
      <c r="P555">
        <f>(Demand_Data___Hourly_OverviewSearch_1_csv[[#This Row],[People saw 0 cars (unique)]]+Demand_Data___Hourly_OverviewSearch_1_csv[[#This Row],[People saw +1 cars (unique)]])</f>
        <v>51</v>
      </c>
      <c r="Q555" s="143">
        <f t="shared" si="35"/>
        <v>41</v>
      </c>
    </row>
    <row r="556" spans="1:17" x14ac:dyDescent="0.3">
      <c r="A556" t="s">
        <v>563</v>
      </c>
      <c r="B556" t="str">
        <f t="shared" si="32"/>
        <v xml:space="preserve"> 20</v>
      </c>
      <c r="C556">
        <f t="shared" si="33"/>
        <v>5</v>
      </c>
      <c r="D556" t="str">
        <f t="shared" si="34"/>
        <v xml:space="preserve">2016-11-25 </v>
      </c>
      <c r="E556" t="str">
        <f>TEXT(Demand_Data___Hourly_OverviewSearch_1_csv[[#This Row],[Day]],"dddd")</f>
        <v>Thursday</v>
      </c>
      <c r="F556">
        <v>9</v>
      </c>
      <c r="G556">
        <v>63</v>
      </c>
      <c r="H556">
        <v>88</v>
      </c>
      <c r="I556">
        <f>VLOOKUP(Demand_Data___Hourly_OverviewSearch_1_csv[[#This Row],[Date]],Supply_Data___Hourly_DriverActivity_1_csv__3[#All],2,FALSE)</f>
        <v>118</v>
      </c>
      <c r="J556">
        <f>VLOOKUP(Demand_Data___Hourly_OverviewSearch_1_csv[[#This Row],[Date]],Supply_Data___Hourly_DriverActivity_1_csv__3[#All],3,FALSE)</f>
        <v>47</v>
      </c>
      <c r="K556">
        <f>VLOOKUP(Demand_Data___Hourly_OverviewSearch_1_csv[[#This Row],[Date]],Supply_Data___Hourly_DriverActivity_1_csv__3[#All],4,FALSE)</f>
        <v>6</v>
      </c>
      <c r="L556">
        <f>VLOOKUP(Demand_Data___Hourly_OverviewSearch_1_csv[[#This Row],[Date]],Supply_Data___Hourly_DriverActivity_1_csv__3[#All],5,FALSE)</f>
        <v>41</v>
      </c>
      <c r="M556">
        <f>VLOOKUP(Demand_Data___Hourly_OverviewSearch_1_csv[[#This Row],[Date]],Supply_Data___Hourly_DriverActivity_1_csv__3[#All],6,FALSE)</f>
        <v>0.4</v>
      </c>
      <c r="N556">
        <f>VLOOKUP(Demand_Data___Hourly_OverviewSearch_1_csv[[#This Row],[Date]],Supply_Data___Hourly_DriverActivity_1_csv__3[#All],7,FALSE)</f>
        <v>0.34</v>
      </c>
      <c r="O556">
        <f>VLOOKUP(Demand_Data___Hourly_OverviewSearch_1_csv[[#This Row],[Date]],Supply_Data___Hourly_DriverActivity_1_csv__3[#All],8,FALSE)</f>
        <v>16</v>
      </c>
      <c r="P556">
        <f>(Demand_Data___Hourly_OverviewSearch_1_csv[[#This Row],[People saw 0 cars (unique)]]+Demand_Data___Hourly_OverviewSearch_1_csv[[#This Row],[People saw +1 cars (unique)]])</f>
        <v>72</v>
      </c>
      <c r="Q556" s="143">
        <f t="shared" si="35"/>
        <v>41</v>
      </c>
    </row>
    <row r="557" spans="1:17" x14ac:dyDescent="0.3">
      <c r="A557" t="s">
        <v>564</v>
      </c>
      <c r="B557" t="str">
        <f t="shared" si="32"/>
        <v xml:space="preserve"> 19</v>
      </c>
      <c r="C557">
        <f t="shared" si="33"/>
        <v>5</v>
      </c>
      <c r="D557" t="str">
        <f t="shared" si="34"/>
        <v xml:space="preserve">2016-11-25 </v>
      </c>
      <c r="E557" t="str">
        <f>TEXT(Demand_Data___Hourly_OverviewSearch_1_csv[[#This Row],[Day]],"dddd")</f>
        <v>Thursday</v>
      </c>
      <c r="F557">
        <v>4</v>
      </c>
      <c r="G557">
        <v>65</v>
      </c>
      <c r="H557">
        <v>94</v>
      </c>
      <c r="I557">
        <f>VLOOKUP(Demand_Data___Hourly_OverviewSearch_1_csv[[#This Row],[Date]],Supply_Data___Hourly_DriverActivity_1_csv__3[#All],2,FALSE)</f>
        <v>112</v>
      </c>
      <c r="J557">
        <f>VLOOKUP(Demand_Data___Hourly_OverviewSearch_1_csv[[#This Row],[Date]],Supply_Data___Hourly_DriverActivity_1_csv__3[#All],3,FALSE)</f>
        <v>51</v>
      </c>
      <c r="K557">
        <f>VLOOKUP(Demand_Data___Hourly_OverviewSearch_1_csv[[#This Row],[Date]],Supply_Data___Hourly_DriverActivity_1_csv__3[#All],4,FALSE)</f>
        <v>14</v>
      </c>
      <c r="L557">
        <f>VLOOKUP(Demand_Data___Hourly_OverviewSearch_1_csv[[#This Row],[Date]],Supply_Data___Hourly_DriverActivity_1_csv__3[#All],5,FALSE)</f>
        <v>36</v>
      </c>
      <c r="M557">
        <f>VLOOKUP(Demand_Data___Hourly_OverviewSearch_1_csv[[#This Row],[Date]],Supply_Data___Hourly_DriverActivity_1_csv__3[#All],6,FALSE)</f>
        <v>0.5</v>
      </c>
      <c r="N557">
        <f>VLOOKUP(Demand_Data___Hourly_OverviewSearch_1_csv[[#This Row],[Date]],Supply_Data___Hourly_DriverActivity_1_csv__3[#All],7,FALSE)</f>
        <v>0.47</v>
      </c>
      <c r="O557">
        <f>VLOOKUP(Demand_Data___Hourly_OverviewSearch_1_csv[[#This Row],[Date]],Supply_Data___Hourly_DriverActivity_1_csv__3[#All],8,FALSE)</f>
        <v>24</v>
      </c>
      <c r="P557">
        <f>(Demand_Data___Hourly_OverviewSearch_1_csv[[#This Row],[People saw 0 cars (unique)]]+Demand_Data___Hourly_OverviewSearch_1_csv[[#This Row],[People saw +1 cars (unique)]])</f>
        <v>69</v>
      </c>
      <c r="Q557" s="143">
        <f t="shared" si="35"/>
        <v>37</v>
      </c>
    </row>
    <row r="558" spans="1:17" x14ac:dyDescent="0.3">
      <c r="A558" t="s">
        <v>565</v>
      </c>
      <c r="B558" t="str">
        <f t="shared" si="32"/>
        <v xml:space="preserve"> 18</v>
      </c>
      <c r="C558">
        <f t="shared" si="33"/>
        <v>5</v>
      </c>
      <c r="D558" t="str">
        <f t="shared" si="34"/>
        <v xml:space="preserve">2016-11-25 </v>
      </c>
      <c r="E558" t="str">
        <f>TEXT(Demand_Data___Hourly_OverviewSearch_1_csv[[#This Row],[Day]],"dddd")</f>
        <v>Thursday</v>
      </c>
      <c r="F558">
        <v>22</v>
      </c>
      <c r="G558">
        <v>86</v>
      </c>
      <c r="H558">
        <v>80</v>
      </c>
      <c r="I558">
        <f>VLOOKUP(Demand_Data___Hourly_OverviewSearch_1_csv[[#This Row],[Date]],Supply_Data___Hourly_DriverActivity_1_csv__3[#All],2,FALSE)</f>
        <v>91</v>
      </c>
      <c r="J558">
        <f>VLOOKUP(Demand_Data___Hourly_OverviewSearch_1_csv[[#This Row],[Date]],Supply_Data___Hourly_DriverActivity_1_csv__3[#All],3,FALSE)</f>
        <v>42</v>
      </c>
      <c r="K558">
        <f>VLOOKUP(Demand_Data___Hourly_OverviewSearch_1_csv[[#This Row],[Date]],Supply_Data___Hourly_DriverActivity_1_csv__3[#All],4,FALSE)</f>
        <v>23</v>
      </c>
      <c r="L558">
        <f>VLOOKUP(Demand_Data___Hourly_OverviewSearch_1_csv[[#This Row],[Date]],Supply_Data___Hourly_DriverActivity_1_csv__3[#All],5,FALSE)</f>
        <v>19</v>
      </c>
      <c r="M558">
        <f>VLOOKUP(Demand_Data___Hourly_OverviewSearch_1_csv[[#This Row],[Date]],Supply_Data___Hourly_DriverActivity_1_csv__3[#All],6,FALSE)</f>
        <v>0.5</v>
      </c>
      <c r="N558">
        <f>VLOOKUP(Demand_Data___Hourly_OverviewSearch_1_csv[[#This Row],[Date]],Supply_Data___Hourly_DriverActivity_1_csv__3[#All],7,FALSE)</f>
        <v>0.81</v>
      </c>
      <c r="O558">
        <f>VLOOKUP(Demand_Data___Hourly_OverviewSearch_1_csv[[#This Row],[Date]],Supply_Data___Hourly_DriverActivity_1_csv__3[#All],8,FALSE)</f>
        <v>34</v>
      </c>
      <c r="P558">
        <f>(Demand_Data___Hourly_OverviewSearch_1_csv[[#This Row],[People saw 0 cars (unique)]]+Demand_Data___Hourly_OverviewSearch_1_csv[[#This Row],[People saw +1 cars (unique)]])</f>
        <v>108</v>
      </c>
      <c r="Q558" s="143">
        <f t="shared" si="35"/>
        <v>19</v>
      </c>
    </row>
    <row r="559" spans="1:17" x14ac:dyDescent="0.3">
      <c r="A559" t="s">
        <v>566</v>
      </c>
      <c r="B559" t="str">
        <f t="shared" si="32"/>
        <v xml:space="preserve"> 17</v>
      </c>
      <c r="C559">
        <f t="shared" si="33"/>
        <v>5</v>
      </c>
      <c r="D559" t="str">
        <f t="shared" si="34"/>
        <v xml:space="preserve">2016-11-25 </v>
      </c>
      <c r="E559" t="str">
        <f>TEXT(Demand_Data___Hourly_OverviewSearch_1_csv[[#This Row],[Day]],"dddd")</f>
        <v>Thursday</v>
      </c>
      <c r="F559">
        <v>18</v>
      </c>
      <c r="G559">
        <v>68</v>
      </c>
      <c r="H559">
        <v>79</v>
      </c>
      <c r="I559">
        <f>VLOOKUP(Demand_Data___Hourly_OverviewSearch_1_csv[[#This Row],[Date]],Supply_Data___Hourly_DriverActivity_1_csv__3[#All],2,FALSE)</f>
        <v>90</v>
      </c>
      <c r="J559">
        <f>VLOOKUP(Demand_Data___Hourly_OverviewSearch_1_csv[[#This Row],[Date]],Supply_Data___Hourly_DriverActivity_1_csv__3[#All],3,FALSE)</f>
        <v>37</v>
      </c>
      <c r="K559">
        <f>VLOOKUP(Demand_Data___Hourly_OverviewSearch_1_csv[[#This Row],[Date]],Supply_Data___Hourly_DriverActivity_1_csv__3[#All],4,FALSE)</f>
        <v>15</v>
      </c>
      <c r="L559">
        <f>VLOOKUP(Demand_Data___Hourly_OverviewSearch_1_csv[[#This Row],[Date]],Supply_Data___Hourly_DriverActivity_1_csv__3[#All],5,FALSE)</f>
        <v>22</v>
      </c>
      <c r="M559">
        <f>VLOOKUP(Demand_Data___Hourly_OverviewSearch_1_csv[[#This Row],[Date]],Supply_Data___Hourly_DriverActivity_1_csv__3[#All],6,FALSE)</f>
        <v>0.4</v>
      </c>
      <c r="N559">
        <f>VLOOKUP(Demand_Data___Hourly_OverviewSearch_1_csv[[#This Row],[Date]],Supply_Data___Hourly_DriverActivity_1_csv__3[#All],7,FALSE)</f>
        <v>0.78</v>
      </c>
      <c r="O559">
        <f>VLOOKUP(Demand_Data___Hourly_OverviewSearch_1_csv[[#This Row],[Date]],Supply_Data___Hourly_DriverActivity_1_csv__3[#All],8,FALSE)</f>
        <v>29</v>
      </c>
      <c r="P559">
        <f>(Demand_Data___Hourly_OverviewSearch_1_csv[[#This Row],[People saw 0 cars (unique)]]+Demand_Data___Hourly_OverviewSearch_1_csv[[#This Row],[People saw +1 cars (unique)]])</f>
        <v>86</v>
      </c>
      <c r="Q559" s="143">
        <f t="shared" si="35"/>
        <v>22</v>
      </c>
    </row>
    <row r="560" spans="1:17" x14ac:dyDescent="0.3">
      <c r="A560" t="s">
        <v>567</v>
      </c>
      <c r="B560" t="str">
        <f t="shared" si="32"/>
        <v xml:space="preserve"> 16</v>
      </c>
      <c r="C560">
        <f t="shared" si="33"/>
        <v>5</v>
      </c>
      <c r="D560" t="str">
        <f t="shared" si="34"/>
        <v xml:space="preserve">2016-11-25 </v>
      </c>
      <c r="E560" t="str">
        <f>TEXT(Demand_Data___Hourly_OverviewSearch_1_csv[[#This Row],[Day]],"dddd")</f>
        <v>Thursday</v>
      </c>
      <c r="F560">
        <v>9</v>
      </c>
      <c r="G560">
        <v>49</v>
      </c>
      <c r="H560">
        <v>84</v>
      </c>
      <c r="I560">
        <f>VLOOKUP(Demand_Data___Hourly_OverviewSearch_1_csv[[#This Row],[Date]],Supply_Data___Hourly_DriverActivity_1_csv__3[#All],2,FALSE)</f>
        <v>86</v>
      </c>
      <c r="J560">
        <f>VLOOKUP(Demand_Data___Hourly_OverviewSearch_1_csv[[#This Row],[Date]],Supply_Data___Hourly_DriverActivity_1_csv__3[#All],3,FALSE)</f>
        <v>30</v>
      </c>
      <c r="K560">
        <f>VLOOKUP(Demand_Data___Hourly_OverviewSearch_1_csv[[#This Row],[Date]],Supply_Data___Hourly_DriverActivity_1_csv__3[#All],4,FALSE)</f>
        <v>8</v>
      </c>
      <c r="L560">
        <f>VLOOKUP(Demand_Data___Hourly_OverviewSearch_1_csv[[#This Row],[Date]],Supply_Data___Hourly_DriverActivity_1_csv__3[#All],5,FALSE)</f>
        <v>22</v>
      </c>
      <c r="M560">
        <f>VLOOKUP(Demand_Data___Hourly_OverviewSearch_1_csv[[#This Row],[Date]],Supply_Data___Hourly_DriverActivity_1_csv__3[#All],6,FALSE)</f>
        <v>0.3</v>
      </c>
      <c r="N560">
        <f>VLOOKUP(Demand_Data___Hourly_OverviewSearch_1_csv[[#This Row],[Date]],Supply_Data___Hourly_DriverActivity_1_csv__3[#All],7,FALSE)</f>
        <v>0.43</v>
      </c>
      <c r="O560">
        <f>VLOOKUP(Demand_Data___Hourly_OverviewSearch_1_csv[[#This Row],[Date]],Supply_Data___Hourly_DriverActivity_1_csv__3[#All],8,FALSE)</f>
        <v>13</v>
      </c>
      <c r="P560">
        <f>(Demand_Data___Hourly_OverviewSearch_1_csv[[#This Row],[People saw 0 cars (unique)]]+Demand_Data___Hourly_OverviewSearch_1_csv[[#This Row],[People saw +1 cars (unique)]])</f>
        <v>58</v>
      </c>
      <c r="Q560" s="143">
        <f t="shared" si="35"/>
        <v>22</v>
      </c>
    </row>
    <row r="561" spans="1:17" x14ac:dyDescent="0.3">
      <c r="A561" t="s">
        <v>568</v>
      </c>
      <c r="B561" t="str">
        <f t="shared" si="32"/>
        <v xml:space="preserve"> 15</v>
      </c>
      <c r="C561">
        <f t="shared" si="33"/>
        <v>5</v>
      </c>
      <c r="D561" t="str">
        <f t="shared" si="34"/>
        <v xml:space="preserve">2016-11-25 </v>
      </c>
      <c r="E561" t="str">
        <f>TEXT(Demand_Data___Hourly_OverviewSearch_1_csv[[#This Row],[Day]],"dddd")</f>
        <v>Thursday</v>
      </c>
      <c r="F561">
        <v>7</v>
      </c>
      <c r="G561">
        <v>44</v>
      </c>
      <c r="H561">
        <v>86</v>
      </c>
      <c r="I561">
        <f>VLOOKUP(Demand_Data___Hourly_OverviewSearch_1_csv[[#This Row],[Date]],Supply_Data___Hourly_DriverActivity_1_csv__3[#All],2,FALSE)</f>
        <v>74</v>
      </c>
      <c r="J561">
        <f>VLOOKUP(Demand_Data___Hourly_OverviewSearch_1_csv[[#This Row],[Date]],Supply_Data___Hourly_DriverActivity_1_csv__3[#All],3,FALSE)</f>
        <v>26</v>
      </c>
      <c r="K561">
        <f>VLOOKUP(Demand_Data___Hourly_OverviewSearch_1_csv[[#This Row],[Date]],Supply_Data___Hourly_DriverActivity_1_csv__3[#All],4,FALSE)</f>
        <v>9</v>
      </c>
      <c r="L561">
        <f>VLOOKUP(Demand_Data___Hourly_OverviewSearch_1_csv[[#This Row],[Date]],Supply_Data___Hourly_DriverActivity_1_csv__3[#All],5,FALSE)</f>
        <v>16</v>
      </c>
      <c r="M561">
        <f>VLOOKUP(Demand_Data___Hourly_OverviewSearch_1_csv[[#This Row],[Date]],Supply_Data___Hourly_DriverActivity_1_csv__3[#All],6,FALSE)</f>
        <v>0.4</v>
      </c>
      <c r="N561">
        <f>VLOOKUP(Demand_Data___Hourly_OverviewSearch_1_csv[[#This Row],[Date]],Supply_Data___Hourly_DriverActivity_1_csv__3[#All],7,FALSE)</f>
        <v>0.65</v>
      </c>
      <c r="O561">
        <f>VLOOKUP(Demand_Data___Hourly_OverviewSearch_1_csv[[#This Row],[Date]],Supply_Data___Hourly_DriverActivity_1_csv__3[#All],8,FALSE)</f>
        <v>17</v>
      </c>
      <c r="P561">
        <f>(Demand_Data___Hourly_OverviewSearch_1_csv[[#This Row],[People saw 0 cars (unique)]]+Demand_Data___Hourly_OverviewSearch_1_csv[[#This Row],[People saw +1 cars (unique)]])</f>
        <v>51</v>
      </c>
      <c r="Q561" s="143">
        <f t="shared" si="35"/>
        <v>17</v>
      </c>
    </row>
    <row r="562" spans="1:17" x14ac:dyDescent="0.3">
      <c r="A562" t="s">
        <v>569</v>
      </c>
      <c r="B562" t="str">
        <f t="shared" si="32"/>
        <v xml:space="preserve"> 14</v>
      </c>
      <c r="C562">
        <f t="shared" si="33"/>
        <v>5</v>
      </c>
      <c r="D562" t="str">
        <f t="shared" si="34"/>
        <v xml:space="preserve">2016-11-25 </v>
      </c>
      <c r="E562" t="str">
        <f>TEXT(Demand_Data___Hourly_OverviewSearch_1_csv[[#This Row],[Day]],"dddd")</f>
        <v>Thursday</v>
      </c>
      <c r="F562">
        <v>12</v>
      </c>
      <c r="G562">
        <v>39</v>
      </c>
      <c r="H562">
        <v>76</v>
      </c>
      <c r="I562">
        <f>VLOOKUP(Demand_Data___Hourly_OverviewSearch_1_csv[[#This Row],[Date]],Supply_Data___Hourly_DriverActivity_1_csv__3[#All],2,FALSE)</f>
        <v>67</v>
      </c>
      <c r="J562">
        <f>VLOOKUP(Demand_Data___Hourly_OverviewSearch_1_csv[[#This Row],[Date]],Supply_Data___Hourly_DriverActivity_1_csv__3[#All],3,FALSE)</f>
        <v>22</v>
      </c>
      <c r="K562">
        <f>VLOOKUP(Demand_Data___Hourly_OverviewSearch_1_csv[[#This Row],[Date]],Supply_Data___Hourly_DriverActivity_1_csv__3[#All],4,FALSE)</f>
        <v>7</v>
      </c>
      <c r="L562">
        <f>VLOOKUP(Demand_Data___Hourly_OverviewSearch_1_csv[[#This Row],[Date]],Supply_Data___Hourly_DriverActivity_1_csv__3[#All],5,FALSE)</f>
        <v>15</v>
      </c>
      <c r="M562">
        <f>VLOOKUP(Demand_Data___Hourly_OverviewSearch_1_csv[[#This Row],[Date]],Supply_Data___Hourly_DriverActivity_1_csv__3[#All],6,FALSE)</f>
        <v>0.3</v>
      </c>
      <c r="N562">
        <f>VLOOKUP(Demand_Data___Hourly_OverviewSearch_1_csv[[#This Row],[Date]],Supply_Data___Hourly_DriverActivity_1_csv__3[#All],7,FALSE)</f>
        <v>0.55000000000000004</v>
      </c>
      <c r="O562">
        <f>VLOOKUP(Demand_Data___Hourly_OverviewSearch_1_csv[[#This Row],[Date]],Supply_Data___Hourly_DriverActivity_1_csv__3[#All],8,FALSE)</f>
        <v>12</v>
      </c>
      <c r="P562">
        <f>(Demand_Data___Hourly_OverviewSearch_1_csv[[#This Row],[People saw 0 cars (unique)]]+Demand_Data___Hourly_OverviewSearch_1_csv[[#This Row],[People saw +1 cars (unique)]])</f>
        <v>51</v>
      </c>
      <c r="Q562" s="143">
        <f t="shared" si="35"/>
        <v>15</v>
      </c>
    </row>
    <row r="563" spans="1:17" x14ac:dyDescent="0.3">
      <c r="A563" t="s">
        <v>570</v>
      </c>
      <c r="B563" t="str">
        <f t="shared" si="32"/>
        <v xml:space="preserve"> 13</v>
      </c>
      <c r="C563">
        <f t="shared" si="33"/>
        <v>5</v>
      </c>
      <c r="D563" t="str">
        <f t="shared" si="34"/>
        <v xml:space="preserve">2016-11-25 </v>
      </c>
      <c r="E563" t="str">
        <f>TEXT(Demand_Data___Hourly_OverviewSearch_1_csv[[#This Row],[Day]],"dddd")</f>
        <v>Thursday</v>
      </c>
      <c r="F563">
        <v>3</v>
      </c>
      <c r="G563">
        <v>42</v>
      </c>
      <c r="H563">
        <v>93</v>
      </c>
      <c r="I563">
        <f>VLOOKUP(Demand_Data___Hourly_OverviewSearch_1_csv[[#This Row],[Date]],Supply_Data___Hourly_DriverActivity_1_csv__3[#All],2,FALSE)</f>
        <v>71</v>
      </c>
      <c r="J563">
        <f>VLOOKUP(Demand_Data___Hourly_OverviewSearch_1_csv[[#This Row],[Date]],Supply_Data___Hourly_DriverActivity_1_csv__3[#All],3,FALSE)</f>
        <v>23</v>
      </c>
      <c r="K563">
        <f>VLOOKUP(Demand_Data___Hourly_OverviewSearch_1_csv[[#This Row],[Date]],Supply_Data___Hourly_DriverActivity_1_csv__3[#All],4,FALSE)</f>
        <v>5</v>
      </c>
      <c r="L563">
        <f>VLOOKUP(Demand_Data___Hourly_OverviewSearch_1_csv[[#This Row],[Date]],Supply_Data___Hourly_DriverActivity_1_csv__3[#All],5,FALSE)</f>
        <v>19</v>
      </c>
      <c r="M563">
        <f>VLOOKUP(Demand_Data___Hourly_OverviewSearch_1_csv[[#This Row],[Date]],Supply_Data___Hourly_DriverActivity_1_csv__3[#All],6,FALSE)</f>
        <v>0.3</v>
      </c>
      <c r="N563">
        <f>VLOOKUP(Demand_Data___Hourly_OverviewSearch_1_csv[[#This Row],[Date]],Supply_Data___Hourly_DriverActivity_1_csv__3[#All],7,FALSE)</f>
        <v>0.56999999999999995</v>
      </c>
      <c r="O563">
        <f>VLOOKUP(Demand_Data___Hourly_OverviewSearch_1_csv[[#This Row],[Date]],Supply_Data___Hourly_DriverActivity_1_csv__3[#All],8,FALSE)</f>
        <v>13</v>
      </c>
      <c r="P563">
        <f>(Demand_Data___Hourly_OverviewSearch_1_csv[[#This Row],[People saw 0 cars (unique)]]+Demand_Data___Hourly_OverviewSearch_1_csv[[#This Row],[People saw +1 cars (unique)]])</f>
        <v>45</v>
      </c>
      <c r="Q563" s="143">
        <f t="shared" si="35"/>
        <v>18</v>
      </c>
    </row>
    <row r="564" spans="1:17" x14ac:dyDescent="0.3">
      <c r="A564" t="s">
        <v>571</v>
      </c>
      <c r="B564" t="str">
        <f t="shared" si="32"/>
        <v xml:space="preserve"> 12</v>
      </c>
      <c r="C564">
        <f t="shared" si="33"/>
        <v>5</v>
      </c>
      <c r="D564" t="str">
        <f t="shared" si="34"/>
        <v xml:space="preserve">2016-11-25 </v>
      </c>
      <c r="E564" t="str">
        <f>TEXT(Demand_Data___Hourly_OverviewSearch_1_csv[[#This Row],[Day]],"dddd")</f>
        <v>Thursday</v>
      </c>
      <c r="F564">
        <v>8</v>
      </c>
      <c r="G564">
        <v>36</v>
      </c>
      <c r="H564">
        <v>82</v>
      </c>
      <c r="I564">
        <f>VLOOKUP(Demand_Data___Hourly_OverviewSearch_1_csv[[#This Row],[Date]],Supply_Data___Hourly_DriverActivity_1_csv__3[#All],2,FALSE)</f>
        <v>74</v>
      </c>
      <c r="J564">
        <f>VLOOKUP(Demand_Data___Hourly_OverviewSearch_1_csv[[#This Row],[Date]],Supply_Data___Hourly_DriverActivity_1_csv__3[#All],3,FALSE)</f>
        <v>27</v>
      </c>
      <c r="K564">
        <f>VLOOKUP(Demand_Data___Hourly_OverviewSearch_1_csv[[#This Row],[Date]],Supply_Data___Hourly_DriverActivity_1_csv__3[#All],4,FALSE)</f>
        <v>6</v>
      </c>
      <c r="L564">
        <f>VLOOKUP(Demand_Data___Hourly_OverviewSearch_1_csv[[#This Row],[Date]],Supply_Data___Hourly_DriverActivity_1_csv__3[#All],5,FALSE)</f>
        <v>21</v>
      </c>
      <c r="M564">
        <f>VLOOKUP(Demand_Data___Hourly_OverviewSearch_1_csv[[#This Row],[Date]],Supply_Data___Hourly_DriverActivity_1_csv__3[#All],6,FALSE)</f>
        <v>0.4</v>
      </c>
      <c r="N564">
        <f>VLOOKUP(Demand_Data___Hourly_OverviewSearch_1_csv[[#This Row],[Date]],Supply_Data___Hourly_DriverActivity_1_csv__3[#All],7,FALSE)</f>
        <v>0.52</v>
      </c>
      <c r="O564">
        <f>VLOOKUP(Demand_Data___Hourly_OverviewSearch_1_csv[[#This Row],[Date]],Supply_Data___Hourly_DriverActivity_1_csv__3[#All],8,FALSE)</f>
        <v>14</v>
      </c>
      <c r="P564">
        <f>(Demand_Data___Hourly_OverviewSearch_1_csv[[#This Row],[People saw 0 cars (unique)]]+Demand_Data___Hourly_OverviewSearch_1_csv[[#This Row],[People saw +1 cars (unique)]])</f>
        <v>44</v>
      </c>
      <c r="Q564" s="143">
        <f t="shared" si="35"/>
        <v>21</v>
      </c>
    </row>
    <row r="565" spans="1:17" x14ac:dyDescent="0.3">
      <c r="A565" t="s">
        <v>572</v>
      </c>
      <c r="B565" t="str">
        <f t="shared" si="32"/>
        <v xml:space="preserve"> 11</v>
      </c>
      <c r="C565">
        <f t="shared" si="33"/>
        <v>5</v>
      </c>
      <c r="D565" t="str">
        <f t="shared" si="34"/>
        <v xml:space="preserve">2016-11-25 </v>
      </c>
      <c r="E565" t="str">
        <f>TEXT(Demand_Data___Hourly_OverviewSearch_1_csv[[#This Row],[Day]],"dddd")</f>
        <v>Thursday</v>
      </c>
      <c r="F565">
        <v>13</v>
      </c>
      <c r="G565">
        <v>40</v>
      </c>
      <c r="H565">
        <v>75</v>
      </c>
      <c r="I565">
        <f>VLOOKUP(Demand_Data___Hourly_OverviewSearch_1_csv[[#This Row],[Date]],Supply_Data___Hourly_DriverActivity_1_csv__3[#All],2,FALSE)</f>
        <v>71</v>
      </c>
      <c r="J565">
        <f>VLOOKUP(Demand_Data___Hourly_OverviewSearch_1_csv[[#This Row],[Date]],Supply_Data___Hourly_DriverActivity_1_csv__3[#All],3,FALSE)</f>
        <v>27</v>
      </c>
      <c r="K565">
        <f>VLOOKUP(Demand_Data___Hourly_OverviewSearch_1_csv[[#This Row],[Date]],Supply_Data___Hourly_DriverActivity_1_csv__3[#All],4,FALSE)</f>
        <v>8</v>
      </c>
      <c r="L565">
        <f>VLOOKUP(Demand_Data___Hourly_OverviewSearch_1_csv[[#This Row],[Date]],Supply_Data___Hourly_DriverActivity_1_csv__3[#All],5,FALSE)</f>
        <v>19</v>
      </c>
      <c r="M565">
        <f>VLOOKUP(Demand_Data___Hourly_OverviewSearch_1_csv[[#This Row],[Date]],Supply_Data___Hourly_DriverActivity_1_csv__3[#All],6,FALSE)</f>
        <v>0.4</v>
      </c>
      <c r="N565">
        <f>VLOOKUP(Demand_Data___Hourly_OverviewSearch_1_csv[[#This Row],[Date]],Supply_Data___Hourly_DriverActivity_1_csv__3[#All],7,FALSE)</f>
        <v>0.52</v>
      </c>
      <c r="O565">
        <f>VLOOKUP(Demand_Data___Hourly_OverviewSearch_1_csv[[#This Row],[Date]],Supply_Data___Hourly_DriverActivity_1_csv__3[#All],8,FALSE)</f>
        <v>14</v>
      </c>
      <c r="P565">
        <f>(Demand_Data___Hourly_OverviewSearch_1_csv[[#This Row],[People saw 0 cars (unique)]]+Demand_Data___Hourly_OverviewSearch_1_csv[[#This Row],[People saw +1 cars (unique)]])</f>
        <v>53</v>
      </c>
      <c r="Q565" s="143">
        <f t="shared" si="35"/>
        <v>19</v>
      </c>
    </row>
    <row r="566" spans="1:17" x14ac:dyDescent="0.3">
      <c r="A566" t="s">
        <v>573</v>
      </c>
      <c r="B566" t="str">
        <f t="shared" si="32"/>
        <v xml:space="preserve"> 10</v>
      </c>
      <c r="C566">
        <f t="shared" si="33"/>
        <v>5</v>
      </c>
      <c r="D566" t="str">
        <f t="shared" si="34"/>
        <v xml:space="preserve">2016-11-25 </v>
      </c>
      <c r="E566" t="str">
        <f>TEXT(Demand_Data___Hourly_OverviewSearch_1_csv[[#This Row],[Day]],"dddd")</f>
        <v>Thursday</v>
      </c>
      <c r="F566">
        <v>12</v>
      </c>
      <c r="G566">
        <v>55</v>
      </c>
      <c r="H566">
        <v>82</v>
      </c>
      <c r="I566">
        <f>VLOOKUP(Demand_Data___Hourly_OverviewSearch_1_csv[[#This Row],[Date]],Supply_Data___Hourly_DriverActivity_1_csv__3[#All],2,FALSE)</f>
        <v>75</v>
      </c>
      <c r="J566">
        <f>VLOOKUP(Demand_Data___Hourly_OverviewSearch_1_csv[[#This Row],[Date]],Supply_Data___Hourly_DriverActivity_1_csv__3[#All],3,FALSE)</f>
        <v>28</v>
      </c>
      <c r="K566">
        <f>VLOOKUP(Demand_Data___Hourly_OverviewSearch_1_csv[[#This Row],[Date]],Supply_Data___Hourly_DriverActivity_1_csv__3[#All],4,FALSE)</f>
        <v>12</v>
      </c>
      <c r="L566">
        <f>VLOOKUP(Demand_Data___Hourly_OverviewSearch_1_csv[[#This Row],[Date]],Supply_Data___Hourly_DriverActivity_1_csv__3[#All],5,FALSE)</f>
        <v>17</v>
      </c>
      <c r="M566">
        <f>VLOOKUP(Demand_Data___Hourly_OverviewSearch_1_csv[[#This Row],[Date]],Supply_Data___Hourly_DriverActivity_1_csv__3[#All],6,FALSE)</f>
        <v>0.4</v>
      </c>
      <c r="N566">
        <f>VLOOKUP(Demand_Data___Hourly_OverviewSearch_1_csv[[#This Row],[Date]],Supply_Data___Hourly_DriverActivity_1_csv__3[#All],7,FALSE)</f>
        <v>0.68</v>
      </c>
      <c r="O566">
        <f>VLOOKUP(Demand_Data___Hourly_OverviewSearch_1_csv[[#This Row],[Date]],Supply_Data___Hourly_DriverActivity_1_csv__3[#All],8,FALSE)</f>
        <v>19</v>
      </c>
      <c r="P566">
        <f>(Demand_Data___Hourly_OverviewSearch_1_csv[[#This Row],[People saw 0 cars (unique)]]+Demand_Data___Hourly_OverviewSearch_1_csv[[#This Row],[People saw +1 cars (unique)]])</f>
        <v>67</v>
      </c>
      <c r="Q566" s="143">
        <f t="shared" si="35"/>
        <v>16</v>
      </c>
    </row>
    <row r="567" spans="1:17" x14ac:dyDescent="0.3">
      <c r="A567" t="s">
        <v>574</v>
      </c>
      <c r="B567" t="str">
        <f t="shared" si="32"/>
        <v xml:space="preserve"> 09</v>
      </c>
      <c r="C567">
        <f t="shared" si="33"/>
        <v>5</v>
      </c>
      <c r="D567" t="str">
        <f t="shared" si="34"/>
        <v xml:space="preserve">2016-11-25 </v>
      </c>
      <c r="E567" t="str">
        <f>TEXT(Demand_Data___Hourly_OverviewSearch_1_csv[[#This Row],[Day]],"dddd")</f>
        <v>Thursday</v>
      </c>
      <c r="F567">
        <v>49</v>
      </c>
      <c r="G567">
        <v>66</v>
      </c>
      <c r="H567">
        <v>57</v>
      </c>
      <c r="I567">
        <f>VLOOKUP(Demand_Data___Hourly_OverviewSearch_1_csv[[#This Row],[Date]],Supply_Data___Hourly_DriverActivity_1_csv__3[#All],2,FALSE)</f>
        <v>70</v>
      </c>
      <c r="J567">
        <f>VLOOKUP(Demand_Data___Hourly_OverviewSearch_1_csv[[#This Row],[Date]],Supply_Data___Hourly_DriverActivity_1_csv__3[#All],3,FALSE)</f>
        <v>26</v>
      </c>
      <c r="K567">
        <f>VLOOKUP(Demand_Data___Hourly_OverviewSearch_1_csv[[#This Row],[Date]],Supply_Data___Hourly_DriverActivity_1_csv__3[#All],4,FALSE)</f>
        <v>16</v>
      </c>
      <c r="L567">
        <f>VLOOKUP(Demand_Data___Hourly_OverviewSearch_1_csv[[#This Row],[Date]],Supply_Data___Hourly_DriverActivity_1_csv__3[#All],5,FALSE)</f>
        <v>10</v>
      </c>
      <c r="M567">
        <f>VLOOKUP(Demand_Data___Hourly_OverviewSearch_1_csv[[#This Row],[Date]],Supply_Data___Hourly_DriverActivity_1_csv__3[#All],6,FALSE)</f>
        <v>0.4</v>
      </c>
      <c r="N567">
        <f>VLOOKUP(Demand_Data___Hourly_OverviewSearch_1_csv[[#This Row],[Date]],Supply_Data___Hourly_DriverActivity_1_csv__3[#All],7,FALSE)</f>
        <v>1.23</v>
      </c>
      <c r="O567">
        <f>VLOOKUP(Demand_Data___Hourly_OverviewSearch_1_csv[[#This Row],[Date]],Supply_Data___Hourly_DriverActivity_1_csv__3[#All],8,FALSE)</f>
        <v>32</v>
      </c>
      <c r="P567">
        <f>(Demand_Data___Hourly_OverviewSearch_1_csv[[#This Row],[People saw 0 cars (unique)]]+Demand_Data___Hourly_OverviewSearch_1_csv[[#This Row],[People saw +1 cars (unique)]])</f>
        <v>115</v>
      </c>
      <c r="Q567" s="143">
        <f t="shared" si="35"/>
        <v>10</v>
      </c>
    </row>
    <row r="568" spans="1:17" x14ac:dyDescent="0.3">
      <c r="A568" t="s">
        <v>575</v>
      </c>
      <c r="B568" t="str">
        <f t="shared" si="32"/>
        <v xml:space="preserve"> 08</v>
      </c>
      <c r="C568">
        <f t="shared" si="33"/>
        <v>5</v>
      </c>
      <c r="D568" t="str">
        <f t="shared" si="34"/>
        <v xml:space="preserve">2016-11-25 </v>
      </c>
      <c r="E568" t="str">
        <f>TEXT(Demand_Data___Hourly_OverviewSearch_1_csv[[#This Row],[Day]],"dddd")</f>
        <v>Thursday</v>
      </c>
      <c r="F568">
        <v>38</v>
      </c>
      <c r="G568">
        <v>50</v>
      </c>
      <c r="H568">
        <v>57</v>
      </c>
      <c r="I568">
        <f>VLOOKUP(Demand_Data___Hourly_OverviewSearch_1_csv[[#This Row],[Date]],Supply_Data___Hourly_DriverActivity_1_csv__3[#All],2,FALSE)</f>
        <v>58</v>
      </c>
      <c r="J568">
        <f>VLOOKUP(Demand_Data___Hourly_OverviewSearch_1_csv[[#This Row],[Date]],Supply_Data___Hourly_DriverActivity_1_csv__3[#All],3,FALSE)</f>
        <v>19</v>
      </c>
      <c r="K568">
        <f>VLOOKUP(Demand_Data___Hourly_OverviewSearch_1_csv[[#This Row],[Date]],Supply_Data___Hourly_DriverActivity_1_csv__3[#All],4,FALSE)</f>
        <v>11</v>
      </c>
      <c r="L568">
        <f>VLOOKUP(Demand_Data___Hourly_OverviewSearch_1_csv[[#This Row],[Date]],Supply_Data___Hourly_DriverActivity_1_csv__3[#All],5,FALSE)</f>
        <v>8</v>
      </c>
      <c r="M568">
        <f>VLOOKUP(Demand_Data___Hourly_OverviewSearch_1_csv[[#This Row],[Date]],Supply_Data___Hourly_DriverActivity_1_csv__3[#All],6,FALSE)</f>
        <v>0.3</v>
      </c>
      <c r="N568">
        <f>VLOOKUP(Demand_Data___Hourly_OverviewSearch_1_csv[[#This Row],[Date]],Supply_Data___Hourly_DriverActivity_1_csv__3[#All],7,FALSE)</f>
        <v>1.32</v>
      </c>
      <c r="O568">
        <f>VLOOKUP(Demand_Data___Hourly_OverviewSearch_1_csv[[#This Row],[Date]],Supply_Data___Hourly_DriverActivity_1_csv__3[#All],8,FALSE)</f>
        <v>25</v>
      </c>
      <c r="P568">
        <f>(Demand_Data___Hourly_OverviewSearch_1_csv[[#This Row],[People saw 0 cars (unique)]]+Demand_Data___Hourly_OverviewSearch_1_csv[[#This Row],[People saw +1 cars (unique)]])</f>
        <v>88</v>
      </c>
      <c r="Q568" s="143">
        <f t="shared" si="35"/>
        <v>8</v>
      </c>
    </row>
    <row r="569" spans="1:17" x14ac:dyDescent="0.3">
      <c r="A569" t="s">
        <v>576</v>
      </c>
      <c r="B569" t="str">
        <f t="shared" si="32"/>
        <v xml:space="preserve"> 07</v>
      </c>
      <c r="C569">
        <f t="shared" si="33"/>
        <v>5</v>
      </c>
      <c r="D569" t="str">
        <f t="shared" si="34"/>
        <v xml:space="preserve">2016-11-25 </v>
      </c>
      <c r="E569" t="str">
        <f>TEXT(Demand_Data___Hourly_OverviewSearch_1_csv[[#This Row],[Day]],"dddd")</f>
        <v>Thursday</v>
      </c>
      <c r="F569">
        <v>16</v>
      </c>
      <c r="G569">
        <v>27</v>
      </c>
      <c r="H569">
        <v>63</v>
      </c>
      <c r="I569">
        <f>VLOOKUP(Demand_Data___Hourly_OverviewSearch_1_csv[[#This Row],[Date]],Supply_Data___Hourly_DriverActivity_1_csv__3[#All],2,FALSE)</f>
        <v>45</v>
      </c>
      <c r="J569">
        <f>VLOOKUP(Demand_Data___Hourly_OverviewSearch_1_csv[[#This Row],[Date]],Supply_Data___Hourly_DriverActivity_1_csv__3[#All],3,FALSE)</f>
        <v>15</v>
      </c>
      <c r="K569">
        <f>VLOOKUP(Demand_Data___Hourly_OverviewSearch_1_csv[[#This Row],[Date]],Supply_Data___Hourly_DriverActivity_1_csv__3[#All],4,FALSE)</f>
        <v>4</v>
      </c>
      <c r="L569">
        <f>VLOOKUP(Demand_Data___Hourly_OverviewSearch_1_csv[[#This Row],[Date]],Supply_Data___Hourly_DriverActivity_1_csv__3[#All],5,FALSE)</f>
        <v>11</v>
      </c>
      <c r="M569">
        <f>VLOOKUP(Demand_Data___Hourly_OverviewSearch_1_csv[[#This Row],[Date]],Supply_Data___Hourly_DriverActivity_1_csv__3[#All],6,FALSE)</f>
        <v>0.3</v>
      </c>
      <c r="N569">
        <f>VLOOKUP(Demand_Data___Hourly_OverviewSearch_1_csv[[#This Row],[Date]],Supply_Data___Hourly_DriverActivity_1_csv__3[#All],7,FALSE)</f>
        <v>0.73</v>
      </c>
      <c r="O569">
        <f>VLOOKUP(Demand_Data___Hourly_OverviewSearch_1_csv[[#This Row],[Date]],Supply_Data___Hourly_DriverActivity_1_csv__3[#All],8,FALSE)</f>
        <v>11</v>
      </c>
      <c r="P569">
        <f>(Demand_Data___Hourly_OverviewSearch_1_csv[[#This Row],[People saw 0 cars (unique)]]+Demand_Data___Hourly_OverviewSearch_1_csv[[#This Row],[People saw +1 cars (unique)]])</f>
        <v>43</v>
      </c>
      <c r="Q569" s="143">
        <f t="shared" si="35"/>
        <v>11</v>
      </c>
    </row>
    <row r="570" spans="1:17" x14ac:dyDescent="0.3">
      <c r="A570" t="s">
        <v>577</v>
      </c>
      <c r="B570" t="str">
        <f t="shared" si="32"/>
        <v xml:space="preserve"> 06</v>
      </c>
      <c r="C570">
        <f t="shared" si="33"/>
        <v>5</v>
      </c>
      <c r="D570" t="str">
        <f t="shared" si="34"/>
        <v xml:space="preserve">2016-11-25 </v>
      </c>
      <c r="E570" t="str">
        <f>TEXT(Demand_Data___Hourly_OverviewSearch_1_csv[[#This Row],[Day]],"dddd")</f>
        <v>Thursday</v>
      </c>
      <c r="F570">
        <v>2</v>
      </c>
      <c r="G570">
        <v>3</v>
      </c>
      <c r="H570">
        <v>60</v>
      </c>
      <c r="I570">
        <f>VLOOKUP(Demand_Data___Hourly_OverviewSearch_1_csv[[#This Row],[Date]],Supply_Data___Hourly_DriverActivity_1_csv__3[#All],2,FALSE)</f>
        <v>31</v>
      </c>
      <c r="J570">
        <f>VLOOKUP(Demand_Data___Hourly_OverviewSearch_1_csv[[#This Row],[Date]],Supply_Data___Hourly_DriverActivity_1_csv__3[#All],3,FALSE)</f>
        <v>10</v>
      </c>
      <c r="K570">
        <f>VLOOKUP(Demand_Data___Hourly_OverviewSearch_1_csv[[#This Row],[Date]],Supply_Data___Hourly_DriverActivity_1_csv__3[#All],4,FALSE)</f>
        <v>0</v>
      </c>
      <c r="L570">
        <f>VLOOKUP(Demand_Data___Hourly_OverviewSearch_1_csv[[#This Row],[Date]],Supply_Data___Hourly_DriverActivity_1_csv__3[#All],5,FALSE)</f>
        <v>10</v>
      </c>
      <c r="M570">
        <f>VLOOKUP(Demand_Data___Hourly_OverviewSearch_1_csv[[#This Row],[Date]],Supply_Data___Hourly_DriverActivity_1_csv__3[#All],6,FALSE)</f>
        <v>0.3</v>
      </c>
      <c r="N570">
        <f>VLOOKUP(Demand_Data___Hourly_OverviewSearch_1_csv[[#This Row],[Date]],Supply_Data___Hourly_DriverActivity_1_csv__3[#All],7,FALSE)</f>
        <v>0.1</v>
      </c>
      <c r="O570">
        <f>VLOOKUP(Demand_Data___Hourly_OverviewSearch_1_csv[[#This Row],[Date]],Supply_Data___Hourly_DriverActivity_1_csv__3[#All],8,FALSE)</f>
        <v>1</v>
      </c>
      <c r="P570">
        <f>(Demand_Data___Hourly_OverviewSearch_1_csv[[#This Row],[People saw 0 cars (unique)]]+Demand_Data___Hourly_OverviewSearch_1_csv[[#This Row],[People saw +1 cars (unique)]])</f>
        <v>5</v>
      </c>
      <c r="Q570" s="143">
        <f t="shared" si="35"/>
        <v>10</v>
      </c>
    </row>
    <row r="571" spans="1:17" x14ac:dyDescent="0.3">
      <c r="A571" t="s">
        <v>578</v>
      </c>
      <c r="B571" t="str">
        <f t="shared" si="32"/>
        <v xml:space="preserve"> 05</v>
      </c>
      <c r="C571">
        <f t="shared" si="33"/>
        <v>5</v>
      </c>
      <c r="D571" t="str">
        <f t="shared" si="34"/>
        <v xml:space="preserve">2016-11-25 </v>
      </c>
      <c r="E571" t="str">
        <f>TEXT(Demand_Data___Hourly_OverviewSearch_1_csv[[#This Row],[Day]],"dddd")</f>
        <v>Thursday</v>
      </c>
      <c r="F571">
        <v>1</v>
      </c>
      <c r="G571">
        <v>2</v>
      </c>
      <c r="H571">
        <v>67</v>
      </c>
      <c r="I571">
        <f>VLOOKUP(Demand_Data___Hourly_OverviewSearch_1_csv[[#This Row],[Date]],Supply_Data___Hourly_DriverActivity_1_csv__3[#All],2,FALSE)</f>
        <v>24</v>
      </c>
      <c r="J571">
        <f>VLOOKUP(Demand_Data___Hourly_OverviewSearch_1_csv[[#This Row],[Date]],Supply_Data___Hourly_DriverActivity_1_csv__3[#All],3,FALSE)</f>
        <v>11</v>
      </c>
      <c r="K571">
        <f>VLOOKUP(Demand_Data___Hourly_OverviewSearch_1_csv[[#This Row],[Date]],Supply_Data___Hourly_DriverActivity_1_csv__3[#All],4,FALSE)</f>
        <v>0</v>
      </c>
      <c r="L571">
        <f>VLOOKUP(Demand_Data___Hourly_OverviewSearch_1_csv[[#This Row],[Date]],Supply_Data___Hourly_DriverActivity_1_csv__3[#All],5,FALSE)</f>
        <v>10</v>
      </c>
      <c r="M571">
        <f>VLOOKUP(Demand_Data___Hourly_OverviewSearch_1_csv[[#This Row],[Date]],Supply_Data___Hourly_DriverActivity_1_csv__3[#All],6,FALSE)</f>
        <v>0.5</v>
      </c>
      <c r="N571">
        <f>VLOOKUP(Demand_Data___Hourly_OverviewSearch_1_csv[[#This Row],[Date]],Supply_Data___Hourly_DriverActivity_1_csv__3[#All],7,FALSE)</f>
        <v>0.09</v>
      </c>
      <c r="O571">
        <f>VLOOKUP(Demand_Data___Hourly_OverviewSearch_1_csv[[#This Row],[Date]],Supply_Data___Hourly_DriverActivity_1_csv__3[#All],8,FALSE)</f>
        <v>1</v>
      </c>
      <c r="P571">
        <f>(Demand_Data___Hourly_OverviewSearch_1_csv[[#This Row],[People saw 0 cars (unique)]]+Demand_Data___Hourly_OverviewSearch_1_csv[[#This Row],[People saw +1 cars (unique)]])</f>
        <v>3</v>
      </c>
      <c r="Q571" s="143">
        <f t="shared" si="35"/>
        <v>11</v>
      </c>
    </row>
    <row r="572" spans="1:17" x14ac:dyDescent="0.3">
      <c r="A572" t="s">
        <v>579</v>
      </c>
      <c r="B572" t="str">
        <f t="shared" si="32"/>
        <v xml:space="preserve"> 04</v>
      </c>
      <c r="C572">
        <f t="shared" si="33"/>
        <v>5</v>
      </c>
      <c r="D572" t="str">
        <f t="shared" si="34"/>
        <v xml:space="preserve">2016-11-25 </v>
      </c>
      <c r="E572" t="str">
        <f>TEXT(Demand_Data___Hourly_OverviewSearch_1_csv[[#This Row],[Day]],"dddd")</f>
        <v>Thursday</v>
      </c>
      <c r="F572">
        <v>2</v>
      </c>
      <c r="G572">
        <v>4</v>
      </c>
      <c r="H572">
        <v>67</v>
      </c>
      <c r="I572">
        <f>VLOOKUP(Demand_Data___Hourly_OverviewSearch_1_csv[[#This Row],[Date]],Supply_Data___Hourly_DriverActivity_1_csv__3[#All],2,FALSE)</f>
        <v>24</v>
      </c>
      <c r="J572">
        <f>VLOOKUP(Demand_Data___Hourly_OverviewSearch_1_csv[[#This Row],[Date]],Supply_Data___Hourly_DriverActivity_1_csv__3[#All],3,FALSE)</f>
        <v>8</v>
      </c>
      <c r="K572">
        <f>VLOOKUP(Demand_Data___Hourly_OverviewSearch_1_csv[[#This Row],[Date]],Supply_Data___Hourly_DriverActivity_1_csv__3[#All],4,FALSE)</f>
        <v>0</v>
      </c>
      <c r="L572">
        <f>VLOOKUP(Demand_Data___Hourly_OverviewSearch_1_csv[[#This Row],[Date]],Supply_Data___Hourly_DriverActivity_1_csv__3[#All],5,FALSE)</f>
        <v>8</v>
      </c>
      <c r="M572">
        <f>VLOOKUP(Demand_Data___Hourly_OverviewSearch_1_csv[[#This Row],[Date]],Supply_Data___Hourly_DriverActivity_1_csv__3[#All],6,FALSE)</f>
        <v>0.3</v>
      </c>
      <c r="N572">
        <f>VLOOKUP(Demand_Data___Hourly_OverviewSearch_1_csv[[#This Row],[Date]],Supply_Data___Hourly_DriverActivity_1_csv__3[#All],7,FALSE)</f>
        <v>0.13</v>
      </c>
      <c r="O572">
        <f>VLOOKUP(Demand_Data___Hourly_OverviewSearch_1_csv[[#This Row],[Date]],Supply_Data___Hourly_DriverActivity_1_csv__3[#All],8,FALSE)</f>
        <v>1</v>
      </c>
      <c r="P572">
        <f>(Demand_Data___Hourly_OverviewSearch_1_csv[[#This Row],[People saw 0 cars (unique)]]+Demand_Data___Hourly_OverviewSearch_1_csv[[#This Row],[People saw +1 cars (unique)]])</f>
        <v>6</v>
      </c>
      <c r="Q572" s="143">
        <f t="shared" si="35"/>
        <v>8</v>
      </c>
    </row>
    <row r="573" spans="1:17" x14ac:dyDescent="0.3">
      <c r="A573" t="s">
        <v>580</v>
      </c>
      <c r="B573" t="str">
        <f t="shared" si="32"/>
        <v xml:space="preserve"> 03</v>
      </c>
      <c r="C573">
        <f t="shared" si="33"/>
        <v>5</v>
      </c>
      <c r="D573" t="str">
        <f t="shared" si="34"/>
        <v xml:space="preserve">2016-11-25 </v>
      </c>
      <c r="E573" t="str">
        <f>TEXT(Demand_Data___Hourly_OverviewSearch_1_csv[[#This Row],[Day]],"dddd")</f>
        <v>Thursday</v>
      </c>
      <c r="F573">
        <v>2</v>
      </c>
      <c r="G573">
        <v>8</v>
      </c>
      <c r="H573">
        <v>80</v>
      </c>
      <c r="I573">
        <f>VLOOKUP(Demand_Data___Hourly_OverviewSearch_1_csv[[#This Row],[Date]],Supply_Data___Hourly_DriverActivity_1_csv__3[#All],2,FALSE)</f>
        <v>26</v>
      </c>
      <c r="J573">
        <f>VLOOKUP(Demand_Data___Hourly_OverviewSearch_1_csv[[#This Row],[Date]],Supply_Data___Hourly_DriverActivity_1_csv__3[#All],3,FALSE)</f>
        <v>9</v>
      </c>
      <c r="K573">
        <f>VLOOKUP(Demand_Data___Hourly_OverviewSearch_1_csv[[#This Row],[Date]],Supply_Data___Hourly_DriverActivity_1_csv__3[#All],4,FALSE)</f>
        <v>1</v>
      </c>
      <c r="L573">
        <f>VLOOKUP(Demand_Data___Hourly_OverviewSearch_1_csv[[#This Row],[Date]],Supply_Data___Hourly_DriverActivity_1_csv__3[#All],5,FALSE)</f>
        <v>8</v>
      </c>
      <c r="M573">
        <f>VLOOKUP(Demand_Data___Hourly_OverviewSearch_1_csv[[#This Row],[Date]],Supply_Data___Hourly_DriverActivity_1_csv__3[#All],6,FALSE)</f>
        <v>0.3</v>
      </c>
      <c r="N573">
        <f>VLOOKUP(Demand_Data___Hourly_OverviewSearch_1_csv[[#This Row],[Date]],Supply_Data___Hourly_DriverActivity_1_csv__3[#All],7,FALSE)</f>
        <v>0.22</v>
      </c>
      <c r="O573">
        <f>VLOOKUP(Demand_Data___Hourly_OverviewSearch_1_csv[[#This Row],[Date]],Supply_Data___Hourly_DriverActivity_1_csv__3[#All],8,FALSE)</f>
        <v>2</v>
      </c>
      <c r="P573">
        <f>(Demand_Data___Hourly_OverviewSearch_1_csv[[#This Row],[People saw 0 cars (unique)]]+Demand_Data___Hourly_OverviewSearch_1_csv[[#This Row],[People saw +1 cars (unique)]])</f>
        <v>10</v>
      </c>
      <c r="Q573" s="143">
        <f t="shared" si="35"/>
        <v>8</v>
      </c>
    </row>
    <row r="574" spans="1:17" x14ac:dyDescent="0.3">
      <c r="A574" t="s">
        <v>581</v>
      </c>
      <c r="B574" t="str">
        <f t="shared" si="32"/>
        <v xml:space="preserve"> 02</v>
      </c>
      <c r="C574">
        <f t="shared" si="33"/>
        <v>5</v>
      </c>
      <c r="D574" t="str">
        <f t="shared" si="34"/>
        <v xml:space="preserve">2016-11-25 </v>
      </c>
      <c r="E574" t="str">
        <f>TEXT(Demand_Data___Hourly_OverviewSearch_1_csv[[#This Row],[Day]],"dddd")</f>
        <v>Thursday</v>
      </c>
      <c r="F574">
        <v>2</v>
      </c>
      <c r="G574">
        <v>12</v>
      </c>
      <c r="H574">
        <v>86</v>
      </c>
      <c r="I574">
        <f>VLOOKUP(Demand_Data___Hourly_OverviewSearch_1_csv[[#This Row],[Date]],Supply_Data___Hourly_DriverActivity_1_csv__3[#All],2,FALSE)</f>
        <v>35</v>
      </c>
      <c r="J574">
        <f>VLOOKUP(Demand_Data___Hourly_OverviewSearch_1_csv[[#This Row],[Date]],Supply_Data___Hourly_DriverActivity_1_csv__3[#All],3,FALSE)</f>
        <v>11</v>
      </c>
      <c r="K574">
        <f>VLOOKUP(Demand_Data___Hourly_OverviewSearch_1_csv[[#This Row],[Date]],Supply_Data___Hourly_DriverActivity_1_csv__3[#All],4,FALSE)</f>
        <v>2</v>
      </c>
      <c r="L574">
        <f>VLOOKUP(Demand_Data___Hourly_OverviewSearch_1_csv[[#This Row],[Date]],Supply_Data___Hourly_DriverActivity_1_csv__3[#All],5,FALSE)</f>
        <v>9</v>
      </c>
      <c r="M574">
        <f>VLOOKUP(Demand_Data___Hourly_OverviewSearch_1_csv[[#This Row],[Date]],Supply_Data___Hourly_DriverActivity_1_csv__3[#All],6,FALSE)</f>
        <v>0.3</v>
      </c>
      <c r="N574">
        <f>VLOOKUP(Demand_Data___Hourly_OverviewSearch_1_csv[[#This Row],[Date]],Supply_Data___Hourly_DriverActivity_1_csv__3[#All],7,FALSE)</f>
        <v>0.55000000000000004</v>
      </c>
      <c r="O574">
        <f>VLOOKUP(Demand_Data___Hourly_OverviewSearch_1_csv[[#This Row],[Date]],Supply_Data___Hourly_DriverActivity_1_csv__3[#All],8,FALSE)</f>
        <v>6</v>
      </c>
      <c r="P574">
        <f>(Demand_Data___Hourly_OverviewSearch_1_csv[[#This Row],[People saw 0 cars (unique)]]+Demand_Data___Hourly_OverviewSearch_1_csv[[#This Row],[People saw +1 cars (unique)]])</f>
        <v>14</v>
      </c>
      <c r="Q574" s="143">
        <f t="shared" si="35"/>
        <v>9</v>
      </c>
    </row>
    <row r="575" spans="1:17" x14ac:dyDescent="0.3">
      <c r="A575" t="s">
        <v>582</v>
      </c>
      <c r="B575" t="str">
        <f t="shared" si="32"/>
        <v xml:space="preserve"> 01</v>
      </c>
      <c r="C575">
        <f t="shared" si="33"/>
        <v>5</v>
      </c>
      <c r="D575" t="str">
        <f t="shared" si="34"/>
        <v xml:space="preserve">2016-11-25 </v>
      </c>
      <c r="E575" t="str">
        <f>TEXT(Demand_Data___Hourly_OverviewSearch_1_csv[[#This Row],[Day]],"dddd")</f>
        <v>Thursday</v>
      </c>
      <c r="F575">
        <v>1</v>
      </c>
      <c r="G575">
        <v>19</v>
      </c>
      <c r="H575">
        <v>95</v>
      </c>
      <c r="I575">
        <f>VLOOKUP(Demand_Data___Hourly_OverviewSearch_1_csv[[#This Row],[Date]],Supply_Data___Hourly_DriverActivity_1_csv__3[#All],2,FALSE)</f>
        <v>50</v>
      </c>
      <c r="J575">
        <f>VLOOKUP(Demand_Data___Hourly_OverviewSearch_1_csv[[#This Row],[Date]],Supply_Data___Hourly_DriverActivity_1_csv__3[#All],3,FALSE)</f>
        <v>18</v>
      </c>
      <c r="K575">
        <f>VLOOKUP(Demand_Data___Hourly_OverviewSearch_1_csv[[#This Row],[Date]],Supply_Data___Hourly_DriverActivity_1_csv__3[#All],4,FALSE)</f>
        <v>2</v>
      </c>
      <c r="L575">
        <f>VLOOKUP(Demand_Data___Hourly_OverviewSearch_1_csv[[#This Row],[Date]],Supply_Data___Hourly_DriverActivity_1_csv__3[#All],5,FALSE)</f>
        <v>16</v>
      </c>
      <c r="M575">
        <f>VLOOKUP(Demand_Data___Hourly_OverviewSearch_1_csv[[#This Row],[Date]],Supply_Data___Hourly_DriverActivity_1_csv__3[#All],6,FALSE)</f>
        <v>0.4</v>
      </c>
      <c r="N575">
        <f>VLOOKUP(Demand_Data___Hourly_OverviewSearch_1_csv[[#This Row],[Date]],Supply_Data___Hourly_DriverActivity_1_csv__3[#All],7,FALSE)</f>
        <v>0.28000000000000003</v>
      </c>
      <c r="O575">
        <f>VLOOKUP(Demand_Data___Hourly_OverviewSearch_1_csv[[#This Row],[Date]],Supply_Data___Hourly_DriverActivity_1_csv__3[#All],8,FALSE)</f>
        <v>5</v>
      </c>
      <c r="P575">
        <f>(Demand_Data___Hourly_OverviewSearch_1_csv[[#This Row],[People saw 0 cars (unique)]]+Demand_Data___Hourly_OverviewSearch_1_csv[[#This Row],[People saw +1 cars (unique)]])</f>
        <v>20</v>
      </c>
      <c r="Q575" s="143">
        <f t="shared" si="35"/>
        <v>16</v>
      </c>
    </row>
    <row r="576" spans="1:17" x14ac:dyDescent="0.3">
      <c r="A576" t="s">
        <v>583</v>
      </c>
      <c r="B576" t="str">
        <f t="shared" si="32"/>
        <v xml:space="preserve"> 00</v>
      </c>
      <c r="C576">
        <f t="shared" si="33"/>
        <v>5</v>
      </c>
      <c r="D576" t="str">
        <f t="shared" si="34"/>
        <v xml:space="preserve">2016-11-25 </v>
      </c>
      <c r="E576" t="str">
        <f>TEXT(Demand_Data___Hourly_OverviewSearch_1_csv[[#This Row],[Day]],"dddd")</f>
        <v>Thursday</v>
      </c>
      <c r="F576">
        <v>6</v>
      </c>
      <c r="G576">
        <v>48</v>
      </c>
      <c r="H576">
        <v>89</v>
      </c>
      <c r="I576">
        <f>VLOOKUP(Demand_Data___Hourly_OverviewSearch_1_csv[[#This Row],[Date]],Supply_Data___Hourly_DriverActivity_1_csv__3[#All],2,FALSE)</f>
        <v>57</v>
      </c>
      <c r="J576">
        <f>VLOOKUP(Demand_Data___Hourly_OverviewSearch_1_csv[[#This Row],[Date]],Supply_Data___Hourly_DriverActivity_1_csv__3[#All],3,FALSE)</f>
        <v>23</v>
      </c>
      <c r="K576">
        <f>VLOOKUP(Demand_Data___Hourly_OverviewSearch_1_csv[[#This Row],[Date]],Supply_Data___Hourly_DriverActivity_1_csv__3[#All],4,FALSE)</f>
        <v>8</v>
      </c>
      <c r="L576">
        <f>VLOOKUP(Demand_Data___Hourly_OverviewSearch_1_csv[[#This Row],[Date]],Supply_Data___Hourly_DriverActivity_1_csv__3[#All],5,FALSE)</f>
        <v>15</v>
      </c>
      <c r="M576">
        <f>VLOOKUP(Demand_Data___Hourly_OverviewSearch_1_csv[[#This Row],[Date]],Supply_Data___Hourly_DriverActivity_1_csv__3[#All],6,FALSE)</f>
        <v>0.4</v>
      </c>
      <c r="N576">
        <f>VLOOKUP(Demand_Data___Hourly_OverviewSearch_1_csv[[#This Row],[Date]],Supply_Data___Hourly_DriverActivity_1_csv__3[#All],7,FALSE)</f>
        <v>0.7</v>
      </c>
      <c r="O576">
        <f>VLOOKUP(Demand_Data___Hourly_OverviewSearch_1_csv[[#This Row],[Date]],Supply_Data___Hourly_DriverActivity_1_csv__3[#All],8,FALSE)</f>
        <v>16</v>
      </c>
      <c r="P576">
        <f>(Demand_Data___Hourly_OverviewSearch_1_csv[[#This Row],[People saw 0 cars (unique)]]+Demand_Data___Hourly_OverviewSearch_1_csv[[#This Row],[People saw +1 cars (unique)]])</f>
        <v>54</v>
      </c>
      <c r="Q576" s="143">
        <f t="shared" si="35"/>
        <v>15</v>
      </c>
    </row>
    <row r="577" spans="1:17" x14ac:dyDescent="0.3">
      <c r="A577" t="s">
        <v>584</v>
      </c>
      <c r="B577" t="str">
        <f t="shared" si="32"/>
        <v xml:space="preserve"> 23</v>
      </c>
      <c r="C577">
        <f t="shared" si="33"/>
        <v>4</v>
      </c>
      <c r="D577" t="str">
        <f t="shared" si="34"/>
        <v xml:space="preserve">2016-11-24 </v>
      </c>
      <c r="E577" t="str">
        <f>TEXT(Demand_Data___Hourly_OverviewSearch_1_csv[[#This Row],[Day]],"dddd")</f>
        <v>Wednesday</v>
      </c>
      <c r="F577">
        <v>9</v>
      </c>
      <c r="G577">
        <v>63</v>
      </c>
      <c r="H577">
        <v>88</v>
      </c>
      <c r="I577">
        <f>VLOOKUP(Demand_Data___Hourly_OverviewSearch_1_csv[[#This Row],[Date]],Supply_Data___Hourly_DriverActivity_1_csv__3[#All],2,FALSE)</f>
        <v>72</v>
      </c>
      <c r="J577">
        <f>VLOOKUP(Demand_Data___Hourly_OverviewSearch_1_csv[[#This Row],[Date]],Supply_Data___Hourly_DriverActivity_1_csv__3[#All],3,FALSE)</f>
        <v>28</v>
      </c>
      <c r="K577">
        <f>VLOOKUP(Demand_Data___Hourly_OverviewSearch_1_csv[[#This Row],[Date]],Supply_Data___Hourly_DriverActivity_1_csv__3[#All],4,FALSE)</f>
        <v>11</v>
      </c>
      <c r="L577">
        <f>VLOOKUP(Demand_Data___Hourly_OverviewSearch_1_csv[[#This Row],[Date]],Supply_Data___Hourly_DriverActivity_1_csv__3[#All],5,FALSE)</f>
        <v>17</v>
      </c>
      <c r="M577">
        <f>VLOOKUP(Demand_Data___Hourly_OverviewSearch_1_csv[[#This Row],[Date]],Supply_Data___Hourly_DriverActivity_1_csv__3[#All],6,FALSE)</f>
        <v>0.4</v>
      </c>
      <c r="N577">
        <f>VLOOKUP(Demand_Data___Hourly_OverviewSearch_1_csv[[#This Row],[Date]],Supply_Data___Hourly_DriverActivity_1_csv__3[#All],7,FALSE)</f>
        <v>1.1100000000000001</v>
      </c>
      <c r="O577">
        <f>VLOOKUP(Demand_Data___Hourly_OverviewSearch_1_csv[[#This Row],[Date]],Supply_Data___Hourly_DriverActivity_1_csv__3[#All],8,FALSE)</f>
        <v>31</v>
      </c>
      <c r="P577">
        <f>(Demand_Data___Hourly_OverviewSearch_1_csv[[#This Row],[People saw 0 cars (unique)]]+Demand_Data___Hourly_OverviewSearch_1_csv[[#This Row],[People saw +1 cars (unique)]])</f>
        <v>72</v>
      </c>
      <c r="Q577" s="143">
        <f t="shared" si="35"/>
        <v>17</v>
      </c>
    </row>
    <row r="578" spans="1:17" x14ac:dyDescent="0.3">
      <c r="A578" t="s">
        <v>585</v>
      </c>
      <c r="B578" t="str">
        <f t="shared" ref="B578:B641" si="36">RIGHT(A578,3)</f>
        <v xml:space="preserve"> 22</v>
      </c>
      <c r="C578">
        <f t="shared" ref="C578:C641" si="37">WEEKDAY(DATEVALUE(LEFT(A578,FIND(" ",A578))),2)</f>
        <v>4</v>
      </c>
      <c r="D578" t="str">
        <f t="shared" ref="D578:D641" si="38">LEFT(A578,11)</f>
        <v xml:space="preserve">2016-11-24 </v>
      </c>
      <c r="E578" t="str">
        <f>TEXT(Demand_Data___Hourly_OverviewSearch_1_csv[[#This Row],[Day]],"dddd")</f>
        <v>Wednesday</v>
      </c>
      <c r="F578">
        <v>4</v>
      </c>
      <c r="G578">
        <v>42</v>
      </c>
      <c r="H578">
        <v>91</v>
      </c>
      <c r="I578">
        <f>VLOOKUP(Demand_Data___Hourly_OverviewSearch_1_csv[[#This Row],[Date]],Supply_Data___Hourly_DriverActivity_1_csv__3[#All],2,FALSE)</f>
        <v>93</v>
      </c>
      <c r="J578">
        <f>VLOOKUP(Demand_Data___Hourly_OverviewSearch_1_csv[[#This Row],[Date]],Supply_Data___Hourly_DriverActivity_1_csv__3[#All],3,FALSE)</f>
        <v>36</v>
      </c>
      <c r="K578">
        <f>VLOOKUP(Demand_Data___Hourly_OverviewSearch_1_csv[[#This Row],[Date]],Supply_Data___Hourly_DriverActivity_1_csv__3[#All],4,FALSE)</f>
        <v>7</v>
      </c>
      <c r="L578">
        <f>VLOOKUP(Demand_Data___Hourly_OverviewSearch_1_csv[[#This Row],[Date]],Supply_Data___Hourly_DriverActivity_1_csv__3[#All],5,FALSE)</f>
        <v>29</v>
      </c>
      <c r="M578">
        <f>VLOOKUP(Demand_Data___Hourly_OverviewSearch_1_csv[[#This Row],[Date]],Supply_Data___Hourly_DriverActivity_1_csv__3[#All],6,FALSE)</f>
        <v>0.4</v>
      </c>
      <c r="N578">
        <f>VLOOKUP(Demand_Data___Hourly_OverviewSearch_1_csv[[#This Row],[Date]],Supply_Data___Hourly_DriverActivity_1_csv__3[#All],7,FALSE)</f>
        <v>0.47</v>
      </c>
      <c r="O578">
        <f>VLOOKUP(Demand_Data___Hourly_OverviewSearch_1_csv[[#This Row],[Date]],Supply_Data___Hourly_DriverActivity_1_csv__3[#All],8,FALSE)</f>
        <v>17</v>
      </c>
      <c r="P578">
        <f>(Demand_Data___Hourly_OverviewSearch_1_csv[[#This Row],[People saw 0 cars (unique)]]+Demand_Data___Hourly_OverviewSearch_1_csv[[#This Row],[People saw +1 cars (unique)]])</f>
        <v>46</v>
      </c>
      <c r="Q578" s="143">
        <f t="shared" ref="Q578:Q641" si="39">(J578-K578)</f>
        <v>29</v>
      </c>
    </row>
    <row r="579" spans="1:17" x14ac:dyDescent="0.3">
      <c r="A579" t="s">
        <v>586</v>
      </c>
      <c r="B579" t="str">
        <f t="shared" si="36"/>
        <v xml:space="preserve"> 21</v>
      </c>
      <c r="C579">
        <f t="shared" si="37"/>
        <v>4</v>
      </c>
      <c r="D579" t="str">
        <f t="shared" si="38"/>
        <v xml:space="preserve">2016-11-24 </v>
      </c>
      <c r="E579" t="str">
        <f>TEXT(Demand_Data___Hourly_OverviewSearch_1_csv[[#This Row],[Day]],"dddd")</f>
        <v>Wednesday</v>
      </c>
      <c r="F579">
        <v>3</v>
      </c>
      <c r="G579">
        <v>52</v>
      </c>
      <c r="H579">
        <v>95</v>
      </c>
      <c r="I579">
        <f>VLOOKUP(Demand_Data___Hourly_OverviewSearch_1_csv[[#This Row],[Date]],Supply_Data___Hourly_DriverActivity_1_csv__3[#All],2,FALSE)</f>
        <v>116</v>
      </c>
      <c r="J579">
        <f>VLOOKUP(Demand_Data___Hourly_OverviewSearch_1_csv[[#This Row],[Date]],Supply_Data___Hourly_DriverActivity_1_csv__3[#All],3,FALSE)</f>
        <v>44</v>
      </c>
      <c r="K579">
        <f>VLOOKUP(Demand_Data___Hourly_OverviewSearch_1_csv[[#This Row],[Date]],Supply_Data___Hourly_DriverActivity_1_csv__3[#All],4,FALSE)</f>
        <v>7</v>
      </c>
      <c r="L579">
        <f>VLOOKUP(Demand_Data___Hourly_OverviewSearch_1_csv[[#This Row],[Date]],Supply_Data___Hourly_DriverActivity_1_csv__3[#All],5,FALSE)</f>
        <v>37</v>
      </c>
      <c r="M579">
        <f>VLOOKUP(Demand_Data___Hourly_OverviewSearch_1_csv[[#This Row],[Date]],Supply_Data___Hourly_DriverActivity_1_csv__3[#All],6,FALSE)</f>
        <v>0.4</v>
      </c>
      <c r="N579">
        <f>VLOOKUP(Demand_Data___Hourly_OverviewSearch_1_csv[[#This Row],[Date]],Supply_Data___Hourly_DriverActivity_1_csv__3[#All],7,FALSE)</f>
        <v>0.41</v>
      </c>
      <c r="O579">
        <f>VLOOKUP(Demand_Data___Hourly_OverviewSearch_1_csv[[#This Row],[Date]],Supply_Data___Hourly_DriverActivity_1_csv__3[#All],8,FALSE)</f>
        <v>18</v>
      </c>
      <c r="P579">
        <f>(Demand_Data___Hourly_OverviewSearch_1_csv[[#This Row],[People saw 0 cars (unique)]]+Demand_Data___Hourly_OverviewSearch_1_csv[[#This Row],[People saw +1 cars (unique)]])</f>
        <v>55</v>
      </c>
      <c r="Q579" s="143">
        <f t="shared" si="39"/>
        <v>37</v>
      </c>
    </row>
    <row r="580" spans="1:17" x14ac:dyDescent="0.3">
      <c r="A580" t="s">
        <v>587</v>
      </c>
      <c r="B580" t="str">
        <f t="shared" si="36"/>
        <v xml:space="preserve"> 20</v>
      </c>
      <c r="C580">
        <f t="shared" si="37"/>
        <v>4</v>
      </c>
      <c r="D580" t="str">
        <f t="shared" si="38"/>
        <v xml:space="preserve">2016-11-24 </v>
      </c>
      <c r="E580" t="str">
        <f>TEXT(Demand_Data___Hourly_OverviewSearch_1_csv[[#This Row],[Day]],"dddd")</f>
        <v>Wednesday</v>
      </c>
      <c r="F580">
        <v>0</v>
      </c>
      <c r="G580">
        <v>56</v>
      </c>
      <c r="H580">
        <v>100</v>
      </c>
      <c r="I580">
        <f>VLOOKUP(Demand_Data___Hourly_OverviewSearch_1_csv[[#This Row],[Date]],Supply_Data___Hourly_DriverActivity_1_csv__3[#All],2,FALSE)</f>
        <v>123</v>
      </c>
      <c r="J580">
        <f>VLOOKUP(Demand_Data___Hourly_OverviewSearch_1_csv[[#This Row],[Date]],Supply_Data___Hourly_DriverActivity_1_csv__3[#All],3,FALSE)</f>
        <v>50</v>
      </c>
      <c r="K580">
        <f>VLOOKUP(Demand_Data___Hourly_OverviewSearch_1_csv[[#This Row],[Date]],Supply_Data___Hourly_DriverActivity_1_csv__3[#All],4,FALSE)</f>
        <v>8</v>
      </c>
      <c r="L580">
        <f>VLOOKUP(Demand_Data___Hourly_OverviewSearch_1_csv[[#This Row],[Date]],Supply_Data___Hourly_DriverActivity_1_csv__3[#All],5,FALSE)</f>
        <v>42</v>
      </c>
      <c r="M580">
        <f>VLOOKUP(Demand_Data___Hourly_OverviewSearch_1_csv[[#This Row],[Date]],Supply_Data___Hourly_DriverActivity_1_csv__3[#All],6,FALSE)</f>
        <v>0.4</v>
      </c>
      <c r="N580">
        <f>VLOOKUP(Demand_Data___Hourly_OverviewSearch_1_csv[[#This Row],[Date]],Supply_Data___Hourly_DriverActivity_1_csv__3[#All],7,FALSE)</f>
        <v>0.34</v>
      </c>
      <c r="O580">
        <f>VLOOKUP(Demand_Data___Hourly_OverviewSearch_1_csv[[#This Row],[Date]],Supply_Data___Hourly_DriverActivity_1_csv__3[#All],8,FALSE)</f>
        <v>17</v>
      </c>
      <c r="P580">
        <f>(Demand_Data___Hourly_OverviewSearch_1_csv[[#This Row],[People saw 0 cars (unique)]]+Demand_Data___Hourly_OverviewSearch_1_csv[[#This Row],[People saw +1 cars (unique)]])</f>
        <v>56</v>
      </c>
      <c r="Q580" s="143">
        <f t="shared" si="39"/>
        <v>42</v>
      </c>
    </row>
    <row r="581" spans="1:17" x14ac:dyDescent="0.3">
      <c r="A581" t="s">
        <v>588</v>
      </c>
      <c r="B581" t="str">
        <f t="shared" si="36"/>
        <v xml:space="preserve"> 19</v>
      </c>
      <c r="C581">
        <f t="shared" si="37"/>
        <v>4</v>
      </c>
      <c r="D581" t="str">
        <f t="shared" si="38"/>
        <v xml:space="preserve">2016-11-24 </v>
      </c>
      <c r="E581" t="str">
        <f>TEXT(Demand_Data___Hourly_OverviewSearch_1_csv[[#This Row],[Day]],"dddd")</f>
        <v>Wednesday</v>
      </c>
      <c r="F581">
        <v>11</v>
      </c>
      <c r="G581">
        <v>78</v>
      </c>
      <c r="H581">
        <v>88</v>
      </c>
      <c r="I581">
        <f>VLOOKUP(Demand_Data___Hourly_OverviewSearch_1_csv[[#This Row],[Date]],Supply_Data___Hourly_DriverActivity_1_csv__3[#All],2,FALSE)</f>
        <v>116</v>
      </c>
      <c r="J581">
        <f>VLOOKUP(Demand_Data___Hourly_OverviewSearch_1_csv[[#This Row],[Date]],Supply_Data___Hourly_DriverActivity_1_csv__3[#All],3,FALSE)</f>
        <v>45</v>
      </c>
      <c r="K581">
        <f>VLOOKUP(Demand_Data___Hourly_OverviewSearch_1_csv[[#This Row],[Date]],Supply_Data___Hourly_DriverActivity_1_csv__3[#All],4,FALSE)</f>
        <v>16</v>
      </c>
      <c r="L581">
        <f>VLOOKUP(Demand_Data___Hourly_OverviewSearch_1_csv[[#This Row],[Date]],Supply_Data___Hourly_DriverActivity_1_csv__3[#All],5,FALSE)</f>
        <v>28</v>
      </c>
      <c r="M581">
        <f>VLOOKUP(Demand_Data___Hourly_OverviewSearch_1_csv[[#This Row],[Date]],Supply_Data___Hourly_DriverActivity_1_csv__3[#All],6,FALSE)</f>
        <v>0.4</v>
      </c>
      <c r="N581">
        <f>VLOOKUP(Demand_Data___Hourly_OverviewSearch_1_csv[[#This Row],[Date]],Supply_Data___Hourly_DriverActivity_1_csv__3[#All],7,FALSE)</f>
        <v>0.71</v>
      </c>
      <c r="O581">
        <f>VLOOKUP(Demand_Data___Hourly_OverviewSearch_1_csv[[#This Row],[Date]],Supply_Data___Hourly_DriverActivity_1_csv__3[#All],8,FALSE)</f>
        <v>32</v>
      </c>
      <c r="P581">
        <f>(Demand_Data___Hourly_OverviewSearch_1_csv[[#This Row],[People saw 0 cars (unique)]]+Demand_Data___Hourly_OverviewSearch_1_csv[[#This Row],[People saw +1 cars (unique)]])</f>
        <v>89</v>
      </c>
      <c r="Q581" s="143">
        <f t="shared" si="39"/>
        <v>29</v>
      </c>
    </row>
    <row r="582" spans="1:17" x14ac:dyDescent="0.3">
      <c r="A582" t="s">
        <v>589</v>
      </c>
      <c r="B582" t="str">
        <f t="shared" si="36"/>
        <v xml:space="preserve"> 18</v>
      </c>
      <c r="C582">
        <f t="shared" si="37"/>
        <v>4</v>
      </c>
      <c r="D582" t="str">
        <f t="shared" si="38"/>
        <v xml:space="preserve">2016-11-24 </v>
      </c>
      <c r="E582" t="str">
        <f>TEXT(Demand_Data___Hourly_OverviewSearch_1_csv[[#This Row],[Day]],"dddd")</f>
        <v>Wednesday</v>
      </c>
      <c r="F582">
        <v>12</v>
      </c>
      <c r="G582">
        <v>79</v>
      </c>
      <c r="H582">
        <v>87</v>
      </c>
      <c r="I582">
        <f>VLOOKUP(Demand_Data___Hourly_OverviewSearch_1_csv[[#This Row],[Date]],Supply_Data___Hourly_DriverActivity_1_csv__3[#All],2,FALSE)</f>
        <v>106</v>
      </c>
      <c r="J582">
        <f>VLOOKUP(Demand_Data___Hourly_OverviewSearch_1_csv[[#This Row],[Date]],Supply_Data___Hourly_DriverActivity_1_csv__3[#All],3,FALSE)</f>
        <v>43</v>
      </c>
      <c r="K582">
        <f>VLOOKUP(Demand_Data___Hourly_OverviewSearch_1_csv[[#This Row],[Date]],Supply_Data___Hourly_DriverActivity_1_csv__3[#All],4,FALSE)</f>
        <v>23</v>
      </c>
      <c r="L582">
        <f>VLOOKUP(Demand_Data___Hourly_OverviewSearch_1_csv[[#This Row],[Date]],Supply_Data___Hourly_DriverActivity_1_csv__3[#All],5,FALSE)</f>
        <v>21</v>
      </c>
      <c r="M582">
        <f>VLOOKUP(Demand_Data___Hourly_OverviewSearch_1_csv[[#This Row],[Date]],Supply_Data___Hourly_DriverActivity_1_csv__3[#All],6,FALSE)</f>
        <v>0.4</v>
      </c>
      <c r="N582">
        <f>VLOOKUP(Demand_Data___Hourly_OverviewSearch_1_csv[[#This Row],[Date]],Supply_Data___Hourly_DriverActivity_1_csv__3[#All],7,FALSE)</f>
        <v>0.86</v>
      </c>
      <c r="O582">
        <f>VLOOKUP(Demand_Data___Hourly_OverviewSearch_1_csv[[#This Row],[Date]],Supply_Data___Hourly_DriverActivity_1_csv__3[#All],8,FALSE)</f>
        <v>37</v>
      </c>
      <c r="P582">
        <f>(Demand_Data___Hourly_OverviewSearch_1_csv[[#This Row],[People saw 0 cars (unique)]]+Demand_Data___Hourly_OverviewSearch_1_csv[[#This Row],[People saw +1 cars (unique)]])</f>
        <v>91</v>
      </c>
      <c r="Q582" s="143">
        <f t="shared" si="39"/>
        <v>20</v>
      </c>
    </row>
    <row r="583" spans="1:17" x14ac:dyDescent="0.3">
      <c r="A583" t="s">
        <v>590</v>
      </c>
      <c r="B583" t="str">
        <f t="shared" si="36"/>
        <v xml:space="preserve"> 17</v>
      </c>
      <c r="C583">
        <f t="shared" si="37"/>
        <v>4</v>
      </c>
      <c r="D583" t="str">
        <f t="shared" si="38"/>
        <v xml:space="preserve">2016-11-24 </v>
      </c>
      <c r="E583" t="str">
        <f>TEXT(Demand_Data___Hourly_OverviewSearch_1_csv[[#This Row],[Day]],"dddd")</f>
        <v>Wednesday</v>
      </c>
      <c r="F583">
        <v>4</v>
      </c>
      <c r="G583">
        <v>57</v>
      </c>
      <c r="H583">
        <v>93</v>
      </c>
      <c r="I583">
        <f>VLOOKUP(Demand_Data___Hourly_OverviewSearch_1_csv[[#This Row],[Date]],Supply_Data___Hourly_DriverActivity_1_csv__3[#All],2,FALSE)</f>
        <v>91</v>
      </c>
      <c r="J583">
        <f>VLOOKUP(Demand_Data___Hourly_OverviewSearch_1_csv[[#This Row],[Date]],Supply_Data___Hourly_DriverActivity_1_csv__3[#All],3,FALSE)</f>
        <v>34</v>
      </c>
      <c r="K583">
        <f>VLOOKUP(Demand_Data___Hourly_OverviewSearch_1_csv[[#This Row],[Date]],Supply_Data___Hourly_DriverActivity_1_csv__3[#All],4,FALSE)</f>
        <v>11</v>
      </c>
      <c r="L583">
        <f>VLOOKUP(Demand_Data___Hourly_OverviewSearch_1_csv[[#This Row],[Date]],Supply_Data___Hourly_DriverActivity_1_csv__3[#All],5,FALSE)</f>
        <v>23</v>
      </c>
      <c r="M583">
        <f>VLOOKUP(Demand_Data___Hourly_OverviewSearch_1_csv[[#This Row],[Date]],Supply_Data___Hourly_DriverActivity_1_csv__3[#All],6,FALSE)</f>
        <v>0.4</v>
      </c>
      <c r="N583">
        <f>VLOOKUP(Demand_Data___Hourly_OverviewSearch_1_csv[[#This Row],[Date]],Supply_Data___Hourly_DriverActivity_1_csv__3[#All],7,FALSE)</f>
        <v>0.62</v>
      </c>
      <c r="O583">
        <f>VLOOKUP(Demand_Data___Hourly_OverviewSearch_1_csv[[#This Row],[Date]],Supply_Data___Hourly_DriverActivity_1_csv__3[#All],8,FALSE)</f>
        <v>21</v>
      </c>
      <c r="P583">
        <f>(Demand_Data___Hourly_OverviewSearch_1_csv[[#This Row],[People saw 0 cars (unique)]]+Demand_Data___Hourly_OverviewSearch_1_csv[[#This Row],[People saw +1 cars (unique)]])</f>
        <v>61</v>
      </c>
      <c r="Q583" s="143">
        <f t="shared" si="39"/>
        <v>23</v>
      </c>
    </row>
    <row r="584" spans="1:17" x14ac:dyDescent="0.3">
      <c r="A584" t="s">
        <v>591</v>
      </c>
      <c r="B584" t="str">
        <f t="shared" si="36"/>
        <v xml:space="preserve"> 16</v>
      </c>
      <c r="C584">
        <f t="shared" si="37"/>
        <v>4</v>
      </c>
      <c r="D584" t="str">
        <f t="shared" si="38"/>
        <v xml:space="preserve">2016-11-24 </v>
      </c>
      <c r="E584" t="str">
        <f>TEXT(Demand_Data___Hourly_OverviewSearch_1_csv[[#This Row],[Day]],"dddd")</f>
        <v>Wednesday</v>
      </c>
      <c r="F584">
        <v>0</v>
      </c>
      <c r="G584">
        <v>39</v>
      </c>
      <c r="H584">
        <v>100</v>
      </c>
      <c r="I584">
        <f>VLOOKUP(Demand_Data___Hourly_OverviewSearch_1_csv[[#This Row],[Date]],Supply_Data___Hourly_DriverActivity_1_csv__3[#All],2,FALSE)</f>
        <v>101</v>
      </c>
      <c r="J584">
        <f>VLOOKUP(Demand_Data___Hourly_OverviewSearch_1_csv[[#This Row],[Date]],Supply_Data___Hourly_DriverActivity_1_csv__3[#All],3,FALSE)</f>
        <v>36</v>
      </c>
      <c r="K584">
        <f>VLOOKUP(Demand_Data___Hourly_OverviewSearch_1_csv[[#This Row],[Date]],Supply_Data___Hourly_DriverActivity_1_csv__3[#All],4,FALSE)</f>
        <v>6</v>
      </c>
      <c r="L584">
        <f>VLOOKUP(Demand_Data___Hourly_OverviewSearch_1_csv[[#This Row],[Date]],Supply_Data___Hourly_DriverActivity_1_csv__3[#All],5,FALSE)</f>
        <v>30</v>
      </c>
      <c r="M584">
        <f>VLOOKUP(Demand_Data___Hourly_OverviewSearch_1_csv[[#This Row],[Date]],Supply_Data___Hourly_DriverActivity_1_csv__3[#All],6,FALSE)</f>
        <v>0.4</v>
      </c>
      <c r="N584">
        <f>VLOOKUP(Demand_Data___Hourly_OverviewSearch_1_csv[[#This Row],[Date]],Supply_Data___Hourly_DriverActivity_1_csv__3[#All],7,FALSE)</f>
        <v>0.44</v>
      </c>
      <c r="O584">
        <f>VLOOKUP(Demand_Data___Hourly_OverviewSearch_1_csv[[#This Row],[Date]],Supply_Data___Hourly_DriverActivity_1_csv__3[#All],8,FALSE)</f>
        <v>16</v>
      </c>
      <c r="P584">
        <f>(Demand_Data___Hourly_OverviewSearch_1_csv[[#This Row],[People saw 0 cars (unique)]]+Demand_Data___Hourly_OverviewSearch_1_csv[[#This Row],[People saw +1 cars (unique)]])</f>
        <v>39</v>
      </c>
      <c r="Q584" s="143">
        <f t="shared" si="39"/>
        <v>30</v>
      </c>
    </row>
    <row r="585" spans="1:17" x14ac:dyDescent="0.3">
      <c r="A585" t="s">
        <v>592</v>
      </c>
      <c r="B585" t="str">
        <f t="shared" si="36"/>
        <v xml:space="preserve"> 15</v>
      </c>
      <c r="C585">
        <f t="shared" si="37"/>
        <v>4</v>
      </c>
      <c r="D585" t="str">
        <f t="shared" si="38"/>
        <v xml:space="preserve">2016-11-24 </v>
      </c>
      <c r="E585" t="str">
        <f>TEXT(Demand_Data___Hourly_OverviewSearch_1_csv[[#This Row],[Day]],"dddd")</f>
        <v>Wednesday</v>
      </c>
      <c r="F585">
        <v>2</v>
      </c>
      <c r="G585">
        <v>19</v>
      </c>
      <c r="H585">
        <v>90</v>
      </c>
      <c r="I585">
        <f>VLOOKUP(Demand_Data___Hourly_OverviewSearch_1_csv[[#This Row],[Date]],Supply_Data___Hourly_DriverActivity_1_csv__3[#All],2,FALSE)</f>
        <v>86</v>
      </c>
      <c r="J585">
        <f>VLOOKUP(Demand_Data___Hourly_OverviewSearch_1_csv[[#This Row],[Date]],Supply_Data___Hourly_DriverActivity_1_csv__3[#All],3,FALSE)</f>
        <v>32</v>
      </c>
      <c r="K585">
        <f>VLOOKUP(Demand_Data___Hourly_OverviewSearch_1_csv[[#This Row],[Date]],Supply_Data___Hourly_DriverActivity_1_csv__3[#All],4,FALSE)</f>
        <v>2</v>
      </c>
      <c r="L585">
        <f>VLOOKUP(Demand_Data___Hourly_OverviewSearch_1_csv[[#This Row],[Date]],Supply_Data___Hourly_DriverActivity_1_csv__3[#All],5,FALSE)</f>
        <v>30</v>
      </c>
      <c r="M585">
        <f>VLOOKUP(Demand_Data___Hourly_OverviewSearch_1_csv[[#This Row],[Date]],Supply_Data___Hourly_DriverActivity_1_csv__3[#All],6,FALSE)</f>
        <v>0.4</v>
      </c>
      <c r="N585">
        <f>VLOOKUP(Demand_Data___Hourly_OverviewSearch_1_csv[[#This Row],[Date]],Supply_Data___Hourly_DriverActivity_1_csv__3[#All],7,FALSE)</f>
        <v>0.16</v>
      </c>
      <c r="O585">
        <f>VLOOKUP(Demand_Data___Hourly_OverviewSearch_1_csv[[#This Row],[Date]],Supply_Data___Hourly_DriverActivity_1_csv__3[#All],8,FALSE)</f>
        <v>5</v>
      </c>
      <c r="P585">
        <f>(Demand_Data___Hourly_OverviewSearch_1_csv[[#This Row],[People saw 0 cars (unique)]]+Demand_Data___Hourly_OverviewSearch_1_csv[[#This Row],[People saw +1 cars (unique)]])</f>
        <v>21</v>
      </c>
      <c r="Q585" s="143">
        <f t="shared" si="39"/>
        <v>30</v>
      </c>
    </row>
    <row r="586" spans="1:17" x14ac:dyDescent="0.3">
      <c r="A586" t="s">
        <v>593</v>
      </c>
      <c r="B586" t="str">
        <f t="shared" si="36"/>
        <v xml:space="preserve"> 14</v>
      </c>
      <c r="C586">
        <f t="shared" si="37"/>
        <v>4</v>
      </c>
      <c r="D586" t="str">
        <f t="shared" si="38"/>
        <v xml:space="preserve">2016-11-24 </v>
      </c>
      <c r="E586" t="str">
        <f>TEXT(Demand_Data___Hourly_OverviewSearch_1_csv[[#This Row],[Day]],"dddd")</f>
        <v>Wednesday</v>
      </c>
      <c r="F586">
        <v>2</v>
      </c>
      <c r="G586">
        <v>24</v>
      </c>
      <c r="H586">
        <v>92</v>
      </c>
      <c r="I586">
        <f>VLOOKUP(Demand_Data___Hourly_OverviewSearch_1_csv[[#This Row],[Date]],Supply_Data___Hourly_DriverActivity_1_csv__3[#All],2,FALSE)</f>
        <v>71</v>
      </c>
      <c r="J586">
        <f>VLOOKUP(Demand_Data___Hourly_OverviewSearch_1_csv[[#This Row],[Date]],Supply_Data___Hourly_DriverActivity_1_csv__3[#All],3,FALSE)</f>
        <v>28</v>
      </c>
      <c r="K586">
        <f>VLOOKUP(Demand_Data___Hourly_OverviewSearch_1_csv[[#This Row],[Date]],Supply_Data___Hourly_DriverActivity_1_csv__3[#All],4,FALSE)</f>
        <v>3</v>
      </c>
      <c r="L586">
        <f>VLOOKUP(Demand_Data___Hourly_OverviewSearch_1_csv[[#This Row],[Date]],Supply_Data___Hourly_DriverActivity_1_csv__3[#All],5,FALSE)</f>
        <v>26</v>
      </c>
      <c r="M586">
        <f>VLOOKUP(Demand_Data___Hourly_OverviewSearch_1_csv[[#This Row],[Date]],Supply_Data___Hourly_DriverActivity_1_csv__3[#All],6,FALSE)</f>
        <v>0.4</v>
      </c>
      <c r="N586">
        <f>VLOOKUP(Demand_Data___Hourly_OverviewSearch_1_csv[[#This Row],[Date]],Supply_Data___Hourly_DriverActivity_1_csv__3[#All],7,FALSE)</f>
        <v>0.25</v>
      </c>
      <c r="O586">
        <f>VLOOKUP(Demand_Data___Hourly_OverviewSearch_1_csv[[#This Row],[Date]],Supply_Data___Hourly_DriverActivity_1_csv__3[#All],8,FALSE)</f>
        <v>7</v>
      </c>
      <c r="P586">
        <f>(Demand_Data___Hourly_OverviewSearch_1_csv[[#This Row],[People saw 0 cars (unique)]]+Demand_Data___Hourly_OverviewSearch_1_csv[[#This Row],[People saw +1 cars (unique)]])</f>
        <v>26</v>
      </c>
      <c r="Q586" s="143">
        <f t="shared" si="39"/>
        <v>25</v>
      </c>
    </row>
    <row r="587" spans="1:17" x14ac:dyDescent="0.3">
      <c r="A587" t="s">
        <v>594</v>
      </c>
      <c r="B587" t="str">
        <f t="shared" si="36"/>
        <v xml:space="preserve"> 13</v>
      </c>
      <c r="C587">
        <f t="shared" si="37"/>
        <v>4</v>
      </c>
      <c r="D587" t="str">
        <f t="shared" si="38"/>
        <v xml:space="preserve">2016-11-24 </v>
      </c>
      <c r="E587" t="str">
        <f>TEXT(Demand_Data___Hourly_OverviewSearch_1_csv[[#This Row],[Day]],"dddd")</f>
        <v>Wednesday</v>
      </c>
      <c r="F587">
        <v>6</v>
      </c>
      <c r="G587">
        <v>36</v>
      </c>
      <c r="H587">
        <v>86</v>
      </c>
      <c r="I587">
        <f>VLOOKUP(Demand_Data___Hourly_OverviewSearch_1_csv[[#This Row],[Date]],Supply_Data___Hourly_DriverActivity_1_csv__3[#All],2,FALSE)</f>
        <v>72</v>
      </c>
      <c r="J587">
        <f>VLOOKUP(Demand_Data___Hourly_OverviewSearch_1_csv[[#This Row],[Date]],Supply_Data___Hourly_DriverActivity_1_csv__3[#All],3,FALSE)</f>
        <v>26</v>
      </c>
      <c r="K587">
        <f>VLOOKUP(Demand_Data___Hourly_OverviewSearch_1_csv[[#This Row],[Date]],Supply_Data___Hourly_DriverActivity_1_csv__3[#All],4,FALSE)</f>
        <v>6</v>
      </c>
      <c r="L587">
        <f>VLOOKUP(Demand_Data___Hourly_OverviewSearch_1_csv[[#This Row],[Date]],Supply_Data___Hourly_DriverActivity_1_csv__3[#All],5,FALSE)</f>
        <v>20</v>
      </c>
      <c r="M587">
        <f>VLOOKUP(Demand_Data___Hourly_OverviewSearch_1_csv[[#This Row],[Date]],Supply_Data___Hourly_DriverActivity_1_csv__3[#All],6,FALSE)</f>
        <v>0.4</v>
      </c>
      <c r="N587">
        <f>VLOOKUP(Demand_Data___Hourly_OverviewSearch_1_csv[[#This Row],[Date]],Supply_Data___Hourly_DriverActivity_1_csv__3[#All],7,FALSE)</f>
        <v>0.35</v>
      </c>
      <c r="O587">
        <f>VLOOKUP(Demand_Data___Hourly_OverviewSearch_1_csv[[#This Row],[Date]],Supply_Data___Hourly_DriverActivity_1_csv__3[#All],8,FALSE)</f>
        <v>9</v>
      </c>
      <c r="P587">
        <f>(Demand_Data___Hourly_OverviewSearch_1_csv[[#This Row],[People saw 0 cars (unique)]]+Demand_Data___Hourly_OverviewSearch_1_csv[[#This Row],[People saw +1 cars (unique)]])</f>
        <v>42</v>
      </c>
      <c r="Q587" s="143">
        <f t="shared" si="39"/>
        <v>20</v>
      </c>
    </row>
    <row r="588" spans="1:17" x14ac:dyDescent="0.3">
      <c r="A588" t="s">
        <v>595</v>
      </c>
      <c r="B588" t="str">
        <f t="shared" si="36"/>
        <v xml:space="preserve"> 12</v>
      </c>
      <c r="C588">
        <f t="shared" si="37"/>
        <v>4</v>
      </c>
      <c r="D588" t="str">
        <f t="shared" si="38"/>
        <v xml:space="preserve">2016-11-24 </v>
      </c>
      <c r="E588" t="str">
        <f>TEXT(Demand_Data___Hourly_OverviewSearch_1_csv[[#This Row],[Day]],"dddd")</f>
        <v>Wednesday</v>
      </c>
      <c r="F588">
        <v>9</v>
      </c>
      <c r="G588">
        <v>28</v>
      </c>
      <c r="H588">
        <v>76</v>
      </c>
      <c r="I588">
        <f>VLOOKUP(Demand_Data___Hourly_OverviewSearch_1_csv[[#This Row],[Date]],Supply_Data___Hourly_DriverActivity_1_csv__3[#All],2,FALSE)</f>
        <v>73</v>
      </c>
      <c r="J588">
        <f>VLOOKUP(Demand_Data___Hourly_OverviewSearch_1_csv[[#This Row],[Date]],Supply_Data___Hourly_DriverActivity_1_csv__3[#All],3,FALSE)</f>
        <v>27</v>
      </c>
      <c r="K588">
        <f>VLOOKUP(Demand_Data___Hourly_OverviewSearch_1_csv[[#This Row],[Date]],Supply_Data___Hourly_DriverActivity_1_csv__3[#All],4,FALSE)</f>
        <v>4</v>
      </c>
      <c r="L588">
        <f>VLOOKUP(Demand_Data___Hourly_OverviewSearch_1_csv[[#This Row],[Date]],Supply_Data___Hourly_DriverActivity_1_csv__3[#All],5,FALSE)</f>
        <v>23</v>
      </c>
      <c r="M588">
        <f>VLOOKUP(Demand_Data___Hourly_OverviewSearch_1_csv[[#This Row],[Date]],Supply_Data___Hourly_DriverActivity_1_csv__3[#All],6,FALSE)</f>
        <v>0.4</v>
      </c>
      <c r="N588">
        <f>VLOOKUP(Demand_Data___Hourly_OverviewSearch_1_csv[[#This Row],[Date]],Supply_Data___Hourly_DriverActivity_1_csv__3[#All],7,FALSE)</f>
        <v>0.33</v>
      </c>
      <c r="O588">
        <f>VLOOKUP(Demand_Data___Hourly_OverviewSearch_1_csv[[#This Row],[Date]],Supply_Data___Hourly_DriverActivity_1_csv__3[#All],8,FALSE)</f>
        <v>9</v>
      </c>
      <c r="P588">
        <f>(Demand_Data___Hourly_OverviewSearch_1_csv[[#This Row],[People saw 0 cars (unique)]]+Demand_Data___Hourly_OverviewSearch_1_csv[[#This Row],[People saw +1 cars (unique)]])</f>
        <v>37</v>
      </c>
      <c r="Q588" s="143">
        <f t="shared" si="39"/>
        <v>23</v>
      </c>
    </row>
    <row r="589" spans="1:17" x14ac:dyDescent="0.3">
      <c r="A589" t="s">
        <v>596</v>
      </c>
      <c r="B589" t="str">
        <f t="shared" si="36"/>
        <v xml:space="preserve"> 11</v>
      </c>
      <c r="C589">
        <f t="shared" si="37"/>
        <v>4</v>
      </c>
      <c r="D589" t="str">
        <f t="shared" si="38"/>
        <v xml:space="preserve">2016-11-24 </v>
      </c>
      <c r="E589" t="str">
        <f>TEXT(Demand_Data___Hourly_OverviewSearch_1_csv[[#This Row],[Day]],"dddd")</f>
        <v>Wednesday</v>
      </c>
      <c r="F589">
        <v>9</v>
      </c>
      <c r="G589">
        <v>39</v>
      </c>
      <c r="H589">
        <v>81</v>
      </c>
      <c r="I589">
        <f>VLOOKUP(Demand_Data___Hourly_OverviewSearch_1_csv[[#This Row],[Date]],Supply_Data___Hourly_DriverActivity_1_csv__3[#All],2,FALSE)</f>
        <v>83</v>
      </c>
      <c r="J589">
        <f>VLOOKUP(Demand_Data___Hourly_OverviewSearch_1_csv[[#This Row],[Date]],Supply_Data___Hourly_DriverActivity_1_csv__3[#All],3,FALSE)</f>
        <v>36</v>
      </c>
      <c r="K589">
        <f>VLOOKUP(Demand_Data___Hourly_OverviewSearch_1_csv[[#This Row],[Date]],Supply_Data___Hourly_DriverActivity_1_csv__3[#All],4,FALSE)</f>
        <v>7</v>
      </c>
      <c r="L589">
        <f>VLOOKUP(Demand_Data___Hourly_OverviewSearch_1_csv[[#This Row],[Date]],Supply_Data___Hourly_DriverActivity_1_csv__3[#All],5,FALSE)</f>
        <v>28</v>
      </c>
      <c r="M589">
        <f>VLOOKUP(Demand_Data___Hourly_OverviewSearch_1_csv[[#This Row],[Date]],Supply_Data___Hourly_DriverActivity_1_csv__3[#All],6,FALSE)</f>
        <v>0.4</v>
      </c>
      <c r="N589">
        <f>VLOOKUP(Demand_Data___Hourly_OverviewSearch_1_csv[[#This Row],[Date]],Supply_Data___Hourly_DriverActivity_1_csv__3[#All],7,FALSE)</f>
        <v>0.33</v>
      </c>
      <c r="O589">
        <f>VLOOKUP(Demand_Data___Hourly_OverviewSearch_1_csv[[#This Row],[Date]],Supply_Data___Hourly_DriverActivity_1_csv__3[#All],8,FALSE)</f>
        <v>12</v>
      </c>
      <c r="P589">
        <f>(Demand_Data___Hourly_OverviewSearch_1_csv[[#This Row],[People saw 0 cars (unique)]]+Demand_Data___Hourly_OverviewSearch_1_csv[[#This Row],[People saw +1 cars (unique)]])</f>
        <v>48</v>
      </c>
      <c r="Q589" s="143">
        <f t="shared" si="39"/>
        <v>29</v>
      </c>
    </row>
    <row r="590" spans="1:17" x14ac:dyDescent="0.3">
      <c r="A590" t="s">
        <v>597</v>
      </c>
      <c r="B590" t="str">
        <f t="shared" si="36"/>
        <v xml:space="preserve"> 10</v>
      </c>
      <c r="C590">
        <f t="shared" si="37"/>
        <v>4</v>
      </c>
      <c r="D590" t="str">
        <f t="shared" si="38"/>
        <v xml:space="preserve">2016-11-24 </v>
      </c>
      <c r="E590" t="str">
        <f>TEXT(Demand_Data___Hourly_OverviewSearch_1_csv[[#This Row],[Day]],"dddd")</f>
        <v>Wednesday</v>
      </c>
      <c r="F590">
        <v>14</v>
      </c>
      <c r="G590">
        <v>49</v>
      </c>
      <c r="H590">
        <v>78</v>
      </c>
      <c r="I590">
        <f>VLOOKUP(Demand_Data___Hourly_OverviewSearch_1_csv[[#This Row],[Date]],Supply_Data___Hourly_DriverActivity_1_csv__3[#All],2,FALSE)</f>
        <v>83</v>
      </c>
      <c r="J590">
        <f>VLOOKUP(Demand_Data___Hourly_OverviewSearch_1_csv[[#This Row],[Date]],Supply_Data___Hourly_DriverActivity_1_csv__3[#All],3,FALSE)</f>
        <v>39</v>
      </c>
      <c r="K590">
        <f>VLOOKUP(Demand_Data___Hourly_OverviewSearch_1_csv[[#This Row],[Date]],Supply_Data___Hourly_DriverActivity_1_csv__3[#All],4,FALSE)</f>
        <v>9</v>
      </c>
      <c r="L590">
        <f>VLOOKUP(Demand_Data___Hourly_OverviewSearch_1_csv[[#This Row],[Date]],Supply_Data___Hourly_DriverActivity_1_csv__3[#All],5,FALSE)</f>
        <v>30</v>
      </c>
      <c r="M590">
        <f>VLOOKUP(Demand_Data___Hourly_OverviewSearch_1_csv[[#This Row],[Date]],Supply_Data___Hourly_DriverActivity_1_csv__3[#All],6,FALSE)</f>
        <v>0.5</v>
      </c>
      <c r="N590">
        <f>VLOOKUP(Demand_Data___Hourly_OverviewSearch_1_csv[[#This Row],[Date]],Supply_Data___Hourly_DriverActivity_1_csv__3[#All],7,FALSE)</f>
        <v>0.46</v>
      </c>
      <c r="O590">
        <f>VLOOKUP(Demand_Data___Hourly_OverviewSearch_1_csv[[#This Row],[Date]],Supply_Data___Hourly_DriverActivity_1_csv__3[#All],8,FALSE)</f>
        <v>18</v>
      </c>
      <c r="P590">
        <f>(Demand_Data___Hourly_OverviewSearch_1_csv[[#This Row],[People saw 0 cars (unique)]]+Demand_Data___Hourly_OverviewSearch_1_csv[[#This Row],[People saw +1 cars (unique)]])</f>
        <v>63</v>
      </c>
      <c r="Q590" s="143">
        <f t="shared" si="39"/>
        <v>30</v>
      </c>
    </row>
    <row r="591" spans="1:17" x14ac:dyDescent="0.3">
      <c r="A591" t="s">
        <v>598</v>
      </c>
      <c r="B591" t="str">
        <f t="shared" si="36"/>
        <v xml:space="preserve"> 09</v>
      </c>
      <c r="C591">
        <f t="shared" si="37"/>
        <v>4</v>
      </c>
      <c r="D591" t="str">
        <f t="shared" si="38"/>
        <v xml:space="preserve">2016-11-24 </v>
      </c>
      <c r="E591" t="str">
        <f>TEXT(Demand_Data___Hourly_OverviewSearch_1_csv[[#This Row],[Day]],"dddd")</f>
        <v>Wednesday</v>
      </c>
      <c r="F591">
        <v>38</v>
      </c>
      <c r="G591">
        <v>72</v>
      </c>
      <c r="H591">
        <v>65</v>
      </c>
      <c r="I591">
        <f>VLOOKUP(Demand_Data___Hourly_OverviewSearch_1_csv[[#This Row],[Date]],Supply_Data___Hourly_DriverActivity_1_csv__3[#All],2,FALSE)</f>
        <v>73</v>
      </c>
      <c r="J591">
        <f>VLOOKUP(Demand_Data___Hourly_OverviewSearch_1_csv[[#This Row],[Date]],Supply_Data___Hourly_DriverActivity_1_csv__3[#All],3,FALSE)</f>
        <v>31</v>
      </c>
      <c r="K591">
        <f>VLOOKUP(Demand_Data___Hourly_OverviewSearch_1_csv[[#This Row],[Date]],Supply_Data___Hourly_DriverActivity_1_csv__3[#All],4,FALSE)</f>
        <v>17</v>
      </c>
      <c r="L591">
        <f>VLOOKUP(Demand_Data___Hourly_OverviewSearch_1_csv[[#This Row],[Date]],Supply_Data___Hourly_DriverActivity_1_csv__3[#All],5,FALSE)</f>
        <v>14</v>
      </c>
      <c r="M591">
        <f>VLOOKUP(Demand_Data___Hourly_OverviewSearch_1_csv[[#This Row],[Date]],Supply_Data___Hourly_DriverActivity_1_csv__3[#All],6,FALSE)</f>
        <v>0.4</v>
      </c>
      <c r="N591">
        <f>VLOOKUP(Demand_Data___Hourly_OverviewSearch_1_csv[[#This Row],[Date]],Supply_Data___Hourly_DriverActivity_1_csv__3[#All],7,FALSE)</f>
        <v>1.03</v>
      </c>
      <c r="O591">
        <f>VLOOKUP(Demand_Data___Hourly_OverviewSearch_1_csv[[#This Row],[Date]],Supply_Data___Hourly_DriverActivity_1_csv__3[#All],8,FALSE)</f>
        <v>32</v>
      </c>
      <c r="P591">
        <f>(Demand_Data___Hourly_OverviewSearch_1_csv[[#This Row],[People saw 0 cars (unique)]]+Demand_Data___Hourly_OverviewSearch_1_csv[[#This Row],[People saw +1 cars (unique)]])</f>
        <v>110</v>
      </c>
      <c r="Q591" s="143">
        <f t="shared" si="39"/>
        <v>14</v>
      </c>
    </row>
    <row r="592" spans="1:17" x14ac:dyDescent="0.3">
      <c r="A592" t="s">
        <v>599</v>
      </c>
      <c r="B592" t="str">
        <f t="shared" si="36"/>
        <v xml:space="preserve"> 08</v>
      </c>
      <c r="C592">
        <f t="shared" si="37"/>
        <v>4</v>
      </c>
      <c r="D592" t="str">
        <f t="shared" si="38"/>
        <v xml:space="preserve">2016-11-24 </v>
      </c>
      <c r="E592" t="str">
        <f>TEXT(Demand_Data___Hourly_OverviewSearch_1_csv[[#This Row],[Day]],"dddd")</f>
        <v>Wednesday</v>
      </c>
      <c r="F592">
        <v>36</v>
      </c>
      <c r="G592">
        <v>60</v>
      </c>
      <c r="H592">
        <v>63</v>
      </c>
      <c r="I592">
        <f>VLOOKUP(Demand_Data___Hourly_OverviewSearch_1_csv[[#This Row],[Date]],Supply_Data___Hourly_DriverActivity_1_csv__3[#All],2,FALSE)</f>
        <v>66</v>
      </c>
      <c r="J592">
        <f>VLOOKUP(Demand_Data___Hourly_OverviewSearch_1_csv[[#This Row],[Date]],Supply_Data___Hourly_DriverActivity_1_csv__3[#All],3,FALSE)</f>
        <v>27</v>
      </c>
      <c r="K592">
        <f>VLOOKUP(Demand_Data___Hourly_OverviewSearch_1_csv[[#This Row],[Date]],Supply_Data___Hourly_DriverActivity_1_csv__3[#All],4,FALSE)</f>
        <v>13</v>
      </c>
      <c r="L592">
        <f>VLOOKUP(Demand_Data___Hourly_OverviewSearch_1_csv[[#This Row],[Date]],Supply_Data___Hourly_DriverActivity_1_csv__3[#All],5,FALSE)</f>
        <v>14</v>
      </c>
      <c r="M592">
        <f>VLOOKUP(Demand_Data___Hourly_OverviewSearch_1_csv[[#This Row],[Date]],Supply_Data___Hourly_DriverActivity_1_csv__3[#All],6,FALSE)</f>
        <v>0.4</v>
      </c>
      <c r="N592">
        <f>VLOOKUP(Demand_Data___Hourly_OverviewSearch_1_csv[[#This Row],[Date]],Supply_Data___Hourly_DriverActivity_1_csv__3[#All],7,FALSE)</f>
        <v>0.93</v>
      </c>
      <c r="O592">
        <f>VLOOKUP(Demand_Data___Hourly_OverviewSearch_1_csv[[#This Row],[Date]],Supply_Data___Hourly_DriverActivity_1_csv__3[#All],8,FALSE)</f>
        <v>25</v>
      </c>
      <c r="P592">
        <f>(Demand_Data___Hourly_OverviewSearch_1_csv[[#This Row],[People saw 0 cars (unique)]]+Demand_Data___Hourly_OverviewSearch_1_csv[[#This Row],[People saw +1 cars (unique)]])</f>
        <v>96</v>
      </c>
      <c r="Q592" s="143">
        <f t="shared" si="39"/>
        <v>14</v>
      </c>
    </row>
    <row r="593" spans="1:17" x14ac:dyDescent="0.3">
      <c r="A593" t="s">
        <v>600</v>
      </c>
      <c r="B593" t="str">
        <f t="shared" si="36"/>
        <v xml:space="preserve"> 07</v>
      </c>
      <c r="C593">
        <f t="shared" si="37"/>
        <v>4</v>
      </c>
      <c r="D593" t="str">
        <f t="shared" si="38"/>
        <v xml:space="preserve">2016-11-24 </v>
      </c>
      <c r="E593" t="str">
        <f>TEXT(Demand_Data___Hourly_OverviewSearch_1_csv[[#This Row],[Day]],"dddd")</f>
        <v>Wednesday</v>
      </c>
      <c r="F593">
        <v>14</v>
      </c>
      <c r="G593">
        <v>26</v>
      </c>
      <c r="H593">
        <v>65</v>
      </c>
      <c r="I593">
        <f>VLOOKUP(Demand_Data___Hourly_OverviewSearch_1_csv[[#This Row],[Date]],Supply_Data___Hourly_DriverActivity_1_csv__3[#All],2,FALSE)</f>
        <v>53</v>
      </c>
      <c r="J593">
        <f>VLOOKUP(Demand_Data___Hourly_OverviewSearch_1_csv[[#This Row],[Date]],Supply_Data___Hourly_DriverActivity_1_csv__3[#All],3,FALSE)</f>
        <v>18</v>
      </c>
      <c r="K593">
        <f>VLOOKUP(Demand_Data___Hourly_OverviewSearch_1_csv[[#This Row],[Date]],Supply_Data___Hourly_DriverActivity_1_csv__3[#All],4,FALSE)</f>
        <v>2</v>
      </c>
      <c r="L593">
        <f>VLOOKUP(Demand_Data___Hourly_OverviewSearch_1_csv[[#This Row],[Date]],Supply_Data___Hourly_DriverActivity_1_csv__3[#All],5,FALSE)</f>
        <v>16</v>
      </c>
      <c r="M593">
        <f>VLOOKUP(Demand_Data___Hourly_OverviewSearch_1_csv[[#This Row],[Date]],Supply_Data___Hourly_DriverActivity_1_csv__3[#All],6,FALSE)</f>
        <v>0.3</v>
      </c>
      <c r="N593">
        <f>VLOOKUP(Demand_Data___Hourly_OverviewSearch_1_csv[[#This Row],[Date]],Supply_Data___Hourly_DriverActivity_1_csv__3[#All],7,FALSE)</f>
        <v>0.44</v>
      </c>
      <c r="O593">
        <f>VLOOKUP(Demand_Data___Hourly_OverviewSearch_1_csv[[#This Row],[Date]],Supply_Data___Hourly_DriverActivity_1_csv__3[#All],8,FALSE)</f>
        <v>8</v>
      </c>
      <c r="P593">
        <f>(Demand_Data___Hourly_OverviewSearch_1_csv[[#This Row],[People saw 0 cars (unique)]]+Demand_Data___Hourly_OverviewSearch_1_csv[[#This Row],[People saw +1 cars (unique)]])</f>
        <v>40</v>
      </c>
      <c r="Q593" s="143">
        <f t="shared" si="39"/>
        <v>16</v>
      </c>
    </row>
    <row r="594" spans="1:17" x14ac:dyDescent="0.3">
      <c r="A594" t="s">
        <v>601</v>
      </c>
      <c r="B594" t="str">
        <f t="shared" si="36"/>
        <v xml:space="preserve"> 06</v>
      </c>
      <c r="C594">
        <f t="shared" si="37"/>
        <v>4</v>
      </c>
      <c r="D594" t="str">
        <f t="shared" si="38"/>
        <v xml:space="preserve">2016-11-24 </v>
      </c>
      <c r="E594" t="str">
        <f>TEXT(Demand_Data___Hourly_OverviewSearch_1_csv[[#This Row],[Day]],"dddd")</f>
        <v>Wednesday</v>
      </c>
      <c r="F594">
        <v>3</v>
      </c>
      <c r="G594">
        <v>8</v>
      </c>
      <c r="H594">
        <v>73</v>
      </c>
      <c r="I594">
        <f>VLOOKUP(Demand_Data___Hourly_OverviewSearch_1_csv[[#This Row],[Date]],Supply_Data___Hourly_DriverActivity_1_csv__3[#All],2,FALSE)</f>
        <v>37</v>
      </c>
      <c r="J594">
        <f>VLOOKUP(Demand_Data___Hourly_OverviewSearch_1_csv[[#This Row],[Date]],Supply_Data___Hourly_DriverActivity_1_csv__3[#All],3,FALSE)</f>
        <v>14</v>
      </c>
      <c r="K594">
        <f>VLOOKUP(Demand_Data___Hourly_OverviewSearch_1_csv[[#This Row],[Date]],Supply_Data___Hourly_DriverActivity_1_csv__3[#All],4,FALSE)</f>
        <v>0</v>
      </c>
      <c r="L594">
        <f>VLOOKUP(Demand_Data___Hourly_OverviewSearch_1_csv[[#This Row],[Date]],Supply_Data___Hourly_DriverActivity_1_csv__3[#All],5,FALSE)</f>
        <v>14</v>
      </c>
      <c r="M594">
        <f>VLOOKUP(Demand_Data___Hourly_OverviewSearch_1_csv[[#This Row],[Date]],Supply_Data___Hourly_DriverActivity_1_csv__3[#All],6,FALSE)</f>
        <v>0.4</v>
      </c>
      <c r="N594">
        <f>VLOOKUP(Demand_Data___Hourly_OverviewSearch_1_csv[[#This Row],[Date]],Supply_Data___Hourly_DriverActivity_1_csv__3[#All],7,FALSE)</f>
        <v>7.0000000000000007E-2</v>
      </c>
      <c r="O594">
        <f>VLOOKUP(Demand_Data___Hourly_OverviewSearch_1_csv[[#This Row],[Date]],Supply_Data___Hourly_DriverActivity_1_csv__3[#All],8,FALSE)</f>
        <v>1</v>
      </c>
      <c r="P594">
        <f>(Demand_Data___Hourly_OverviewSearch_1_csv[[#This Row],[People saw 0 cars (unique)]]+Demand_Data___Hourly_OverviewSearch_1_csv[[#This Row],[People saw +1 cars (unique)]])</f>
        <v>11</v>
      </c>
      <c r="Q594" s="143">
        <f t="shared" si="39"/>
        <v>14</v>
      </c>
    </row>
    <row r="595" spans="1:17" x14ac:dyDescent="0.3">
      <c r="A595" t="s">
        <v>602</v>
      </c>
      <c r="B595" t="str">
        <f t="shared" si="36"/>
        <v xml:space="preserve"> 05</v>
      </c>
      <c r="C595">
        <f t="shared" si="37"/>
        <v>4</v>
      </c>
      <c r="D595" t="str">
        <f t="shared" si="38"/>
        <v xml:space="preserve">2016-11-24 </v>
      </c>
      <c r="E595" t="str">
        <f>TEXT(Demand_Data___Hourly_OverviewSearch_1_csv[[#This Row],[Day]],"dddd")</f>
        <v>Wednesday</v>
      </c>
      <c r="F595">
        <v>1</v>
      </c>
      <c r="G595">
        <v>4</v>
      </c>
      <c r="H595">
        <v>80</v>
      </c>
      <c r="I595">
        <f>VLOOKUP(Demand_Data___Hourly_OverviewSearch_1_csv[[#This Row],[Date]],Supply_Data___Hourly_DriverActivity_1_csv__3[#All],2,FALSE)</f>
        <v>31</v>
      </c>
      <c r="J595">
        <f>VLOOKUP(Demand_Data___Hourly_OverviewSearch_1_csv[[#This Row],[Date]],Supply_Data___Hourly_DriverActivity_1_csv__3[#All],3,FALSE)</f>
        <v>16</v>
      </c>
      <c r="K595">
        <f>VLOOKUP(Demand_Data___Hourly_OverviewSearch_1_csv[[#This Row],[Date]],Supply_Data___Hourly_DriverActivity_1_csv__3[#All],4,FALSE)</f>
        <v>0</v>
      </c>
      <c r="L595">
        <f>VLOOKUP(Demand_Data___Hourly_OverviewSearch_1_csv[[#This Row],[Date]],Supply_Data___Hourly_DriverActivity_1_csv__3[#All],5,FALSE)</f>
        <v>16</v>
      </c>
      <c r="M595">
        <f>VLOOKUP(Demand_Data___Hourly_OverviewSearch_1_csv[[#This Row],[Date]],Supply_Data___Hourly_DriverActivity_1_csv__3[#All],6,FALSE)</f>
        <v>0.5</v>
      </c>
      <c r="N595">
        <f>VLOOKUP(Demand_Data___Hourly_OverviewSearch_1_csv[[#This Row],[Date]],Supply_Data___Hourly_DriverActivity_1_csv__3[#All],7,FALSE)</f>
        <v>0.06</v>
      </c>
      <c r="O595">
        <f>VLOOKUP(Demand_Data___Hourly_OverviewSearch_1_csv[[#This Row],[Date]],Supply_Data___Hourly_DriverActivity_1_csv__3[#All],8,FALSE)</f>
        <v>1</v>
      </c>
      <c r="P595">
        <f>(Demand_Data___Hourly_OverviewSearch_1_csv[[#This Row],[People saw 0 cars (unique)]]+Demand_Data___Hourly_OverviewSearch_1_csv[[#This Row],[People saw +1 cars (unique)]])</f>
        <v>5</v>
      </c>
      <c r="Q595" s="143">
        <f t="shared" si="39"/>
        <v>16</v>
      </c>
    </row>
    <row r="596" spans="1:17" x14ac:dyDescent="0.3">
      <c r="A596" t="s">
        <v>603</v>
      </c>
      <c r="B596" t="str">
        <f t="shared" si="36"/>
        <v xml:space="preserve"> 04</v>
      </c>
      <c r="C596">
        <f t="shared" si="37"/>
        <v>4</v>
      </c>
      <c r="D596" t="str">
        <f t="shared" si="38"/>
        <v xml:space="preserve">2016-11-24 </v>
      </c>
      <c r="E596" t="str">
        <f>TEXT(Demand_Data___Hourly_OverviewSearch_1_csv[[#This Row],[Day]],"dddd")</f>
        <v>Wednesday</v>
      </c>
      <c r="F596">
        <v>8</v>
      </c>
      <c r="G596">
        <v>4</v>
      </c>
      <c r="H596">
        <v>33</v>
      </c>
      <c r="I596">
        <f>VLOOKUP(Demand_Data___Hourly_OverviewSearch_1_csv[[#This Row],[Date]],Supply_Data___Hourly_DriverActivity_1_csv__3[#All],2,FALSE)</f>
        <v>25</v>
      </c>
      <c r="J596">
        <f>VLOOKUP(Demand_Data___Hourly_OverviewSearch_1_csv[[#This Row],[Date]],Supply_Data___Hourly_DriverActivity_1_csv__3[#All],3,FALSE)</f>
        <v>11</v>
      </c>
      <c r="K596">
        <f>VLOOKUP(Demand_Data___Hourly_OverviewSearch_1_csv[[#This Row],[Date]],Supply_Data___Hourly_DriverActivity_1_csv__3[#All],4,FALSE)</f>
        <v>0</v>
      </c>
      <c r="L596">
        <f>VLOOKUP(Demand_Data___Hourly_OverviewSearch_1_csv[[#This Row],[Date]],Supply_Data___Hourly_DriverActivity_1_csv__3[#All],5,FALSE)</f>
        <v>11</v>
      </c>
      <c r="M596">
        <f>VLOOKUP(Demand_Data___Hourly_OverviewSearch_1_csv[[#This Row],[Date]],Supply_Data___Hourly_DriverActivity_1_csv__3[#All],6,FALSE)</f>
        <v>0.4</v>
      </c>
      <c r="N596">
        <f>VLOOKUP(Demand_Data___Hourly_OverviewSearch_1_csv[[#This Row],[Date]],Supply_Data___Hourly_DriverActivity_1_csv__3[#All],7,FALSE)</f>
        <v>0</v>
      </c>
      <c r="O596">
        <f>VLOOKUP(Demand_Data___Hourly_OverviewSearch_1_csv[[#This Row],[Date]],Supply_Data___Hourly_DriverActivity_1_csv__3[#All],8,FALSE)</f>
        <v>0</v>
      </c>
      <c r="P596">
        <f>(Demand_Data___Hourly_OverviewSearch_1_csv[[#This Row],[People saw 0 cars (unique)]]+Demand_Data___Hourly_OverviewSearch_1_csv[[#This Row],[People saw +1 cars (unique)]])</f>
        <v>12</v>
      </c>
      <c r="Q596" s="143">
        <f t="shared" si="39"/>
        <v>11</v>
      </c>
    </row>
    <row r="597" spans="1:17" x14ac:dyDescent="0.3">
      <c r="A597" t="s">
        <v>604</v>
      </c>
      <c r="B597" t="str">
        <f t="shared" si="36"/>
        <v xml:space="preserve"> 03</v>
      </c>
      <c r="C597">
        <f t="shared" si="37"/>
        <v>4</v>
      </c>
      <c r="D597" t="str">
        <f t="shared" si="38"/>
        <v xml:space="preserve">2016-11-24 </v>
      </c>
      <c r="E597" t="str">
        <f>TEXT(Demand_Data___Hourly_OverviewSearch_1_csv[[#This Row],[Day]],"dddd")</f>
        <v>Wednesday</v>
      </c>
      <c r="F597">
        <v>11</v>
      </c>
      <c r="G597">
        <v>4</v>
      </c>
      <c r="H597">
        <v>27</v>
      </c>
      <c r="I597">
        <f>VLOOKUP(Demand_Data___Hourly_OverviewSearch_1_csv[[#This Row],[Date]],Supply_Data___Hourly_DriverActivity_1_csv__3[#All],2,FALSE)</f>
        <v>22</v>
      </c>
      <c r="J597">
        <f>VLOOKUP(Demand_Data___Hourly_OverviewSearch_1_csv[[#This Row],[Date]],Supply_Data___Hourly_DriverActivity_1_csv__3[#All],3,FALSE)</f>
        <v>8</v>
      </c>
      <c r="K597">
        <f>VLOOKUP(Demand_Data___Hourly_OverviewSearch_1_csv[[#This Row],[Date]],Supply_Data___Hourly_DriverActivity_1_csv__3[#All],4,FALSE)</f>
        <v>1</v>
      </c>
      <c r="L597">
        <f>VLOOKUP(Demand_Data___Hourly_OverviewSearch_1_csv[[#This Row],[Date]],Supply_Data___Hourly_DriverActivity_1_csv__3[#All],5,FALSE)</f>
        <v>7</v>
      </c>
      <c r="M597">
        <f>VLOOKUP(Demand_Data___Hourly_OverviewSearch_1_csv[[#This Row],[Date]],Supply_Data___Hourly_DriverActivity_1_csv__3[#All],6,FALSE)</f>
        <v>0.4</v>
      </c>
      <c r="N597">
        <f>VLOOKUP(Demand_Data___Hourly_OverviewSearch_1_csv[[#This Row],[Date]],Supply_Data___Hourly_DriverActivity_1_csv__3[#All],7,FALSE)</f>
        <v>0.13</v>
      </c>
      <c r="O597">
        <f>VLOOKUP(Demand_Data___Hourly_OverviewSearch_1_csv[[#This Row],[Date]],Supply_Data___Hourly_DriverActivity_1_csv__3[#All],8,FALSE)</f>
        <v>1</v>
      </c>
      <c r="P597">
        <f>(Demand_Data___Hourly_OverviewSearch_1_csv[[#This Row],[People saw 0 cars (unique)]]+Demand_Data___Hourly_OverviewSearch_1_csv[[#This Row],[People saw +1 cars (unique)]])</f>
        <v>15</v>
      </c>
      <c r="Q597" s="143">
        <f t="shared" si="39"/>
        <v>7</v>
      </c>
    </row>
    <row r="598" spans="1:17" x14ac:dyDescent="0.3">
      <c r="A598" t="s">
        <v>605</v>
      </c>
      <c r="B598" t="str">
        <f t="shared" si="36"/>
        <v xml:space="preserve"> 02</v>
      </c>
      <c r="C598">
        <f t="shared" si="37"/>
        <v>4</v>
      </c>
      <c r="D598" t="str">
        <f t="shared" si="38"/>
        <v xml:space="preserve">2016-11-24 </v>
      </c>
      <c r="E598" t="str">
        <f>TEXT(Demand_Data___Hourly_OverviewSearch_1_csv[[#This Row],[Day]],"dddd")</f>
        <v>Wednesday</v>
      </c>
      <c r="F598">
        <v>5</v>
      </c>
      <c r="G598">
        <v>11</v>
      </c>
      <c r="H598">
        <v>69</v>
      </c>
      <c r="I598">
        <f>VLOOKUP(Demand_Data___Hourly_OverviewSearch_1_csv[[#This Row],[Date]],Supply_Data___Hourly_DriverActivity_1_csv__3[#All],2,FALSE)</f>
        <v>34</v>
      </c>
      <c r="J598">
        <f>VLOOKUP(Demand_Data___Hourly_OverviewSearch_1_csv[[#This Row],[Date]],Supply_Data___Hourly_DriverActivity_1_csv__3[#All],3,FALSE)</f>
        <v>13</v>
      </c>
      <c r="K598">
        <f>VLOOKUP(Demand_Data___Hourly_OverviewSearch_1_csv[[#This Row],[Date]],Supply_Data___Hourly_DriverActivity_1_csv__3[#All],4,FALSE)</f>
        <v>0</v>
      </c>
      <c r="L598">
        <f>VLOOKUP(Demand_Data___Hourly_OverviewSearch_1_csv[[#This Row],[Date]],Supply_Data___Hourly_DriverActivity_1_csv__3[#All],5,FALSE)</f>
        <v>12</v>
      </c>
      <c r="M598">
        <f>VLOOKUP(Demand_Data___Hourly_OverviewSearch_1_csv[[#This Row],[Date]],Supply_Data___Hourly_DriverActivity_1_csv__3[#All],6,FALSE)</f>
        <v>0.4</v>
      </c>
      <c r="N598">
        <f>VLOOKUP(Demand_Data___Hourly_OverviewSearch_1_csv[[#This Row],[Date]],Supply_Data___Hourly_DriverActivity_1_csv__3[#All],7,FALSE)</f>
        <v>0.08</v>
      </c>
      <c r="O598">
        <f>VLOOKUP(Demand_Data___Hourly_OverviewSearch_1_csv[[#This Row],[Date]],Supply_Data___Hourly_DriverActivity_1_csv__3[#All],8,FALSE)</f>
        <v>1</v>
      </c>
      <c r="P598">
        <f>(Demand_Data___Hourly_OverviewSearch_1_csv[[#This Row],[People saw 0 cars (unique)]]+Demand_Data___Hourly_OverviewSearch_1_csv[[#This Row],[People saw +1 cars (unique)]])</f>
        <v>16</v>
      </c>
      <c r="Q598" s="143">
        <f t="shared" si="39"/>
        <v>13</v>
      </c>
    </row>
    <row r="599" spans="1:17" x14ac:dyDescent="0.3">
      <c r="A599" t="s">
        <v>606</v>
      </c>
      <c r="B599" t="str">
        <f t="shared" si="36"/>
        <v xml:space="preserve"> 01</v>
      </c>
      <c r="C599">
        <f t="shared" si="37"/>
        <v>4</v>
      </c>
      <c r="D599" t="str">
        <f t="shared" si="38"/>
        <v xml:space="preserve">2016-11-24 </v>
      </c>
      <c r="E599" t="str">
        <f>TEXT(Demand_Data___Hourly_OverviewSearch_1_csv[[#This Row],[Day]],"dddd")</f>
        <v>Wednesday</v>
      </c>
      <c r="F599">
        <v>3</v>
      </c>
      <c r="G599">
        <v>25</v>
      </c>
      <c r="H599">
        <v>89</v>
      </c>
      <c r="I599">
        <f>VLOOKUP(Demand_Data___Hourly_OverviewSearch_1_csv[[#This Row],[Date]],Supply_Data___Hourly_DriverActivity_1_csv__3[#All],2,FALSE)</f>
        <v>53</v>
      </c>
      <c r="J599">
        <f>VLOOKUP(Demand_Data___Hourly_OverviewSearch_1_csv[[#This Row],[Date]],Supply_Data___Hourly_DriverActivity_1_csv__3[#All],3,FALSE)</f>
        <v>22</v>
      </c>
      <c r="K599">
        <f>VLOOKUP(Demand_Data___Hourly_OverviewSearch_1_csv[[#This Row],[Date]],Supply_Data___Hourly_DriverActivity_1_csv__3[#All],4,FALSE)</f>
        <v>2</v>
      </c>
      <c r="L599">
        <f>VLOOKUP(Demand_Data___Hourly_OverviewSearch_1_csv[[#This Row],[Date]],Supply_Data___Hourly_DriverActivity_1_csv__3[#All],5,FALSE)</f>
        <v>20</v>
      </c>
      <c r="M599">
        <f>VLOOKUP(Demand_Data___Hourly_OverviewSearch_1_csv[[#This Row],[Date]],Supply_Data___Hourly_DriverActivity_1_csv__3[#All],6,FALSE)</f>
        <v>0.4</v>
      </c>
      <c r="N599">
        <f>VLOOKUP(Demand_Data___Hourly_OverviewSearch_1_csv[[#This Row],[Date]],Supply_Data___Hourly_DriverActivity_1_csv__3[#All],7,FALSE)</f>
        <v>0.23</v>
      </c>
      <c r="O599">
        <f>VLOOKUP(Demand_Data___Hourly_OverviewSearch_1_csv[[#This Row],[Date]],Supply_Data___Hourly_DriverActivity_1_csv__3[#All],8,FALSE)</f>
        <v>5</v>
      </c>
      <c r="P599">
        <f>(Demand_Data___Hourly_OverviewSearch_1_csv[[#This Row],[People saw 0 cars (unique)]]+Demand_Data___Hourly_OverviewSearch_1_csv[[#This Row],[People saw +1 cars (unique)]])</f>
        <v>28</v>
      </c>
      <c r="Q599" s="143">
        <f t="shared" si="39"/>
        <v>20</v>
      </c>
    </row>
    <row r="600" spans="1:17" x14ac:dyDescent="0.3">
      <c r="A600" t="s">
        <v>607</v>
      </c>
      <c r="B600" t="str">
        <f t="shared" si="36"/>
        <v xml:space="preserve"> 00</v>
      </c>
      <c r="C600">
        <f t="shared" si="37"/>
        <v>4</v>
      </c>
      <c r="D600" t="str">
        <f t="shared" si="38"/>
        <v xml:space="preserve">2016-11-24 </v>
      </c>
      <c r="E600" t="str">
        <f>TEXT(Demand_Data___Hourly_OverviewSearch_1_csv[[#This Row],[Day]],"dddd")</f>
        <v>Wednesday</v>
      </c>
      <c r="F600">
        <v>4</v>
      </c>
      <c r="G600">
        <v>53</v>
      </c>
      <c r="H600">
        <v>93</v>
      </c>
      <c r="I600">
        <f>VLOOKUP(Demand_Data___Hourly_OverviewSearch_1_csv[[#This Row],[Date]],Supply_Data___Hourly_DriverActivity_1_csv__3[#All],2,FALSE)</f>
        <v>70</v>
      </c>
      <c r="J600">
        <f>VLOOKUP(Demand_Data___Hourly_OverviewSearch_1_csv[[#This Row],[Date]],Supply_Data___Hourly_DriverActivity_1_csv__3[#All],3,FALSE)</f>
        <v>27</v>
      </c>
      <c r="K600">
        <f>VLOOKUP(Demand_Data___Hourly_OverviewSearch_1_csv[[#This Row],[Date]],Supply_Data___Hourly_DriverActivity_1_csv__3[#All],4,FALSE)</f>
        <v>8</v>
      </c>
      <c r="L600">
        <f>VLOOKUP(Demand_Data___Hourly_OverviewSearch_1_csv[[#This Row],[Date]],Supply_Data___Hourly_DriverActivity_1_csv__3[#All],5,FALSE)</f>
        <v>19</v>
      </c>
      <c r="M600">
        <f>VLOOKUP(Demand_Data___Hourly_OverviewSearch_1_csv[[#This Row],[Date]],Supply_Data___Hourly_DriverActivity_1_csv__3[#All],6,FALSE)</f>
        <v>0.4</v>
      </c>
      <c r="N600">
        <f>VLOOKUP(Demand_Data___Hourly_OverviewSearch_1_csv[[#This Row],[Date]],Supply_Data___Hourly_DriverActivity_1_csv__3[#All],7,FALSE)</f>
        <v>0.63</v>
      </c>
      <c r="O600">
        <f>VLOOKUP(Demand_Data___Hourly_OverviewSearch_1_csv[[#This Row],[Date]],Supply_Data___Hourly_DriverActivity_1_csv__3[#All],8,FALSE)</f>
        <v>17</v>
      </c>
      <c r="P600">
        <f>(Demand_Data___Hourly_OverviewSearch_1_csv[[#This Row],[People saw 0 cars (unique)]]+Demand_Data___Hourly_OverviewSearch_1_csv[[#This Row],[People saw +1 cars (unique)]])</f>
        <v>57</v>
      </c>
      <c r="Q600" s="143">
        <f t="shared" si="39"/>
        <v>19</v>
      </c>
    </row>
    <row r="601" spans="1:17" x14ac:dyDescent="0.3">
      <c r="A601" t="s">
        <v>608</v>
      </c>
      <c r="B601" t="str">
        <f t="shared" si="36"/>
        <v xml:space="preserve"> 23</v>
      </c>
      <c r="C601">
        <f t="shared" si="37"/>
        <v>3</v>
      </c>
      <c r="D601" t="str">
        <f t="shared" si="38"/>
        <v xml:space="preserve">2016-11-23 </v>
      </c>
      <c r="E601" t="str">
        <f>TEXT(Demand_Data___Hourly_OverviewSearch_1_csv[[#This Row],[Day]],"dddd")</f>
        <v>Tuesday</v>
      </c>
      <c r="F601">
        <v>1</v>
      </c>
      <c r="G601">
        <v>72</v>
      </c>
      <c r="H601">
        <v>99</v>
      </c>
      <c r="I601">
        <f>VLOOKUP(Demand_Data___Hourly_OverviewSearch_1_csv[[#This Row],[Date]],Supply_Data___Hourly_DriverActivity_1_csv__3[#All],2,FALSE)</f>
        <v>75</v>
      </c>
      <c r="J601">
        <f>VLOOKUP(Demand_Data___Hourly_OverviewSearch_1_csv[[#This Row],[Date]],Supply_Data___Hourly_DriverActivity_1_csv__3[#All],3,FALSE)</f>
        <v>37</v>
      </c>
      <c r="K601">
        <f>VLOOKUP(Demand_Data___Hourly_OverviewSearch_1_csv[[#This Row],[Date]],Supply_Data___Hourly_DriverActivity_1_csv__3[#All],4,FALSE)</f>
        <v>12</v>
      </c>
      <c r="L601">
        <f>VLOOKUP(Demand_Data___Hourly_OverviewSearch_1_csv[[#This Row],[Date]],Supply_Data___Hourly_DriverActivity_1_csv__3[#All],5,FALSE)</f>
        <v>24</v>
      </c>
      <c r="M601">
        <f>VLOOKUP(Demand_Data___Hourly_OverviewSearch_1_csv[[#This Row],[Date]],Supply_Data___Hourly_DriverActivity_1_csv__3[#All],6,FALSE)</f>
        <v>0.5</v>
      </c>
      <c r="N601">
        <f>VLOOKUP(Demand_Data___Hourly_OverviewSearch_1_csv[[#This Row],[Date]],Supply_Data___Hourly_DriverActivity_1_csv__3[#All],7,FALSE)</f>
        <v>1</v>
      </c>
      <c r="O601">
        <f>VLOOKUP(Demand_Data___Hourly_OverviewSearch_1_csv[[#This Row],[Date]],Supply_Data___Hourly_DriverActivity_1_csv__3[#All],8,FALSE)</f>
        <v>37</v>
      </c>
      <c r="P601">
        <f>(Demand_Data___Hourly_OverviewSearch_1_csv[[#This Row],[People saw 0 cars (unique)]]+Demand_Data___Hourly_OverviewSearch_1_csv[[#This Row],[People saw +1 cars (unique)]])</f>
        <v>73</v>
      </c>
      <c r="Q601" s="143">
        <f t="shared" si="39"/>
        <v>25</v>
      </c>
    </row>
    <row r="602" spans="1:17" x14ac:dyDescent="0.3">
      <c r="A602" t="s">
        <v>609</v>
      </c>
      <c r="B602" t="str">
        <f t="shared" si="36"/>
        <v xml:space="preserve"> 22</v>
      </c>
      <c r="C602">
        <f t="shared" si="37"/>
        <v>3</v>
      </c>
      <c r="D602" t="str">
        <f t="shared" si="38"/>
        <v xml:space="preserve">2016-11-23 </v>
      </c>
      <c r="E602" t="str">
        <f>TEXT(Demand_Data___Hourly_OverviewSearch_1_csv[[#This Row],[Day]],"dddd")</f>
        <v>Tuesday</v>
      </c>
      <c r="F602">
        <v>0</v>
      </c>
      <c r="G602">
        <v>61</v>
      </c>
      <c r="H602">
        <v>100</v>
      </c>
      <c r="I602">
        <f>VLOOKUP(Demand_Data___Hourly_OverviewSearch_1_csv[[#This Row],[Date]],Supply_Data___Hourly_DriverActivity_1_csv__3[#All],2,FALSE)</f>
        <v>87</v>
      </c>
      <c r="J602">
        <f>VLOOKUP(Demand_Data___Hourly_OverviewSearch_1_csv[[#This Row],[Date]],Supply_Data___Hourly_DriverActivity_1_csv__3[#All],3,FALSE)</f>
        <v>40</v>
      </c>
      <c r="K602">
        <f>VLOOKUP(Demand_Data___Hourly_OverviewSearch_1_csv[[#This Row],[Date]],Supply_Data___Hourly_DriverActivity_1_csv__3[#All],4,FALSE)</f>
        <v>7</v>
      </c>
      <c r="L602">
        <f>VLOOKUP(Demand_Data___Hourly_OverviewSearch_1_csv[[#This Row],[Date]],Supply_Data___Hourly_DriverActivity_1_csv__3[#All],5,FALSE)</f>
        <v>32</v>
      </c>
      <c r="M602">
        <f>VLOOKUP(Demand_Data___Hourly_OverviewSearch_1_csv[[#This Row],[Date]],Supply_Data___Hourly_DriverActivity_1_csv__3[#All],6,FALSE)</f>
        <v>0.5</v>
      </c>
      <c r="N602">
        <f>VLOOKUP(Demand_Data___Hourly_OverviewSearch_1_csv[[#This Row],[Date]],Supply_Data___Hourly_DriverActivity_1_csv__3[#All],7,FALSE)</f>
        <v>0.68</v>
      </c>
      <c r="O602">
        <f>VLOOKUP(Demand_Data___Hourly_OverviewSearch_1_csv[[#This Row],[Date]],Supply_Data___Hourly_DriverActivity_1_csv__3[#All],8,FALSE)</f>
        <v>27</v>
      </c>
      <c r="P602">
        <f>(Demand_Data___Hourly_OverviewSearch_1_csv[[#This Row],[People saw 0 cars (unique)]]+Demand_Data___Hourly_OverviewSearch_1_csv[[#This Row],[People saw +1 cars (unique)]])</f>
        <v>61</v>
      </c>
      <c r="Q602" s="143">
        <f t="shared" si="39"/>
        <v>33</v>
      </c>
    </row>
    <row r="603" spans="1:17" x14ac:dyDescent="0.3">
      <c r="A603" t="s">
        <v>610</v>
      </c>
      <c r="B603" t="str">
        <f t="shared" si="36"/>
        <v xml:space="preserve"> 21</v>
      </c>
      <c r="C603">
        <f t="shared" si="37"/>
        <v>3</v>
      </c>
      <c r="D603" t="str">
        <f t="shared" si="38"/>
        <v xml:space="preserve">2016-11-23 </v>
      </c>
      <c r="E603" t="str">
        <f>TEXT(Demand_Data___Hourly_OverviewSearch_1_csv[[#This Row],[Day]],"dddd")</f>
        <v>Tuesday</v>
      </c>
      <c r="F603">
        <v>3</v>
      </c>
      <c r="G603">
        <v>56</v>
      </c>
      <c r="H603">
        <v>95</v>
      </c>
      <c r="I603">
        <f>VLOOKUP(Demand_Data___Hourly_OverviewSearch_1_csv[[#This Row],[Date]],Supply_Data___Hourly_DriverActivity_1_csv__3[#All],2,FALSE)</f>
        <v>110</v>
      </c>
      <c r="J603">
        <f>VLOOKUP(Demand_Data___Hourly_OverviewSearch_1_csv[[#This Row],[Date]],Supply_Data___Hourly_DriverActivity_1_csv__3[#All],3,FALSE)</f>
        <v>44</v>
      </c>
      <c r="K603">
        <f>VLOOKUP(Demand_Data___Hourly_OverviewSearch_1_csv[[#This Row],[Date]],Supply_Data___Hourly_DriverActivity_1_csv__3[#All],4,FALSE)</f>
        <v>6</v>
      </c>
      <c r="L603">
        <f>VLOOKUP(Demand_Data___Hourly_OverviewSearch_1_csv[[#This Row],[Date]],Supply_Data___Hourly_DriverActivity_1_csv__3[#All],5,FALSE)</f>
        <v>38</v>
      </c>
      <c r="M603">
        <f>VLOOKUP(Demand_Data___Hourly_OverviewSearch_1_csv[[#This Row],[Date]],Supply_Data___Hourly_DriverActivity_1_csv__3[#All],6,FALSE)</f>
        <v>0.4</v>
      </c>
      <c r="N603">
        <f>VLOOKUP(Demand_Data___Hourly_OverviewSearch_1_csv[[#This Row],[Date]],Supply_Data___Hourly_DriverActivity_1_csv__3[#All],7,FALSE)</f>
        <v>0.41</v>
      </c>
      <c r="O603">
        <f>VLOOKUP(Demand_Data___Hourly_OverviewSearch_1_csv[[#This Row],[Date]],Supply_Data___Hourly_DriverActivity_1_csv__3[#All],8,FALSE)</f>
        <v>18</v>
      </c>
      <c r="P603">
        <f>(Demand_Data___Hourly_OverviewSearch_1_csv[[#This Row],[People saw 0 cars (unique)]]+Demand_Data___Hourly_OverviewSearch_1_csv[[#This Row],[People saw +1 cars (unique)]])</f>
        <v>59</v>
      </c>
      <c r="Q603" s="143">
        <f t="shared" si="39"/>
        <v>38</v>
      </c>
    </row>
    <row r="604" spans="1:17" x14ac:dyDescent="0.3">
      <c r="A604" t="s">
        <v>611</v>
      </c>
      <c r="B604" t="str">
        <f t="shared" si="36"/>
        <v xml:space="preserve"> 20</v>
      </c>
      <c r="C604">
        <f t="shared" si="37"/>
        <v>3</v>
      </c>
      <c r="D604" t="str">
        <f t="shared" si="38"/>
        <v xml:space="preserve">2016-11-23 </v>
      </c>
      <c r="E604" t="str">
        <f>TEXT(Demand_Data___Hourly_OverviewSearch_1_csv[[#This Row],[Day]],"dddd")</f>
        <v>Tuesday</v>
      </c>
      <c r="F604">
        <v>1</v>
      </c>
      <c r="G604">
        <v>54</v>
      </c>
      <c r="H604">
        <v>98</v>
      </c>
      <c r="I604">
        <f>VLOOKUP(Demand_Data___Hourly_OverviewSearch_1_csv[[#This Row],[Date]],Supply_Data___Hourly_DriverActivity_1_csv__3[#All],2,FALSE)</f>
        <v>115</v>
      </c>
      <c r="J604">
        <f>VLOOKUP(Demand_Data___Hourly_OverviewSearch_1_csv[[#This Row],[Date]],Supply_Data___Hourly_DriverActivity_1_csv__3[#All],3,FALSE)</f>
        <v>53</v>
      </c>
      <c r="K604">
        <f>VLOOKUP(Demand_Data___Hourly_OverviewSearch_1_csv[[#This Row],[Date]],Supply_Data___Hourly_DriverActivity_1_csv__3[#All],4,FALSE)</f>
        <v>8</v>
      </c>
      <c r="L604">
        <f>VLOOKUP(Demand_Data___Hourly_OverviewSearch_1_csv[[#This Row],[Date]],Supply_Data___Hourly_DriverActivity_1_csv__3[#All],5,FALSE)</f>
        <v>45</v>
      </c>
      <c r="M604">
        <f>VLOOKUP(Demand_Data___Hourly_OverviewSearch_1_csv[[#This Row],[Date]],Supply_Data___Hourly_DriverActivity_1_csv__3[#All],6,FALSE)</f>
        <v>0.5</v>
      </c>
      <c r="N604">
        <f>VLOOKUP(Demand_Data___Hourly_OverviewSearch_1_csv[[#This Row],[Date]],Supply_Data___Hourly_DriverActivity_1_csv__3[#All],7,FALSE)</f>
        <v>0.32</v>
      </c>
      <c r="O604">
        <f>VLOOKUP(Demand_Data___Hourly_OverviewSearch_1_csv[[#This Row],[Date]],Supply_Data___Hourly_DriverActivity_1_csv__3[#All],8,FALSE)</f>
        <v>17</v>
      </c>
      <c r="P604">
        <f>(Demand_Data___Hourly_OverviewSearch_1_csv[[#This Row],[People saw 0 cars (unique)]]+Demand_Data___Hourly_OverviewSearch_1_csv[[#This Row],[People saw +1 cars (unique)]])</f>
        <v>55</v>
      </c>
      <c r="Q604" s="143">
        <f t="shared" si="39"/>
        <v>45</v>
      </c>
    </row>
    <row r="605" spans="1:17" x14ac:dyDescent="0.3">
      <c r="A605" t="s">
        <v>612</v>
      </c>
      <c r="B605" t="str">
        <f t="shared" si="36"/>
        <v xml:space="preserve"> 19</v>
      </c>
      <c r="C605">
        <f t="shared" si="37"/>
        <v>3</v>
      </c>
      <c r="D605" t="str">
        <f t="shared" si="38"/>
        <v xml:space="preserve">2016-11-23 </v>
      </c>
      <c r="E605" t="str">
        <f>TEXT(Demand_Data___Hourly_OverviewSearch_1_csv[[#This Row],[Day]],"dddd")</f>
        <v>Tuesday</v>
      </c>
      <c r="F605">
        <v>6</v>
      </c>
      <c r="G605">
        <v>71</v>
      </c>
      <c r="H605">
        <v>92</v>
      </c>
      <c r="I605">
        <f>VLOOKUP(Demand_Data___Hourly_OverviewSearch_1_csv[[#This Row],[Date]],Supply_Data___Hourly_DriverActivity_1_csv__3[#All],2,FALSE)</f>
        <v>115</v>
      </c>
      <c r="J605">
        <f>VLOOKUP(Demand_Data___Hourly_OverviewSearch_1_csv[[#This Row],[Date]],Supply_Data___Hourly_DriverActivity_1_csv__3[#All],3,FALSE)</f>
        <v>49</v>
      </c>
      <c r="K605">
        <f>VLOOKUP(Demand_Data___Hourly_OverviewSearch_1_csv[[#This Row],[Date]],Supply_Data___Hourly_DriverActivity_1_csv__3[#All],4,FALSE)</f>
        <v>18</v>
      </c>
      <c r="L605">
        <f>VLOOKUP(Demand_Data___Hourly_OverviewSearch_1_csv[[#This Row],[Date]],Supply_Data___Hourly_DriverActivity_1_csv__3[#All],5,FALSE)</f>
        <v>32</v>
      </c>
      <c r="M605">
        <f>VLOOKUP(Demand_Data___Hourly_OverviewSearch_1_csv[[#This Row],[Date]],Supply_Data___Hourly_DriverActivity_1_csv__3[#All],6,FALSE)</f>
        <v>0.4</v>
      </c>
      <c r="N605">
        <f>VLOOKUP(Demand_Data___Hourly_OverviewSearch_1_csv[[#This Row],[Date]],Supply_Data___Hourly_DriverActivity_1_csv__3[#All],7,FALSE)</f>
        <v>0.61</v>
      </c>
      <c r="O605">
        <f>VLOOKUP(Demand_Data___Hourly_OverviewSearch_1_csv[[#This Row],[Date]],Supply_Data___Hourly_DriverActivity_1_csv__3[#All],8,FALSE)</f>
        <v>30</v>
      </c>
      <c r="P605">
        <f>(Demand_Data___Hourly_OverviewSearch_1_csv[[#This Row],[People saw 0 cars (unique)]]+Demand_Data___Hourly_OverviewSearch_1_csv[[#This Row],[People saw +1 cars (unique)]])</f>
        <v>77</v>
      </c>
      <c r="Q605" s="143">
        <f t="shared" si="39"/>
        <v>31</v>
      </c>
    </row>
    <row r="606" spans="1:17" x14ac:dyDescent="0.3">
      <c r="A606" t="s">
        <v>613</v>
      </c>
      <c r="B606" t="str">
        <f t="shared" si="36"/>
        <v xml:space="preserve"> 18</v>
      </c>
      <c r="C606">
        <f t="shared" si="37"/>
        <v>3</v>
      </c>
      <c r="D606" t="str">
        <f t="shared" si="38"/>
        <v xml:space="preserve">2016-11-23 </v>
      </c>
      <c r="E606" t="str">
        <f>TEXT(Demand_Data___Hourly_OverviewSearch_1_csv[[#This Row],[Day]],"dddd")</f>
        <v>Tuesday</v>
      </c>
      <c r="F606">
        <v>24</v>
      </c>
      <c r="G606">
        <v>116</v>
      </c>
      <c r="H606">
        <v>83</v>
      </c>
      <c r="I606">
        <f>VLOOKUP(Demand_Data___Hourly_OverviewSearch_1_csv[[#This Row],[Date]],Supply_Data___Hourly_DriverActivity_1_csv__3[#All],2,FALSE)</f>
        <v>102</v>
      </c>
      <c r="J606">
        <f>VLOOKUP(Demand_Data___Hourly_OverviewSearch_1_csv[[#This Row],[Date]],Supply_Data___Hourly_DriverActivity_1_csv__3[#All],3,FALSE)</f>
        <v>40</v>
      </c>
      <c r="K606">
        <f>VLOOKUP(Demand_Data___Hourly_OverviewSearch_1_csv[[#This Row],[Date]],Supply_Data___Hourly_DriverActivity_1_csv__3[#All],4,FALSE)</f>
        <v>23</v>
      </c>
      <c r="L606">
        <f>VLOOKUP(Demand_Data___Hourly_OverviewSearch_1_csv[[#This Row],[Date]],Supply_Data___Hourly_DriverActivity_1_csv__3[#All],5,FALSE)</f>
        <v>17</v>
      </c>
      <c r="M606">
        <f>VLOOKUP(Demand_Data___Hourly_OverviewSearch_1_csv[[#This Row],[Date]],Supply_Data___Hourly_DriverActivity_1_csv__3[#All],6,FALSE)</f>
        <v>0.4</v>
      </c>
      <c r="N606">
        <f>VLOOKUP(Demand_Data___Hourly_OverviewSearch_1_csv[[#This Row],[Date]],Supply_Data___Hourly_DriverActivity_1_csv__3[#All],7,FALSE)</f>
        <v>1.07</v>
      </c>
      <c r="O606">
        <f>VLOOKUP(Demand_Data___Hourly_OverviewSearch_1_csv[[#This Row],[Date]],Supply_Data___Hourly_DriverActivity_1_csv__3[#All],8,FALSE)</f>
        <v>43</v>
      </c>
      <c r="P606">
        <f>(Demand_Data___Hourly_OverviewSearch_1_csv[[#This Row],[People saw 0 cars (unique)]]+Demand_Data___Hourly_OverviewSearch_1_csv[[#This Row],[People saw +1 cars (unique)]])</f>
        <v>140</v>
      </c>
      <c r="Q606" s="143">
        <f t="shared" si="39"/>
        <v>17</v>
      </c>
    </row>
    <row r="607" spans="1:17" x14ac:dyDescent="0.3">
      <c r="A607" t="s">
        <v>614</v>
      </c>
      <c r="B607" t="str">
        <f t="shared" si="36"/>
        <v xml:space="preserve"> 17</v>
      </c>
      <c r="C607">
        <f t="shared" si="37"/>
        <v>3</v>
      </c>
      <c r="D607" t="str">
        <f t="shared" si="38"/>
        <v xml:space="preserve">2016-11-23 </v>
      </c>
      <c r="E607" t="str">
        <f>TEXT(Demand_Data___Hourly_OverviewSearch_1_csv[[#This Row],[Day]],"dddd")</f>
        <v>Tuesday</v>
      </c>
      <c r="F607">
        <v>8</v>
      </c>
      <c r="G607">
        <v>158</v>
      </c>
      <c r="H607">
        <v>95</v>
      </c>
      <c r="I607">
        <f>VLOOKUP(Demand_Data___Hourly_OverviewSearch_1_csv[[#This Row],[Date]],Supply_Data___Hourly_DriverActivity_1_csv__3[#All],2,FALSE)</f>
        <v>102</v>
      </c>
      <c r="J607">
        <f>VLOOKUP(Demand_Data___Hourly_OverviewSearch_1_csv[[#This Row],[Date]],Supply_Data___Hourly_DriverActivity_1_csv__3[#All],3,FALSE)</f>
        <v>45</v>
      </c>
      <c r="K607">
        <f>VLOOKUP(Demand_Data___Hourly_OverviewSearch_1_csv[[#This Row],[Date]],Supply_Data___Hourly_DriverActivity_1_csv__3[#All],4,FALSE)</f>
        <v>8</v>
      </c>
      <c r="L607">
        <f>VLOOKUP(Demand_Data___Hourly_OverviewSearch_1_csv[[#This Row],[Date]],Supply_Data___Hourly_DriverActivity_1_csv__3[#All],5,FALSE)</f>
        <v>37</v>
      </c>
      <c r="M607">
        <f>VLOOKUP(Demand_Data___Hourly_OverviewSearch_1_csv[[#This Row],[Date]],Supply_Data___Hourly_DriverActivity_1_csv__3[#All],6,FALSE)</f>
        <v>0.4</v>
      </c>
      <c r="N607">
        <f>VLOOKUP(Demand_Data___Hourly_OverviewSearch_1_csv[[#This Row],[Date]],Supply_Data___Hourly_DriverActivity_1_csv__3[#All],7,FALSE)</f>
        <v>0.53</v>
      </c>
      <c r="O607">
        <f>VLOOKUP(Demand_Data___Hourly_OverviewSearch_1_csv[[#This Row],[Date]],Supply_Data___Hourly_DriverActivity_1_csv__3[#All],8,FALSE)</f>
        <v>24</v>
      </c>
      <c r="P607">
        <f>(Demand_Data___Hourly_OverviewSearch_1_csv[[#This Row],[People saw 0 cars (unique)]]+Demand_Data___Hourly_OverviewSearch_1_csv[[#This Row],[People saw +1 cars (unique)]])</f>
        <v>166</v>
      </c>
      <c r="Q607" s="143">
        <f t="shared" si="39"/>
        <v>37</v>
      </c>
    </row>
    <row r="608" spans="1:17" x14ac:dyDescent="0.3">
      <c r="A608" t="s">
        <v>615</v>
      </c>
      <c r="B608" t="str">
        <f t="shared" si="36"/>
        <v xml:space="preserve"> 16</v>
      </c>
      <c r="C608">
        <f t="shared" si="37"/>
        <v>3</v>
      </c>
      <c r="D608" t="str">
        <f t="shared" si="38"/>
        <v xml:space="preserve">2016-11-23 </v>
      </c>
      <c r="E608" t="str">
        <f>TEXT(Demand_Data___Hourly_OverviewSearch_1_csv[[#This Row],[Day]],"dddd")</f>
        <v>Tuesday</v>
      </c>
      <c r="F608">
        <v>1</v>
      </c>
      <c r="G608">
        <v>25</v>
      </c>
      <c r="H608">
        <v>96</v>
      </c>
      <c r="I608">
        <f>VLOOKUP(Demand_Data___Hourly_OverviewSearch_1_csv[[#This Row],[Date]],Supply_Data___Hourly_DriverActivity_1_csv__3[#All],2,FALSE)</f>
        <v>89</v>
      </c>
      <c r="J608">
        <f>VLOOKUP(Demand_Data___Hourly_OverviewSearch_1_csv[[#This Row],[Date]],Supply_Data___Hourly_DriverActivity_1_csv__3[#All],3,FALSE)</f>
        <v>32</v>
      </c>
      <c r="K608">
        <f>VLOOKUP(Demand_Data___Hourly_OverviewSearch_1_csv[[#This Row],[Date]],Supply_Data___Hourly_DriverActivity_1_csv__3[#All],4,FALSE)</f>
        <v>3</v>
      </c>
      <c r="L608">
        <f>VLOOKUP(Demand_Data___Hourly_OverviewSearch_1_csv[[#This Row],[Date]],Supply_Data___Hourly_DriverActivity_1_csv__3[#All],5,FALSE)</f>
        <v>29</v>
      </c>
      <c r="M608">
        <f>VLOOKUP(Demand_Data___Hourly_OverviewSearch_1_csv[[#This Row],[Date]],Supply_Data___Hourly_DriverActivity_1_csv__3[#All],6,FALSE)</f>
        <v>0.4</v>
      </c>
      <c r="N608">
        <f>VLOOKUP(Demand_Data___Hourly_OverviewSearch_1_csv[[#This Row],[Date]],Supply_Data___Hourly_DriverActivity_1_csv__3[#All],7,FALSE)</f>
        <v>0.19</v>
      </c>
      <c r="O608">
        <f>VLOOKUP(Demand_Data___Hourly_OverviewSearch_1_csv[[#This Row],[Date]],Supply_Data___Hourly_DriverActivity_1_csv__3[#All],8,FALSE)</f>
        <v>6</v>
      </c>
      <c r="P608">
        <f>(Demand_Data___Hourly_OverviewSearch_1_csv[[#This Row],[People saw 0 cars (unique)]]+Demand_Data___Hourly_OverviewSearch_1_csv[[#This Row],[People saw +1 cars (unique)]])</f>
        <v>26</v>
      </c>
      <c r="Q608" s="143">
        <f t="shared" si="39"/>
        <v>29</v>
      </c>
    </row>
    <row r="609" spans="1:17" x14ac:dyDescent="0.3">
      <c r="A609" t="s">
        <v>616</v>
      </c>
      <c r="B609" t="str">
        <f t="shared" si="36"/>
        <v xml:space="preserve"> 15</v>
      </c>
      <c r="C609">
        <f t="shared" si="37"/>
        <v>3</v>
      </c>
      <c r="D609" t="str">
        <f t="shared" si="38"/>
        <v xml:space="preserve">2016-11-23 </v>
      </c>
      <c r="E609" t="str">
        <f>TEXT(Demand_Data___Hourly_OverviewSearch_1_csv[[#This Row],[Day]],"dddd")</f>
        <v>Tuesday</v>
      </c>
      <c r="F609">
        <v>1</v>
      </c>
      <c r="G609">
        <v>27</v>
      </c>
      <c r="H609">
        <v>96</v>
      </c>
      <c r="I609">
        <f>VLOOKUP(Demand_Data___Hourly_OverviewSearch_1_csv[[#This Row],[Date]],Supply_Data___Hourly_DriverActivity_1_csv__3[#All],2,FALSE)</f>
        <v>76</v>
      </c>
      <c r="J609">
        <f>VLOOKUP(Demand_Data___Hourly_OverviewSearch_1_csv[[#This Row],[Date]],Supply_Data___Hourly_DriverActivity_1_csv__3[#All],3,FALSE)</f>
        <v>24</v>
      </c>
      <c r="K609">
        <f>VLOOKUP(Demand_Data___Hourly_OverviewSearch_1_csv[[#This Row],[Date]],Supply_Data___Hourly_DriverActivity_1_csv__3[#All],4,FALSE)</f>
        <v>2</v>
      </c>
      <c r="L609">
        <f>VLOOKUP(Demand_Data___Hourly_OverviewSearch_1_csv[[#This Row],[Date]],Supply_Data___Hourly_DriverActivity_1_csv__3[#All],5,FALSE)</f>
        <v>22</v>
      </c>
      <c r="M609">
        <f>VLOOKUP(Demand_Data___Hourly_OverviewSearch_1_csv[[#This Row],[Date]],Supply_Data___Hourly_DriverActivity_1_csv__3[#All],6,FALSE)</f>
        <v>0.3</v>
      </c>
      <c r="N609">
        <f>VLOOKUP(Demand_Data___Hourly_OverviewSearch_1_csv[[#This Row],[Date]],Supply_Data___Hourly_DriverActivity_1_csv__3[#All],7,FALSE)</f>
        <v>0.25</v>
      </c>
      <c r="O609">
        <f>VLOOKUP(Demand_Data___Hourly_OverviewSearch_1_csv[[#This Row],[Date]],Supply_Data___Hourly_DriverActivity_1_csv__3[#All],8,FALSE)</f>
        <v>6</v>
      </c>
      <c r="P609">
        <f>(Demand_Data___Hourly_OverviewSearch_1_csv[[#This Row],[People saw 0 cars (unique)]]+Demand_Data___Hourly_OverviewSearch_1_csv[[#This Row],[People saw +1 cars (unique)]])</f>
        <v>28</v>
      </c>
      <c r="Q609" s="143">
        <f t="shared" si="39"/>
        <v>22</v>
      </c>
    </row>
    <row r="610" spans="1:17" x14ac:dyDescent="0.3">
      <c r="A610" t="s">
        <v>617</v>
      </c>
      <c r="B610" t="str">
        <f t="shared" si="36"/>
        <v xml:space="preserve"> 14</v>
      </c>
      <c r="C610">
        <f t="shared" si="37"/>
        <v>3</v>
      </c>
      <c r="D610" t="str">
        <f t="shared" si="38"/>
        <v xml:space="preserve">2016-11-23 </v>
      </c>
      <c r="E610" t="str">
        <f>TEXT(Demand_Data___Hourly_OverviewSearch_1_csv[[#This Row],[Day]],"dddd")</f>
        <v>Tuesday</v>
      </c>
      <c r="F610">
        <v>2</v>
      </c>
      <c r="G610">
        <v>18</v>
      </c>
      <c r="H610">
        <v>90</v>
      </c>
      <c r="I610">
        <f>VLOOKUP(Demand_Data___Hourly_OverviewSearch_1_csv[[#This Row],[Date]],Supply_Data___Hourly_DriverActivity_1_csv__3[#All],2,FALSE)</f>
        <v>78</v>
      </c>
      <c r="J610">
        <f>VLOOKUP(Demand_Data___Hourly_OverviewSearch_1_csv[[#This Row],[Date]],Supply_Data___Hourly_DriverActivity_1_csv__3[#All],3,FALSE)</f>
        <v>26</v>
      </c>
      <c r="K610">
        <f>VLOOKUP(Demand_Data___Hourly_OverviewSearch_1_csv[[#This Row],[Date]],Supply_Data___Hourly_DriverActivity_1_csv__3[#All],4,FALSE)</f>
        <v>3</v>
      </c>
      <c r="L610">
        <f>VLOOKUP(Demand_Data___Hourly_OverviewSearch_1_csv[[#This Row],[Date]],Supply_Data___Hourly_DriverActivity_1_csv__3[#All],5,FALSE)</f>
        <v>23</v>
      </c>
      <c r="M610">
        <f>VLOOKUP(Demand_Data___Hourly_OverviewSearch_1_csv[[#This Row],[Date]],Supply_Data___Hourly_DriverActivity_1_csv__3[#All],6,FALSE)</f>
        <v>0.3</v>
      </c>
      <c r="N610">
        <f>VLOOKUP(Demand_Data___Hourly_OverviewSearch_1_csv[[#This Row],[Date]],Supply_Data___Hourly_DriverActivity_1_csv__3[#All],7,FALSE)</f>
        <v>0.19</v>
      </c>
      <c r="O610">
        <f>VLOOKUP(Demand_Data___Hourly_OverviewSearch_1_csv[[#This Row],[Date]],Supply_Data___Hourly_DriverActivity_1_csv__3[#All],8,FALSE)</f>
        <v>5</v>
      </c>
      <c r="P610">
        <f>(Demand_Data___Hourly_OverviewSearch_1_csv[[#This Row],[People saw 0 cars (unique)]]+Demand_Data___Hourly_OverviewSearch_1_csv[[#This Row],[People saw +1 cars (unique)]])</f>
        <v>20</v>
      </c>
      <c r="Q610" s="143">
        <f t="shared" si="39"/>
        <v>23</v>
      </c>
    </row>
    <row r="611" spans="1:17" x14ac:dyDescent="0.3">
      <c r="A611" t="s">
        <v>618</v>
      </c>
      <c r="B611" t="str">
        <f t="shared" si="36"/>
        <v xml:space="preserve"> 13</v>
      </c>
      <c r="C611">
        <f t="shared" si="37"/>
        <v>3</v>
      </c>
      <c r="D611" t="str">
        <f t="shared" si="38"/>
        <v xml:space="preserve">2016-11-23 </v>
      </c>
      <c r="E611" t="str">
        <f>TEXT(Demand_Data___Hourly_OverviewSearch_1_csv[[#This Row],[Day]],"dddd")</f>
        <v>Tuesday</v>
      </c>
      <c r="F611">
        <v>4</v>
      </c>
      <c r="G611">
        <v>25</v>
      </c>
      <c r="H611">
        <v>86</v>
      </c>
      <c r="I611">
        <f>VLOOKUP(Demand_Data___Hourly_OverviewSearch_1_csv[[#This Row],[Date]],Supply_Data___Hourly_DriverActivity_1_csv__3[#All],2,FALSE)</f>
        <v>76</v>
      </c>
      <c r="J611">
        <f>VLOOKUP(Demand_Data___Hourly_OverviewSearch_1_csv[[#This Row],[Date]],Supply_Data___Hourly_DriverActivity_1_csv__3[#All],3,FALSE)</f>
        <v>24</v>
      </c>
      <c r="K611">
        <f>VLOOKUP(Demand_Data___Hourly_OverviewSearch_1_csv[[#This Row],[Date]],Supply_Data___Hourly_DriverActivity_1_csv__3[#All],4,FALSE)</f>
        <v>5</v>
      </c>
      <c r="L611">
        <f>VLOOKUP(Demand_Data___Hourly_OverviewSearch_1_csv[[#This Row],[Date]],Supply_Data___Hourly_DriverActivity_1_csv__3[#All],5,FALSE)</f>
        <v>19</v>
      </c>
      <c r="M611">
        <f>VLOOKUP(Demand_Data___Hourly_OverviewSearch_1_csv[[#This Row],[Date]],Supply_Data___Hourly_DriverActivity_1_csv__3[#All],6,FALSE)</f>
        <v>0.3</v>
      </c>
      <c r="N611">
        <f>VLOOKUP(Demand_Data___Hourly_OverviewSearch_1_csv[[#This Row],[Date]],Supply_Data___Hourly_DriverActivity_1_csv__3[#All],7,FALSE)</f>
        <v>0.33</v>
      </c>
      <c r="O611">
        <f>VLOOKUP(Demand_Data___Hourly_OverviewSearch_1_csv[[#This Row],[Date]],Supply_Data___Hourly_DriverActivity_1_csv__3[#All],8,FALSE)</f>
        <v>8</v>
      </c>
      <c r="P611">
        <f>(Demand_Data___Hourly_OverviewSearch_1_csv[[#This Row],[People saw 0 cars (unique)]]+Demand_Data___Hourly_OverviewSearch_1_csv[[#This Row],[People saw +1 cars (unique)]])</f>
        <v>29</v>
      </c>
      <c r="Q611" s="143">
        <f t="shared" si="39"/>
        <v>19</v>
      </c>
    </row>
    <row r="612" spans="1:17" x14ac:dyDescent="0.3">
      <c r="A612" t="s">
        <v>619</v>
      </c>
      <c r="B612" t="str">
        <f t="shared" si="36"/>
        <v xml:space="preserve"> 12</v>
      </c>
      <c r="C612">
        <f t="shared" si="37"/>
        <v>3</v>
      </c>
      <c r="D612" t="str">
        <f t="shared" si="38"/>
        <v xml:space="preserve">2016-11-23 </v>
      </c>
      <c r="E612" t="str">
        <f>TEXT(Demand_Data___Hourly_OverviewSearch_1_csv[[#This Row],[Day]],"dddd")</f>
        <v>Tuesday</v>
      </c>
      <c r="F612">
        <v>0</v>
      </c>
      <c r="G612">
        <v>26</v>
      </c>
      <c r="H612">
        <v>100</v>
      </c>
      <c r="I612">
        <f>VLOOKUP(Demand_Data___Hourly_OverviewSearch_1_csv[[#This Row],[Date]],Supply_Data___Hourly_DriverActivity_1_csv__3[#All],2,FALSE)</f>
        <v>75</v>
      </c>
      <c r="J612">
        <f>VLOOKUP(Demand_Data___Hourly_OverviewSearch_1_csv[[#This Row],[Date]],Supply_Data___Hourly_DriverActivity_1_csv__3[#All],3,FALSE)</f>
        <v>32</v>
      </c>
      <c r="K612">
        <f>VLOOKUP(Demand_Data___Hourly_OverviewSearch_1_csv[[#This Row],[Date]],Supply_Data___Hourly_DriverActivity_1_csv__3[#All],4,FALSE)</f>
        <v>2</v>
      </c>
      <c r="L612">
        <f>VLOOKUP(Demand_Data___Hourly_OverviewSearch_1_csv[[#This Row],[Date]],Supply_Data___Hourly_DriverActivity_1_csv__3[#All],5,FALSE)</f>
        <v>30</v>
      </c>
      <c r="M612">
        <f>VLOOKUP(Demand_Data___Hourly_OverviewSearch_1_csv[[#This Row],[Date]],Supply_Data___Hourly_DriverActivity_1_csv__3[#All],6,FALSE)</f>
        <v>0.4</v>
      </c>
      <c r="N612">
        <f>VLOOKUP(Demand_Data___Hourly_OverviewSearch_1_csv[[#This Row],[Date]],Supply_Data___Hourly_DriverActivity_1_csv__3[#All],7,FALSE)</f>
        <v>0.19</v>
      </c>
      <c r="O612">
        <f>VLOOKUP(Demand_Data___Hourly_OverviewSearch_1_csv[[#This Row],[Date]],Supply_Data___Hourly_DriverActivity_1_csv__3[#All],8,FALSE)</f>
        <v>6</v>
      </c>
      <c r="P612">
        <f>(Demand_Data___Hourly_OverviewSearch_1_csv[[#This Row],[People saw 0 cars (unique)]]+Demand_Data___Hourly_OverviewSearch_1_csv[[#This Row],[People saw +1 cars (unique)]])</f>
        <v>26</v>
      </c>
      <c r="Q612" s="143">
        <f t="shared" si="39"/>
        <v>30</v>
      </c>
    </row>
    <row r="613" spans="1:17" x14ac:dyDescent="0.3">
      <c r="A613" t="s">
        <v>620</v>
      </c>
      <c r="B613" t="str">
        <f t="shared" si="36"/>
        <v xml:space="preserve"> 11</v>
      </c>
      <c r="C613">
        <f t="shared" si="37"/>
        <v>3</v>
      </c>
      <c r="D613" t="str">
        <f t="shared" si="38"/>
        <v xml:space="preserve">2016-11-23 </v>
      </c>
      <c r="E613" t="str">
        <f>TEXT(Demand_Data___Hourly_OverviewSearch_1_csv[[#This Row],[Day]],"dddd")</f>
        <v>Tuesday</v>
      </c>
      <c r="F613">
        <v>5</v>
      </c>
      <c r="G613">
        <v>20</v>
      </c>
      <c r="H613">
        <v>80</v>
      </c>
      <c r="I613">
        <f>VLOOKUP(Demand_Data___Hourly_OverviewSearch_1_csv[[#This Row],[Date]],Supply_Data___Hourly_DriverActivity_1_csv__3[#All],2,FALSE)</f>
        <v>87</v>
      </c>
      <c r="J613">
        <f>VLOOKUP(Demand_Data___Hourly_OverviewSearch_1_csv[[#This Row],[Date]],Supply_Data___Hourly_DriverActivity_1_csv__3[#All],3,FALSE)</f>
        <v>33</v>
      </c>
      <c r="K613">
        <f>VLOOKUP(Demand_Data___Hourly_OverviewSearch_1_csv[[#This Row],[Date]],Supply_Data___Hourly_DriverActivity_1_csv__3[#All],4,FALSE)</f>
        <v>6</v>
      </c>
      <c r="L613">
        <f>VLOOKUP(Demand_Data___Hourly_OverviewSearch_1_csv[[#This Row],[Date]],Supply_Data___Hourly_DriverActivity_1_csv__3[#All],5,FALSE)</f>
        <v>28</v>
      </c>
      <c r="M613">
        <f>VLOOKUP(Demand_Data___Hourly_OverviewSearch_1_csv[[#This Row],[Date]],Supply_Data___Hourly_DriverActivity_1_csv__3[#All],6,FALSE)</f>
        <v>0.4</v>
      </c>
      <c r="N613">
        <f>VLOOKUP(Demand_Data___Hourly_OverviewSearch_1_csv[[#This Row],[Date]],Supply_Data___Hourly_DriverActivity_1_csv__3[#All],7,FALSE)</f>
        <v>0.27</v>
      </c>
      <c r="O613">
        <f>VLOOKUP(Demand_Data___Hourly_OverviewSearch_1_csv[[#This Row],[Date]],Supply_Data___Hourly_DriverActivity_1_csv__3[#All],8,FALSE)</f>
        <v>9</v>
      </c>
      <c r="P613">
        <f>(Demand_Data___Hourly_OverviewSearch_1_csv[[#This Row],[People saw 0 cars (unique)]]+Demand_Data___Hourly_OverviewSearch_1_csv[[#This Row],[People saw +1 cars (unique)]])</f>
        <v>25</v>
      </c>
      <c r="Q613" s="143">
        <f t="shared" si="39"/>
        <v>27</v>
      </c>
    </row>
    <row r="614" spans="1:17" x14ac:dyDescent="0.3">
      <c r="A614" t="s">
        <v>621</v>
      </c>
      <c r="B614" t="str">
        <f t="shared" si="36"/>
        <v xml:space="preserve"> 10</v>
      </c>
      <c r="C614">
        <f t="shared" si="37"/>
        <v>3</v>
      </c>
      <c r="D614" t="str">
        <f t="shared" si="38"/>
        <v xml:space="preserve">2016-11-23 </v>
      </c>
      <c r="E614" t="str">
        <f>TEXT(Demand_Data___Hourly_OverviewSearch_1_csv[[#This Row],[Day]],"dddd")</f>
        <v>Tuesday</v>
      </c>
      <c r="F614">
        <v>10</v>
      </c>
      <c r="G614">
        <v>31</v>
      </c>
      <c r="H614">
        <v>76</v>
      </c>
      <c r="I614">
        <f>VLOOKUP(Demand_Data___Hourly_OverviewSearch_1_csv[[#This Row],[Date]],Supply_Data___Hourly_DriverActivity_1_csv__3[#All],2,FALSE)</f>
        <v>92</v>
      </c>
      <c r="J614">
        <f>VLOOKUP(Demand_Data___Hourly_OverviewSearch_1_csv[[#This Row],[Date]],Supply_Data___Hourly_DriverActivity_1_csv__3[#All],3,FALSE)</f>
        <v>41</v>
      </c>
      <c r="K614">
        <f>VLOOKUP(Demand_Data___Hourly_OverviewSearch_1_csv[[#This Row],[Date]],Supply_Data___Hourly_DriverActivity_1_csv__3[#All],4,FALSE)</f>
        <v>9</v>
      </c>
      <c r="L614">
        <f>VLOOKUP(Demand_Data___Hourly_OverviewSearch_1_csv[[#This Row],[Date]],Supply_Data___Hourly_DriverActivity_1_csv__3[#All],5,FALSE)</f>
        <v>32</v>
      </c>
      <c r="M614">
        <f>VLOOKUP(Demand_Data___Hourly_OverviewSearch_1_csv[[#This Row],[Date]],Supply_Data___Hourly_DriverActivity_1_csv__3[#All],6,FALSE)</f>
        <v>0.4</v>
      </c>
      <c r="N614">
        <f>VLOOKUP(Demand_Data___Hourly_OverviewSearch_1_csv[[#This Row],[Date]],Supply_Data___Hourly_DriverActivity_1_csv__3[#All],7,FALSE)</f>
        <v>0.34</v>
      </c>
      <c r="O614">
        <f>VLOOKUP(Demand_Data___Hourly_OverviewSearch_1_csv[[#This Row],[Date]],Supply_Data___Hourly_DriverActivity_1_csv__3[#All],8,FALSE)</f>
        <v>14</v>
      </c>
      <c r="P614">
        <f>(Demand_Data___Hourly_OverviewSearch_1_csv[[#This Row],[People saw 0 cars (unique)]]+Demand_Data___Hourly_OverviewSearch_1_csv[[#This Row],[People saw +1 cars (unique)]])</f>
        <v>41</v>
      </c>
      <c r="Q614" s="143">
        <f t="shared" si="39"/>
        <v>32</v>
      </c>
    </row>
    <row r="615" spans="1:17" x14ac:dyDescent="0.3">
      <c r="A615" t="s">
        <v>622</v>
      </c>
      <c r="B615" t="str">
        <f t="shared" si="36"/>
        <v xml:space="preserve"> 09</v>
      </c>
      <c r="C615">
        <f t="shared" si="37"/>
        <v>3</v>
      </c>
      <c r="D615" t="str">
        <f t="shared" si="38"/>
        <v xml:space="preserve">2016-11-23 </v>
      </c>
      <c r="E615" t="str">
        <f>TEXT(Demand_Data___Hourly_OverviewSearch_1_csv[[#This Row],[Day]],"dddd")</f>
        <v>Tuesday</v>
      </c>
      <c r="F615">
        <v>43</v>
      </c>
      <c r="G615">
        <v>68</v>
      </c>
      <c r="H615">
        <v>61</v>
      </c>
      <c r="I615">
        <f>VLOOKUP(Demand_Data___Hourly_OverviewSearch_1_csv[[#This Row],[Date]],Supply_Data___Hourly_DriverActivity_1_csv__3[#All],2,FALSE)</f>
        <v>80</v>
      </c>
      <c r="J615">
        <f>VLOOKUP(Demand_Data___Hourly_OverviewSearch_1_csv[[#This Row],[Date]],Supply_Data___Hourly_DriverActivity_1_csv__3[#All],3,FALSE)</f>
        <v>34</v>
      </c>
      <c r="K615">
        <f>VLOOKUP(Demand_Data___Hourly_OverviewSearch_1_csv[[#This Row],[Date]],Supply_Data___Hourly_DriverActivity_1_csv__3[#All],4,FALSE)</f>
        <v>17</v>
      </c>
      <c r="L615">
        <f>VLOOKUP(Demand_Data___Hourly_OverviewSearch_1_csv[[#This Row],[Date]],Supply_Data___Hourly_DriverActivity_1_csv__3[#All],5,FALSE)</f>
        <v>17</v>
      </c>
      <c r="M615">
        <f>VLOOKUP(Demand_Data___Hourly_OverviewSearch_1_csv[[#This Row],[Date]],Supply_Data___Hourly_DriverActivity_1_csv__3[#All],6,FALSE)</f>
        <v>0.4</v>
      </c>
      <c r="N615">
        <f>VLOOKUP(Demand_Data___Hourly_OverviewSearch_1_csv[[#This Row],[Date]],Supply_Data___Hourly_DriverActivity_1_csv__3[#All],7,FALSE)</f>
        <v>0.88</v>
      </c>
      <c r="O615">
        <f>VLOOKUP(Demand_Data___Hourly_OverviewSearch_1_csv[[#This Row],[Date]],Supply_Data___Hourly_DriverActivity_1_csv__3[#All],8,FALSE)</f>
        <v>30</v>
      </c>
      <c r="P615">
        <f>(Demand_Data___Hourly_OverviewSearch_1_csv[[#This Row],[People saw 0 cars (unique)]]+Demand_Data___Hourly_OverviewSearch_1_csv[[#This Row],[People saw +1 cars (unique)]])</f>
        <v>111</v>
      </c>
      <c r="Q615" s="143">
        <f t="shared" si="39"/>
        <v>17</v>
      </c>
    </row>
    <row r="616" spans="1:17" x14ac:dyDescent="0.3">
      <c r="A616" t="s">
        <v>623</v>
      </c>
      <c r="B616" t="str">
        <f t="shared" si="36"/>
        <v xml:space="preserve"> 08</v>
      </c>
      <c r="C616">
        <f t="shared" si="37"/>
        <v>3</v>
      </c>
      <c r="D616" t="str">
        <f t="shared" si="38"/>
        <v xml:space="preserve">2016-11-23 </v>
      </c>
      <c r="E616" t="str">
        <f>TEXT(Demand_Data___Hourly_OverviewSearch_1_csv[[#This Row],[Day]],"dddd")</f>
        <v>Tuesday</v>
      </c>
      <c r="F616">
        <v>35</v>
      </c>
      <c r="G616">
        <v>43</v>
      </c>
      <c r="H616">
        <v>55</v>
      </c>
      <c r="I616">
        <f>VLOOKUP(Demand_Data___Hourly_OverviewSearch_1_csv[[#This Row],[Date]],Supply_Data___Hourly_DriverActivity_1_csv__3[#All],2,FALSE)</f>
        <v>69</v>
      </c>
      <c r="J616">
        <f>VLOOKUP(Demand_Data___Hourly_OverviewSearch_1_csv[[#This Row],[Date]],Supply_Data___Hourly_DriverActivity_1_csv__3[#All],3,FALSE)</f>
        <v>29</v>
      </c>
      <c r="K616">
        <f>VLOOKUP(Demand_Data___Hourly_OverviewSearch_1_csv[[#This Row],[Date]],Supply_Data___Hourly_DriverActivity_1_csv__3[#All],4,FALSE)</f>
        <v>13</v>
      </c>
      <c r="L616">
        <f>VLOOKUP(Demand_Data___Hourly_OverviewSearch_1_csv[[#This Row],[Date]],Supply_Data___Hourly_DriverActivity_1_csv__3[#All],5,FALSE)</f>
        <v>16</v>
      </c>
      <c r="M616">
        <f>VLOOKUP(Demand_Data___Hourly_OverviewSearch_1_csv[[#This Row],[Date]],Supply_Data___Hourly_DriverActivity_1_csv__3[#All],6,FALSE)</f>
        <v>0.4</v>
      </c>
      <c r="N616">
        <f>VLOOKUP(Demand_Data___Hourly_OverviewSearch_1_csv[[#This Row],[Date]],Supply_Data___Hourly_DriverActivity_1_csv__3[#All],7,FALSE)</f>
        <v>0.86</v>
      </c>
      <c r="O616">
        <f>VLOOKUP(Demand_Data___Hourly_OverviewSearch_1_csv[[#This Row],[Date]],Supply_Data___Hourly_DriverActivity_1_csv__3[#All],8,FALSE)</f>
        <v>25</v>
      </c>
      <c r="P616">
        <f>(Demand_Data___Hourly_OverviewSearch_1_csv[[#This Row],[People saw 0 cars (unique)]]+Demand_Data___Hourly_OverviewSearch_1_csv[[#This Row],[People saw +1 cars (unique)]])</f>
        <v>78</v>
      </c>
      <c r="Q616" s="143">
        <f t="shared" si="39"/>
        <v>16</v>
      </c>
    </row>
    <row r="617" spans="1:17" x14ac:dyDescent="0.3">
      <c r="A617" t="s">
        <v>624</v>
      </c>
      <c r="B617" t="str">
        <f t="shared" si="36"/>
        <v xml:space="preserve"> 07</v>
      </c>
      <c r="C617">
        <f t="shared" si="37"/>
        <v>3</v>
      </c>
      <c r="D617" t="str">
        <f t="shared" si="38"/>
        <v xml:space="preserve">2016-11-23 </v>
      </c>
      <c r="E617" t="str">
        <f>TEXT(Demand_Data___Hourly_OverviewSearch_1_csv[[#This Row],[Day]],"dddd")</f>
        <v>Tuesday</v>
      </c>
      <c r="F617">
        <v>4</v>
      </c>
      <c r="G617">
        <v>18</v>
      </c>
      <c r="H617">
        <v>82</v>
      </c>
      <c r="I617">
        <f>VLOOKUP(Demand_Data___Hourly_OverviewSearch_1_csv[[#This Row],[Date]],Supply_Data___Hourly_DriverActivity_1_csv__3[#All],2,FALSE)</f>
        <v>49</v>
      </c>
      <c r="J617">
        <f>VLOOKUP(Demand_Data___Hourly_OverviewSearch_1_csv[[#This Row],[Date]],Supply_Data___Hourly_DriverActivity_1_csv__3[#All],3,FALSE)</f>
        <v>17</v>
      </c>
      <c r="K617">
        <f>VLOOKUP(Demand_Data___Hourly_OverviewSearch_1_csv[[#This Row],[Date]],Supply_Data___Hourly_DriverActivity_1_csv__3[#All],4,FALSE)</f>
        <v>2</v>
      </c>
      <c r="L617">
        <f>VLOOKUP(Demand_Data___Hourly_OverviewSearch_1_csv[[#This Row],[Date]],Supply_Data___Hourly_DriverActivity_1_csv__3[#All],5,FALSE)</f>
        <v>15</v>
      </c>
      <c r="M617">
        <f>VLOOKUP(Demand_Data___Hourly_OverviewSearch_1_csv[[#This Row],[Date]],Supply_Data___Hourly_DriverActivity_1_csv__3[#All],6,FALSE)</f>
        <v>0.3</v>
      </c>
      <c r="N617">
        <f>VLOOKUP(Demand_Data___Hourly_OverviewSearch_1_csv[[#This Row],[Date]],Supply_Data___Hourly_DriverActivity_1_csv__3[#All],7,FALSE)</f>
        <v>0.47</v>
      </c>
      <c r="O617">
        <f>VLOOKUP(Demand_Data___Hourly_OverviewSearch_1_csv[[#This Row],[Date]],Supply_Data___Hourly_DriverActivity_1_csv__3[#All],8,FALSE)</f>
        <v>8</v>
      </c>
      <c r="P617">
        <f>(Demand_Data___Hourly_OverviewSearch_1_csv[[#This Row],[People saw 0 cars (unique)]]+Demand_Data___Hourly_OverviewSearch_1_csv[[#This Row],[People saw +1 cars (unique)]])</f>
        <v>22</v>
      </c>
      <c r="Q617" s="143">
        <f t="shared" si="39"/>
        <v>15</v>
      </c>
    </row>
    <row r="618" spans="1:17" x14ac:dyDescent="0.3">
      <c r="A618" t="s">
        <v>625</v>
      </c>
      <c r="B618" t="str">
        <f t="shared" si="36"/>
        <v xml:space="preserve"> 06</v>
      </c>
      <c r="C618">
        <f t="shared" si="37"/>
        <v>3</v>
      </c>
      <c r="D618" t="str">
        <f t="shared" si="38"/>
        <v xml:space="preserve">2016-11-23 </v>
      </c>
      <c r="E618" t="str">
        <f>TEXT(Demand_Data___Hourly_OverviewSearch_1_csv[[#This Row],[Day]],"dddd")</f>
        <v>Tuesday</v>
      </c>
      <c r="F618">
        <v>2</v>
      </c>
      <c r="G618">
        <v>8</v>
      </c>
      <c r="H618">
        <v>80</v>
      </c>
      <c r="I618">
        <f>VLOOKUP(Demand_Data___Hourly_OverviewSearch_1_csv[[#This Row],[Date]],Supply_Data___Hourly_DriverActivity_1_csv__3[#All],2,FALSE)</f>
        <v>33</v>
      </c>
      <c r="J618">
        <f>VLOOKUP(Demand_Data___Hourly_OverviewSearch_1_csv[[#This Row],[Date]],Supply_Data___Hourly_DriverActivity_1_csv__3[#All],3,FALSE)</f>
        <v>14</v>
      </c>
      <c r="K618">
        <f>VLOOKUP(Demand_Data___Hourly_OverviewSearch_1_csv[[#This Row],[Date]],Supply_Data___Hourly_DriverActivity_1_csv__3[#All],4,FALSE)</f>
        <v>0</v>
      </c>
      <c r="L618">
        <f>VLOOKUP(Demand_Data___Hourly_OverviewSearch_1_csv[[#This Row],[Date]],Supply_Data___Hourly_DriverActivity_1_csv__3[#All],5,FALSE)</f>
        <v>14</v>
      </c>
      <c r="M618">
        <f>VLOOKUP(Demand_Data___Hourly_OverviewSearch_1_csv[[#This Row],[Date]],Supply_Data___Hourly_DriverActivity_1_csv__3[#All],6,FALSE)</f>
        <v>0.4</v>
      </c>
      <c r="N618">
        <f>VLOOKUP(Demand_Data___Hourly_OverviewSearch_1_csv[[#This Row],[Date]],Supply_Data___Hourly_DriverActivity_1_csv__3[#All],7,FALSE)</f>
        <v>0</v>
      </c>
      <c r="O618">
        <f>VLOOKUP(Demand_Data___Hourly_OverviewSearch_1_csv[[#This Row],[Date]],Supply_Data___Hourly_DriverActivity_1_csv__3[#All],8,FALSE)</f>
        <v>0</v>
      </c>
      <c r="P618">
        <f>(Demand_Data___Hourly_OverviewSearch_1_csv[[#This Row],[People saw 0 cars (unique)]]+Demand_Data___Hourly_OverviewSearch_1_csv[[#This Row],[People saw +1 cars (unique)]])</f>
        <v>10</v>
      </c>
      <c r="Q618" s="143">
        <f t="shared" si="39"/>
        <v>14</v>
      </c>
    </row>
    <row r="619" spans="1:17" x14ac:dyDescent="0.3">
      <c r="A619" t="s">
        <v>626</v>
      </c>
      <c r="B619" t="str">
        <f t="shared" si="36"/>
        <v xml:space="preserve"> 05</v>
      </c>
      <c r="C619">
        <f t="shared" si="37"/>
        <v>3</v>
      </c>
      <c r="D619" t="str">
        <f t="shared" si="38"/>
        <v xml:space="preserve">2016-11-23 </v>
      </c>
      <c r="E619" t="str">
        <f>TEXT(Demand_Data___Hourly_OverviewSearch_1_csv[[#This Row],[Day]],"dddd")</f>
        <v>Tuesday</v>
      </c>
      <c r="F619">
        <v>0</v>
      </c>
      <c r="G619">
        <v>3</v>
      </c>
      <c r="H619">
        <v>100</v>
      </c>
      <c r="I619">
        <f>VLOOKUP(Demand_Data___Hourly_OverviewSearch_1_csv[[#This Row],[Date]],Supply_Data___Hourly_DriverActivity_1_csv__3[#All],2,FALSE)</f>
        <v>26</v>
      </c>
      <c r="J619">
        <f>VLOOKUP(Demand_Data___Hourly_OverviewSearch_1_csv[[#This Row],[Date]],Supply_Data___Hourly_DriverActivity_1_csv__3[#All],3,FALSE)</f>
        <v>12</v>
      </c>
      <c r="K619">
        <f>VLOOKUP(Demand_Data___Hourly_OverviewSearch_1_csv[[#This Row],[Date]],Supply_Data___Hourly_DriverActivity_1_csv__3[#All],4,FALSE)</f>
        <v>0</v>
      </c>
      <c r="L619">
        <f>VLOOKUP(Demand_Data___Hourly_OverviewSearch_1_csv[[#This Row],[Date]],Supply_Data___Hourly_DriverActivity_1_csv__3[#All],5,FALSE)</f>
        <v>11</v>
      </c>
      <c r="M619">
        <f>VLOOKUP(Demand_Data___Hourly_OverviewSearch_1_csv[[#This Row],[Date]],Supply_Data___Hourly_DriverActivity_1_csv__3[#All],6,FALSE)</f>
        <v>0.5</v>
      </c>
      <c r="N619">
        <f>VLOOKUP(Demand_Data___Hourly_OverviewSearch_1_csv[[#This Row],[Date]],Supply_Data___Hourly_DriverActivity_1_csv__3[#All],7,FALSE)</f>
        <v>0</v>
      </c>
      <c r="O619">
        <f>VLOOKUP(Demand_Data___Hourly_OverviewSearch_1_csv[[#This Row],[Date]],Supply_Data___Hourly_DriverActivity_1_csv__3[#All],8,FALSE)</f>
        <v>0</v>
      </c>
      <c r="P619">
        <f>(Demand_Data___Hourly_OverviewSearch_1_csv[[#This Row],[People saw 0 cars (unique)]]+Demand_Data___Hourly_OverviewSearch_1_csv[[#This Row],[People saw +1 cars (unique)]])</f>
        <v>3</v>
      </c>
      <c r="Q619" s="143">
        <f t="shared" si="39"/>
        <v>12</v>
      </c>
    </row>
    <row r="620" spans="1:17" x14ac:dyDescent="0.3">
      <c r="A620" t="s">
        <v>627</v>
      </c>
      <c r="B620" t="str">
        <f t="shared" si="36"/>
        <v xml:space="preserve"> 04</v>
      </c>
      <c r="C620">
        <f t="shared" si="37"/>
        <v>3</v>
      </c>
      <c r="D620" t="str">
        <f t="shared" si="38"/>
        <v xml:space="preserve">2016-11-23 </v>
      </c>
      <c r="E620" t="str">
        <f>TEXT(Demand_Data___Hourly_OverviewSearch_1_csv[[#This Row],[Day]],"dddd")</f>
        <v>Tuesday</v>
      </c>
      <c r="F620">
        <v>3</v>
      </c>
      <c r="G620">
        <v>3</v>
      </c>
      <c r="H620">
        <v>50</v>
      </c>
      <c r="I620">
        <f>VLOOKUP(Demand_Data___Hourly_OverviewSearch_1_csv[[#This Row],[Date]],Supply_Data___Hourly_DriverActivity_1_csv__3[#All],2,FALSE)</f>
        <v>21</v>
      </c>
      <c r="J620">
        <f>VLOOKUP(Demand_Data___Hourly_OverviewSearch_1_csv[[#This Row],[Date]],Supply_Data___Hourly_DriverActivity_1_csv__3[#All],3,FALSE)</f>
        <v>9</v>
      </c>
      <c r="K620">
        <f>VLOOKUP(Demand_Data___Hourly_OverviewSearch_1_csv[[#This Row],[Date]],Supply_Data___Hourly_DriverActivity_1_csv__3[#All],4,FALSE)</f>
        <v>0</v>
      </c>
      <c r="L620">
        <f>VLOOKUP(Demand_Data___Hourly_OverviewSearch_1_csv[[#This Row],[Date]],Supply_Data___Hourly_DriverActivity_1_csv__3[#All],5,FALSE)</f>
        <v>9</v>
      </c>
      <c r="M620">
        <f>VLOOKUP(Demand_Data___Hourly_OverviewSearch_1_csv[[#This Row],[Date]],Supply_Data___Hourly_DriverActivity_1_csv__3[#All],6,FALSE)</f>
        <v>0.4</v>
      </c>
      <c r="N620">
        <f>VLOOKUP(Demand_Data___Hourly_OverviewSearch_1_csv[[#This Row],[Date]],Supply_Data___Hourly_DriverActivity_1_csv__3[#All],7,FALSE)</f>
        <v>0.22</v>
      </c>
      <c r="O620">
        <f>VLOOKUP(Demand_Data___Hourly_OverviewSearch_1_csv[[#This Row],[Date]],Supply_Data___Hourly_DriverActivity_1_csv__3[#All],8,FALSE)</f>
        <v>2</v>
      </c>
      <c r="P620">
        <f>(Demand_Data___Hourly_OverviewSearch_1_csv[[#This Row],[People saw 0 cars (unique)]]+Demand_Data___Hourly_OverviewSearch_1_csv[[#This Row],[People saw +1 cars (unique)]])</f>
        <v>6</v>
      </c>
      <c r="Q620" s="143">
        <f t="shared" si="39"/>
        <v>9</v>
      </c>
    </row>
    <row r="621" spans="1:17" x14ac:dyDescent="0.3">
      <c r="A621" t="s">
        <v>628</v>
      </c>
      <c r="B621" t="str">
        <f t="shared" si="36"/>
        <v xml:space="preserve"> 03</v>
      </c>
      <c r="C621">
        <f t="shared" si="37"/>
        <v>3</v>
      </c>
      <c r="D621" t="str">
        <f t="shared" si="38"/>
        <v xml:space="preserve">2016-11-23 </v>
      </c>
      <c r="E621" t="str">
        <f>TEXT(Demand_Data___Hourly_OverviewSearch_1_csv[[#This Row],[Day]],"dddd")</f>
        <v>Tuesday</v>
      </c>
      <c r="F621">
        <v>3</v>
      </c>
      <c r="G621">
        <v>7</v>
      </c>
      <c r="H621">
        <v>70</v>
      </c>
      <c r="I621">
        <f>VLOOKUP(Demand_Data___Hourly_OverviewSearch_1_csv[[#This Row],[Date]],Supply_Data___Hourly_DriverActivity_1_csv__3[#All],2,FALSE)</f>
        <v>24</v>
      </c>
      <c r="J621">
        <f>VLOOKUP(Demand_Data___Hourly_OverviewSearch_1_csv[[#This Row],[Date]],Supply_Data___Hourly_DriverActivity_1_csv__3[#All],3,FALSE)</f>
        <v>9</v>
      </c>
      <c r="K621">
        <f>VLOOKUP(Demand_Data___Hourly_OverviewSearch_1_csv[[#This Row],[Date]],Supply_Data___Hourly_DriverActivity_1_csv__3[#All],4,FALSE)</f>
        <v>1</v>
      </c>
      <c r="L621">
        <f>VLOOKUP(Demand_Data___Hourly_OverviewSearch_1_csv[[#This Row],[Date]],Supply_Data___Hourly_DriverActivity_1_csv__3[#All],5,FALSE)</f>
        <v>9</v>
      </c>
      <c r="M621">
        <f>VLOOKUP(Demand_Data___Hourly_OverviewSearch_1_csv[[#This Row],[Date]],Supply_Data___Hourly_DriverActivity_1_csv__3[#All],6,FALSE)</f>
        <v>0.4</v>
      </c>
      <c r="N621">
        <f>VLOOKUP(Demand_Data___Hourly_OverviewSearch_1_csv[[#This Row],[Date]],Supply_Data___Hourly_DriverActivity_1_csv__3[#All],7,FALSE)</f>
        <v>0.11</v>
      </c>
      <c r="O621">
        <f>VLOOKUP(Demand_Data___Hourly_OverviewSearch_1_csv[[#This Row],[Date]],Supply_Data___Hourly_DriverActivity_1_csv__3[#All],8,FALSE)</f>
        <v>1</v>
      </c>
      <c r="P621">
        <f>(Demand_Data___Hourly_OverviewSearch_1_csv[[#This Row],[People saw 0 cars (unique)]]+Demand_Data___Hourly_OverviewSearch_1_csv[[#This Row],[People saw +1 cars (unique)]])</f>
        <v>10</v>
      </c>
      <c r="Q621" s="143">
        <f t="shared" si="39"/>
        <v>8</v>
      </c>
    </row>
    <row r="622" spans="1:17" x14ac:dyDescent="0.3">
      <c r="A622" t="s">
        <v>629</v>
      </c>
      <c r="B622" t="str">
        <f t="shared" si="36"/>
        <v xml:space="preserve"> 02</v>
      </c>
      <c r="C622">
        <f t="shared" si="37"/>
        <v>3</v>
      </c>
      <c r="D622" t="str">
        <f t="shared" si="38"/>
        <v xml:space="preserve">2016-11-23 </v>
      </c>
      <c r="E622" t="str">
        <f>TEXT(Demand_Data___Hourly_OverviewSearch_1_csv[[#This Row],[Day]],"dddd")</f>
        <v>Tuesday</v>
      </c>
      <c r="F622">
        <v>1</v>
      </c>
      <c r="G622">
        <v>6</v>
      </c>
      <c r="H622">
        <v>86</v>
      </c>
      <c r="I622">
        <f>VLOOKUP(Demand_Data___Hourly_OverviewSearch_1_csv[[#This Row],[Date]],Supply_Data___Hourly_DriverActivity_1_csv__3[#All],2,FALSE)</f>
        <v>28</v>
      </c>
      <c r="J622">
        <f>VLOOKUP(Demand_Data___Hourly_OverviewSearch_1_csv[[#This Row],[Date]],Supply_Data___Hourly_DriverActivity_1_csv__3[#All],3,FALSE)</f>
        <v>13</v>
      </c>
      <c r="K622">
        <f>VLOOKUP(Demand_Data___Hourly_OverviewSearch_1_csv[[#This Row],[Date]],Supply_Data___Hourly_DriverActivity_1_csv__3[#All],4,FALSE)</f>
        <v>1</v>
      </c>
      <c r="L622">
        <f>VLOOKUP(Demand_Data___Hourly_OverviewSearch_1_csv[[#This Row],[Date]],Supply_Data___Hourly_DriverActivity_1_csv__3[#All],5,FALSE)</f>
        <v>12</v>
      </c>
      <c r="M622">
        <f>VLOOKUP(Demand_Data___Hourly_OverviewSearch_1_csv[[#This Row],[Date]],Supply_Data___Hourly_DriverActivity_1_csv__3[#All],6,FALSE)</f>
        <v>0.5</v>
      </c>
      <c r="N622">
        <f>VLOOKUP(Demand_Data___Hourly_OverviewSearch_1_csv[[#This Row],[Date]],Supply_Data___Hourly_DriverActivity_1_csv__3[#All],7,FALSE)</f>
        <v>0.23</v>
      </c>
      <c r="O622">
        <f>VLOOKUP(Demand_Data___Hourly_OverviewSearch_1_csv[[#This Row],[Date]],Supply_Data___Hourly_DriverActivity_1_csv__3[#All],8,FALSE)</f>
        <v>3</v>
      </c>
      <c r="P622">
        <f>(Demand_Data___Hourly_OverviewSearch_1_csv[[#This Row],[People saw 0 cars (unique)]]+Demand_Data___Hourly_OverviewSearch_1_csv[[#This Row],[People saw +1 cars (unique)]])</f>
        <v>7</v>
      </c>
      <c r="Q622" s="143">
        <f t="shared" si="39"/>
        <v>12</v>
      </c>
    </row>
    <row r="623" spans="1:17" x14ac:dyDescent="0.3">
      <c r="A623" t="s">
        <v>630</v>
      </c>
      <c r="B623" t="str">
        <f t="shared" si="36"/>
        <v xml:space="preserve"> 01</v>
      </c>
      <c r="C623">
        <f t="shared" si="37"/>
        <v>3</v>
      </c>
      <c r="D623" t="str">
        <f t="shared" si="38"/>
        <v xml:space="preserve">2016-11-23 </v>
      </c>
      <c r="E623" t="str">
        <f>TEXT(Demand_Data___Hourly_OverviewSearch_1_csv[[#This Row],[Day]],"dddd")</f>
        <v>Tuesday</v>
      </c>
      <c r="F623">
        <v>3</v>
      </c>
      <c r="G623">
        <v>7</v>
      </c>
      <c r="H623">
        <v>70</v>
      </c>
      <c r="I623">
        <f>VLOOKUP(Demand_Data___Hourly_OverviewSearch_1_csv[[#This Row],[Date]],Supply_Data___Hourly_DriverActivity_1_csv__3[#All],2,FALSE)</f>
        <v>42</v>
      </c>
      <c r="J623">
        <f>VLOOKUP(Demand_Data___Hourly_OverviewSearch_1_csv[[#This Row],[Date]],Supply_Data___Hourly_DriverActivity_1_csv__3[#All],3,FALSE)</f>
        <v>18</v>
      </c>
      <c r="K623">
        <f>VLOOKUP(Demand_Data___Hourly_OverviewSearch_1_csv[[#This Row],[Date]],Supply_Data___Hourly_DriverActivity_1_csv__3[#All],4,FALSE)</f>
        <v>2</v>
      </c>
      <c r="L623">
        <f>VLOOKUP(Demand_Data___Hourly_OverviewSearch_1_csv[[#This Row],[Date]],Supply_Data___Hourly_DriverActivity_1_csv__3[#All],5,FALSE)</f>
        <v>16</v>
      </c>
      <c r="M623">
        <f>VLOOKUP(Demand_Data___Hourly_OverviewSearch_1_csv[[#This Row],[Date]],Supply_Data___Hourly_DriverActivity_1_csv__3[#All],6,FALSE)</f>
        <v>0.4</v>
      </c>
      <c r="N623">
        <f>VLOOKUP(Demand_Data___Hourly_OverviewSearch_1_csv[[#This Row],[Date]],Supply_Data___Hourly_DriverActivity_1_csv__3[#All],7,FALSE)</f>
        <v>0.06</v>
      </c>
      <c r="O623">
        <f>VLOOKUP(Demand_Data___Hourly_OverviewSearch_1_csv[[#This Row],[Date]],Supply_Data___Hourly_DriverActivity_1_csv__3[#All],8,FALSE)</f>
        <v>1</v>
      </c>
      <c r="P623">
        <f>(Demand_Data___Hourly_OverviewSearch_1_csv[[#This Row],[People saw 0 cars (unique)]]+Demand_Data___Hourly_OverviewSearch_1_csv[[#This Row],[People saw +1 cars (unique)]])</f>
        <v>10</v>
      </c>
      <c r="Q623" s="143">
        <f t="shared" si="39"/>
        <v>16</v>
      </c>
    </row>
    <row r="624" spans="1:17" x14ac:dyDescent="0.3">
      <c r="A624" t="s">
        <v>631</v>
      </c>
      <c r="B624" t="str">
        <f t="shared" si="36"/>
        <v xml:space="preserve"> 00</v>
      </c>
      <c r="C624">
        <f t="shared" si="37"/>
        <v>3</v>
      </c>
      <c r="D624" t="str">
        <f t="shared" si="38"/>
        <v xml:space="preserve">2016-11-23 </v>
      </c>
      <c r="E624" t="str">
        <f>TEXT(Demand_Data___Hourly_OverviewSearch_1_csv[[#This Row],[Day]],"dddd")</f>
        <v>Tuesday</v>
      </c>
      <c r="F624">
        <v>4</v>
      </c>
      <c r="G624">
        <v>24</v>
      </c>
      <c r="H624">
        <v>86</v>
      </c>
      <c r="I624">
        <f>VLOOKUP(Demand_Data___Hourly_OverviewSearch_1_csv[[#This Row],[Date]],Supply_Data___Hourly_DriverActivity_1_csv__3[#All],2,FALSE)</f>
        <v>48</v>
      </c>
      <c r="J624">
        <f>VLOOKUP(Demand_Data___Hourly_OverviewSearch_1_csv[[#This Row],[Date]],Supply_Data___Hourly_DriverActivity_1_csv__3[#All],3,FALSE)</f>
        <v>22</v>
      </c>
      <c r="K624">
        <f>VLOOKUP(Demand_Data___Hourly_OverviewSearch_1_csv[[#This Row],[Date]],Supply_Data___Hourly_DriverActivity_1_csv__3[#All],4,FALSE)</f>
        <v>4</v>
      </c>
      <c r="L624">
        <f>VLOOKUP(Demand_Data___Hourly_OverviewSearch_1_csv[[#This Row],[Date]],Supply_Data___Hourly_DriverActivity_1_csv__3[#All],5,FALSE)</f>
        <v>19</v>
      </c>
      <c r="M624">
        <f>VLOOKUP(Demand_Data___Hourly_OverviewSearch_1_csv[[#This Row],[Date]],Supply_Data___Hourly_DriverActivity_1_csv__3[#All],6,FALSE)</f>
        <v>0.5</v>
      </c>
      <c r="N624">
        <f>VLOOKUP(Demand_Data___Hourly_OverviewSearch_1_csv[[#This Row],[Date]],Supply_Data___Hourly_DriverActivity_1_csv__3[#All],7,FALSE)</f>
        <v>0.41</v>
      </c>
      <c r="O624">
        <f>VLOOKUP(Demand_Data___Hourly_OverviewSearch_1_csv[[#This Row],[Date]],Supply_Data___Hourly_DriverActivity_1_csv__3[#All],8,FALSE)</f>
        <v>9</v>
      </c>
      <c r="P624">
        <f>(Demand_Data___Hourly_OverviewSearch_1_csv[[#This Row],[People saw 0 cars (unique)]]+Demand_Data___Hourly_OverviewSearch_1_csv[[#This Row],[People saw +1 cars (unique)]])</f>
        <v>28</v>
      </c>
      <c r="Q624" s="143">
        <f t="shared" si="39"/>
        <v>18</v>
      </c>
    </row>
    <row r="625" spans="1:17" x14ac:dyDescent="0.3">
      <c r="A625" t="s">
        <v>632</v>
      </c>
      <c r="B625" t="str">
        <f t="shared" si="36"/>
        <v xml:space="preserve"> 23</v>
      </c>
      <c r="C625">
        <f t="shared" si="37"/>
        <v>2</v>
      </c>
      <c r="D625" t="str">
        <f t="shared" si="38"/>
        <v xml:space="preserve">2016-11-22 </v>
      </c>
      <c r="E625" t="str">
        <f>TEXT(Demand_Data___Hourly_OverviewSearch_1_csv[[#This Row],[Day]],"dddd")</f>
        <v>Monday</v>
      </c>
      <c r="F625">
        <v>9</v>
      </c>
      <c r="G625">
        <v>34</v>
      </c>
      <c r="H625">
        <v>79</v>
      </c>
      <c r="I625">
        <f>VLOOKUP(Demand_Data___Hourly_OverviewSearch_1_csv[[#This Row],[Date]],Supply_Data___Hourly_DriverActivity_1_csv__3[#All],2,FALSE)</f>
        <v>64</v>
      </c>
      <c r="J625">
        <f>VLOOKUP(Demand_Data___Hourly_OverviewSearch_1_csv[[#This Row],[Date]],Supply_Data___Hourly_DriverActivity_1_csv__3[#All],3,FALSE)</f>
        <v>25</v>
      </c>
      <c r="K625">
        <f>VLOOKUP(Demand_Data___Hourly_OverviewSearch_1_csv[[#This Row],[Date]],Supply_Data___Hourly_DriverActivity_1_csv__3[#All],4,FALSE)</f>
        <v>5</v>
      </c>
      <c r="L625">
        <f>VLOOKUP(Demand_Data___Hourly_OverviewSearch_1_csv[[#This Row],[Date]],Supply_Data___Hourly_DriverActivity_1_csv__3[#All],5,FALSE)</f>
        <v>20</v>
      </c>
      <c r="M625">
        <f>VLOOKUP(Demand_Data___Hourly_OverviewSearch_1_csv[[#This Row],[Date]],Supply_Data___Hourly_DriverActivity_1_csv__3[#All],6,FALSE)</f>
        <v>0.4</v>
      </c>
      <c r="N625">
        <f>VLOOKUP(Demand_Data___Hourly_OverviewSearch_1_csv[[#This Row],[Date]],Supply_Data___Hourly_DriverActivity_1_csv__3[#All],7,FALSE)</f>
        <v>0.48</v>
      </c>
      <c r="O625">
        <f>VLOOKUP(Demand_Data___Hourly_OverviewSearch_1_csv[[#This Row],[Date]],Supply_Data___Hourly_DriverActivity_1_csv__3[#All],8,FALSE)</f>
        <v>12</v>
      </c>
      <c r="P625">
        <f>(Demand_Data___Hourly_OverviewSearch_1_csv[[#This Row],[People saw 0 cars (unique)]]+Demand_Data___Hourly_OverviewSearch_1_csv[[#This Row],[People saw +1 cars (unique)]])</f>
        <v>43</v>
      </c>
      <c r="Q625" s="143">
        <f t="shared" si="39"/>
        <v>20</v>
      </c>
    </row>
    <row r="626" spans="1:17" x14ac:dyDescent="0.3">
      <c r="A626" t="s">
        <v>633</v>
      </c>
      <c r="B626" t="str">
        <f t="shared" si="36"/>
        <v xml:space="preserve"> 22</v>
      </c>
      <c r="C626">
        <f t="shared" si="37"/>
        <v>2</v>
      </c>
      <c r="D626" t="str">
        <f t="shared" si="38"/>
        <v xml:space="preserve">2016-11-22 </v>
      </c>
      <c r="E626" t="str">
        <f>TEXT(Demand_Data___Hourly_OverviewSearch_1_csv[[#This Row],[Day]],"dddd")</f>
        <v>Monday</v>
      </c>
      <c r="F626">
        <v>2</v>
      </c>
      <c r="G626">
        <v>44</v>
      </c>
      <c r="H626">
        <v>96</v>
      </c>
      <c r="I626">
        <f>VLOOKUP(Demand_Data___Hourly_OverviewSearch_1_csv[[#This Row],[Date]],Supply_Data___Hourly_DriverActivity_1_csv__3[#All],2,FALSE)</f>
        <v>82</v>
      </c>
      <c r="J626">
        <f>VLOOKUP(Demand_Data___Hourly_OverviewSearch_1_csv[[#This Row],[Date]],Supply_Data___Hourly_DriverActivity_1_csv__3[#All],3,FALSE)</f>
        <v>30</v>
      </c>
      <c r="K626">
        <f>VLOOKUP(Demand_Data___Hourly_OverviewSearch_1_csv[[#This Row],[Date]],Supply_Data___Hourly_DriverActivity_1_csv__3[#All],4,FALSE)</f>
        <v>7</v>
      </c>
      <c r="L626">
        <f>VLOOKUP(Demand_Data___Hourly_OverviewSearch_1_csv[[#This Row],[Date]],Supply_Data___Hourly_DriverActivity_1_csv__3[#All],5,FALSE)</f>
        <v>24</v>
      </c>
      <c r="M626">
        <f>VLOOKUP(Demand_Data___Hourly_OverviewSearch_1_csv[[#This Row],[Date]],Supply_Data___Hourly_DriverActivity_1_csv__3[#All],6,FALSE)</f>
        <v>0.4</v>
      </c>
      <c r="N626">
        <f>VLOOKUP(Demand_Data___Hourly_OverviewSearch_1_csv[[#This Row],[Date]],Supply_Data___Hourly_DriverActivity_1_csv__3[#All],7,FALSE)</f>
        <v>0.67</v>
      </c>
      <c r="O626">
        <f>VLOOKUP(Demand_Data___Hourly_OverviewSearch_1_csv[[#This Row],[Date]],Supply_Data___Hourly_DriverActivity_1_csv__3[#All],8,FALSE)</f>
        <v>20</v>
      </c>
      <c r="P626">
        <f>(Demand_Data___Hourly_OverviewSearch_1_csv[[#This Row],[People saw 0 cars (unique)]]+Demand_Data___Hourly_OverviewSearch_1_csv[[#This Row],[People saw +1 cars (unique)]])</f>
        <v>46</v>
      </c>
      <c r="Q626" s="143">
        <f t="shared" si="39"/>
        <v>23</v>
      </c>
    </row>
    <row r="627" spans="1:17" x14ac:dyDescent="0.3">
      <c r="A627" t="s">
        <v>634</v>
      </c>
      <c r="B627" t="str">
        <f t="shared" si="36"/>
        <v xml:space="preserve"> 21</v>
      </c>
      <c r="C627">
        <f t="shared" si="37"/>
        <v>2</v>
      </c>
      <c r="D627" t="str">
        <f t="shared" si="38"/>
        <v xml:space="preserve">2016-11-22 </v>
      </c>
      <c r="E627" t="str">
        <f>TEXT(Demand_Data___Hourly_OverviewSearch_1_csv[[#This Row],[Day]],"dddd")</f>
        <v>Monday</v>
      </c>
      <c r="F627">
        <v>1</v>
      </c>
      <c r="G627">
        <v>30</v>
      </c>
      <c r="H627">
        <v>97</v>
      </c>
      <c r="I627">
        <f>VLOOKUP(Demand_Data___Hourly_OverviewSearch_1_csv[[#This Row],[Date]],Supply_Data___Hourly_DriverActivity_1_csv__3[#All],2,FALSE)</f>
        <v>92</v>
      </c>
      <c r="J627">
        <f>VLOOKUP(Demand_Data___Hourly_OverviewSearch_1_csv[[#This Row],[Date]],Supply_Data___Hourly_DriverActivity_1_csv__3[#All],3,FALSE)</f>
        <v>40</v>
      </c>
      <c r="K627">
        <f>VLOOKUP(Demand_Data___Hourly_OverviewSearch_1_csv[[#This Row],[Date]],Supply_Data___Hourly_DriverActivity_1_csv__3[#All],4,FALSE)</f>
        <v>4</v>
      </c>
      <c r="L627">
        <f>VLOOKUP(Demand_Data___Hourly_OverviewSearch_1_csv[[#This Row],[Date]],Supply_Data___Hourly_DriverActivity_1_csv__3[#All],5,FALSE)</f>
        <v>36</v>
      </c>
      <c r="M627">
        <f>VLOOKUP(Demand_Data___Hourly_OverviewSearch_1_csv[[#This Row],[Date]],Supply_Data___Hourly_DriverActivity_1_csv__3[#All],6,FALSE)</f>
        <v>0.4</v>
      </c>
      <c r="N627">
        <f>VLOOKUP(Demand_Data___Hourly_OverviewSearch_1_csv[[#This Row],[Date]],Supply_Data___Hourly_DriverActivity_1_csv__3[#All],7,FALSE)</f>
        <v>0.28000000000000003</v>
      </c>
      <c r="O627">
        <f>VLOOKUP(Demand_Data___Hourly_OverviewSearch_1_csv[[#This Row],[Date]],Supply_Data___Hourly_DriverActivity_1_csv__3[#All],8,FALSE)</f>
        <v>11</v>
      </c>
      <c r="P627">
        <f>(Demand_Data___Hourly_OverviewSearch_1_csv[[#This Row],[People saw 0 cars (unique)]]+Demand_Data___Hourly_OverviewSearch_1_csv[[#This Row],[People saw +1 cars (unique)]])</f>
        <v>31</v>
      </c>
      <c r="Q627" s="143">
        <f t="shared" si="39"/>
        <v>36</v>
      </c>
    </row>
    <row r="628" spans="1:17" x14ac:dyDescent="0.3">
      <c r="A628" t="s">
        <v>635</v>
      </c>
      <c r="B628" t="str">
        <f t="shared" si="36"/>
        <v xml:space="preserve"> 20</v>
      </c>
      <c r="C628">
        <f t="shared" si="37"/>
        <v>2</v>
      </c>
      <c r="D628" t="str">
        <f t="shared" si="38"/>
        <v xml:space="preserve">2016-11-22 </v>
      </c>
      <c r="E628" t="str">
        <f>TEXT(Demand_Data___Hourly_OverviewSearch_1_csv[[#This Row],[Day]],"dddd")</f>
        <v>Monday</v>
      </c>
      <c r="F628">
        <v>6</v>
      </c>
      <c r="G628">
        <v>47</v>
      </c>
      <c r="H628">
        <v>89</v>
      </c>
      <c r="I628">
        <f>VLOOKUP(Demand_Data___Hourly_OverviewSearch_1_csv[[#This Row],[Date]],Supply_Data___Hourly_DriverActivity_1_csv__3[#All],2,FALSE)</f>
        <v>107</v>
      </c>
      <c r="J628">
        <f>VLOOKUP(Demand_Data___Hourly_OverviewSearch_1_csv[[#This Row],[Date]],Supply_Data___Hourly_DriverActivity_1_csv__3[#All],3,FALSE)</f>
        <v>50</v>
      </c>
      <c r="K628">
        <f>VLOOKUP(Demand_Data___Hourly_OverviewSearch_1_csv[[#This Row],[Date]],Supply_Data___Hourly_DriverActivity_1_csv__3[#All],4,FALSE)</f>
        <v>11</v>
      </c>
      <c r="L628">
        <f>VLOOKUP(Demand_Data___Hourly_OverviewSearch_1_csv[[#This Row],[Date]],Supply_Data___Hourly_DriverActivity_1_csv__3[#All],5,FALSE)</f>
        <v>39</v>
      </c>
      <c r="M628">
        <f>VLOOKUP(Demand_Data___Hourly_OverviewSearch_1_csv[[#This Row],[Date]],Supply_Data___Hourly_DriverActivity_1_csv__3[#All],6,FALSE)</f>
        <v>0.5</v>
      </c>
      <c r="N628">
        <f>VLOOKUP(Demand_Data___Hourly_OverviewSearch_1_csv[[#This Row],[Date]],Supply_Data___Hourly_DriverActivity_1_csv__3[#All],7,FALSE)</f>
        <v>0.46</v>
      </c>
      <c r="O628">
        <f>VLOOKUP(Demand_Data___Hourly_OverviewSearch_1_csv[[#This Row],[Date]],Supply_Data___Hourly_DriverActivity_1_csv__3[#All],8,FALSE)</f>
        <v>23</v>
      </c>
      <c r="P628">
        <f>(Demand_Data___Hourly_OverviewSearch_1_csv[[#This Row],[People saw 0 cars (unique)]]+Demand_Data___Hourly_OverviewSearch_1_csv[[#This Row],[People saw +1 cars (unique)]])</f>
        <v>53</v>
      </c>
      <c r="Q628" s="143">
        <f t="shared" si="39"/>
        <v>39</v>
      </c>
    </row>
    <row r="629" spans="1:17" x14ac:dyDescent="0.3">
      <c r="A629" t="s">
        <v>636</v>
      </c>
      <c r="B629" t="str">
        <f t="shared" si="36"/>
        <v xml:space="preserve"> 19</v>
      </c>
      <c r="C629">
        <f t="shared" si="37"/>
        <v>2</v>
      </c>
      <c r="D629" t="str">
        <f t="shared" si="38"/>
        <v xml:space="preserve">2016-11-22 </v>
      </c>
      <c r="E629" t="str">
        <f>TEXT(Demand_Data___Hourly_OverviewSearch_1_csv[[#This Row],[Day]],"dddd")</f>
        <v>Monday</v>
      </c>
      <c r="F629">
        <v>9</v>
      </c>
      <c r="G629">
        <v>65</v>
      </c>
      <c r="H629">
        <v>88</v>
      </c>
      <c r="I629">
        <f>VLOOKUP(Demand_Data___Hourly_OverviewSearch_1_csv[[#This Row],[Date]],Supply_Data___Hourly_DriverActivity_1_csv__3[#All],2,FALSE)</f>
        <v>104</v>
      </c>
      <c r="J629">
        <f>VLOOKUP(Demand_Data___Hourly_OverviewSearch_1_csv[[#This Row],[Date]],Supply_Data___Hourly_DriverActivity_1_csv__3[#All],3,FALSE)</f>
        <v>45</v>
      </c>
      <c r="K629">
        <f>VLOOKUP(Demand_Data___Hourly_OverviewSearch_1_csv[[#This Row],[Date]],Supply_Data___Hourly_DriverActivity_1_csv__3[#All],4,FALSE)</f>
        <v>14</v>
      </c>
      <c r="L629">
        <f>VLOOKUP(Demand_Data___Hourly_OverviewSearch_1_csv[[#This Row],[Date]],Supply_Data___Hourly_DriverActivity_1_csv__3[#All],5,FALSE)</f>
        <v>31</v>
      </c>
      <c r="M629">
        <f>VLOOKUP(Demand_Data___Hourly_OverviewSearch_1_csv[[#This Row],[Date]],Supply_Data___Hourly_DriverActivity_1_csv__3[#All],6,FALSE)</f>
        <v>0.4</v>
      </c>
      <c r="N629">
        <f>VLOOKUP(Demand_Data___Hourly_OverviewSearch_1_csv[[#This Row],[Date]],Supply_Data___Hourly_DriverActivity_1_csv__3[#All],7,FALSE)</f>
        <v>0.56000000000000005</v>
      </c>
      <c r="O629">
        <f>VLOOKUP(Demand_Data___Hourly_OverviewSearch_1_csv[[#This Row],[Date]],Supply_Data___Hourly_DriverActivity_1_csv__3[#All],8,FALSE)</f>
        <v>25</v>
      </c>
      <c r="P629">
        <f>(Demand_Data___Hourly_OverviewSearch_1_csv[[#This Row],[People saw 0 cars (unique)]]+Demand_Data___Hourly_OverviewSearch_1_csv[[#This Row],[People saw +1 cars (unique)]])</f>
        <v>74</v>
      </c>
      <c r="Q629" s="143">
        <f t="shared" si="39"/>
        <v>31</v>
      </c>
    </row>
    <row r="630" spans="1:17" x14ac:dyDescent="0.3">
      <c r="A630" t="s">
        <v>637</v>
      </c>
      <c r="B630" t="str">
        <f t="shared" si="36"/>
        <v xml:space="preserve"> 18</v>
      </c>
      <c r="C630">
        <f t="shared" si="37"/>
        <v>2</v>
      </c>
      <c r="D630" t="str">
        <f t="shared" si="38"/>
        <v xml:space="preserve">2016-11-22 </v>
      </c>
      <c r="E630" t="str">
        <f>TEXT(Demand_Data___Hourly_OverviewSearch_1_csv[[#This Row],[Day]],"dddd")</f>
        <v>Monday</v>
      </c>
      <c r="F630">
        <v>12</v>
      </c>
      <c r="G630">
        <v>66</v>
      </c>
      <c r="H630">
        <v>85</v>
      </c>
      <c r="I630">
        <f>VLOOKUP(Demand_Data___Hourly_OverviewSearch_1_csv[[#This Row],[Date]],Supply_Data___Hourly_DriverActivity_1_csv__3[#All],2,FALSE)</f>
        <v>113</v>
      </c>
      <c r="J630">
        <f>VLOOKUP(Demand_Data___Hourly_OverviewSearch_1_csv[[#This Row],[Date]],Supply_Data___Hourly_DriverActivity_1_csv__3[#All],3,FALSE)</f>
        <v>38</v>
      </c>
      <c r="K630">
        <f>VLOOKUP(Demand_Data___Hourly_OverviewSearch_1_csv[[#This Row],[Date]],Supply_Data___Hourly_DriverActivity_1_csv__3[#All],4,FALSE)</f>
        <v>12</v>
      </c>
      <c r="L630">
        <f>VLOOKUP(Demand_Data___Hourly_OverviewSearch_1_csv[[#This Row],[Date]],Supply_Data___Hourly_DriverActivity_1_csv__3[#All],5,FALSE)</f>
        <v>26</v>
      </c>
      <c r="M630">
        <f>VLOOKUP(Demand_Data___Hourly_OverviewSearch_1_csv[[#This Row],[Date]],Supply_Data___Hourly_DriverActivity_1_csv__3[#All],6,FALSE)</f>
        <v>0.3</v>
      </c>
      <c r="N630">
        <f>VLOOKUP(Demand_Data___Hourly_OverviewSearch_1_csv[[#This Row],[Date]],Supply_Data___Hourly_DriverActivity_1_csv__3[#All],7,FALSE)</f>
        <v>0.57999999999999996</v>
      </c>
      <c r="O630">
        <f>VLOOKUP(Demand_Data___Hourly_OverviewSearch_1_csv[[#This Row],[Date]],Supply_Data___Hourly_DriverActivity_1_csv__3[#All],8,FALSE)</f>
        <v>22</v>
      </c>
      <c r="P630">
        <f>(Demand_Data___Hourly_OverviewSearch_1_csv[[#This Row],[People saw 0 cars (unique)]]+Demand_Data___Hourly_OverviewSearch_1_csv[[#This Row],[People saw +1 cars (unique)]])</f>
        <v>78</v>
      </c>
      <c r="Q630" s="143">
        <f t="shared" si="39"/>
        <v>26</v>
      </c>
    </row>
    <row r="631" spans="1:17" x14ac:dyDescent="0.3">
      <c r="A631" t="s">
        <v>638</v>
      </c>
      <c r="B631" t="str">
        <f t="shared" si="36"/>
        <v xml:space="preserve"> 17</v>
      </c>
      <c r="C631">
        <f t="shared" si="37"/>
        <v>2</v>
      </c>
      <c r="D631" t="str">
        <f t="shared" si="38"/>
        <v xml:space="preserve">2016-11-22 </v>
      </c>
      <c r="E631" t="str">
        <f>TEXT(Demand_Data___Hourly_OverviewSearch_1_csv[[#This Row],[Day]],"dddd")</f>
        <v>Monday</v>
      </c>
      <c r="F631">
        <v>1</v>
      </c>
      <c r="G631">
        <v>35</v>
      </c>
      <c r="H631">
        <v>97</v>
      </c>
      <c r="I631">
        <f>VLOOKUP(Demand_Data___Hourly_OverviewSearch_1_csv[[#This Row],[Date]],Supply_Data___Hourly_DriverActivity_1_csv__3[#All],2,FALSE)</f>
        <v>117</v>
      </c>
      <c r="J631">
        <f>VLOOKUP(Demand_Data___Hourly_OverviewSearch_1_csv[[#This Row],[Date]],Supply_Data___Hourly_DriverActivity_1_csv__3[#All],3,FALSE)</f>
        <v>45</v>
      </c>
      <c r="K631">
        <f>VLOOKUP(Demand_Data___Hourly_OverviewSearch_1_csv[[#This Row],[Date]],Supply_Data___Hourly_DriverActivity_1_csv__3[#All],4,FALSE)</f>
        <v>3</v>
      </c>
      <c r="L631">
        <f>VLOOKUP(Demand_Data___Hourly_OverviewSearch_1_csv[[#This Row],[Date]],Supply_Data___Hourly_DriverActivity_1_csv__3[#All],5,FALSE)</f>
        <v>42</v>
      </c>
      <c r="M631">
        <f>VLOOKUP(Demand_Data___Hourly_OverviewSearch_1_csv[[#This Row],[Date]],Supply_Data___Hourly_DriverActivity_1_csv__3[#All],6,FALSE)</f>
        <v>0.4</v>
      </c>
      <c r="N631">
        <f>VLOOKUP(Demand_Data___Hourly_OverviewSearch_1_csv[[#This Row],[Date]],Supply_Data___Hourly_DriverActivity_1_csv__3[#All],7,FALSE)</f>
        <v>0.2</v>
      </c>
      <c r="O631">
        <f>VLOOKUP(Demand_Data___Hourly_OverviewSearch_1_csv[[#This Row],[Date]],Supply_Data___Hourly_DriverActivity_1_csv__3[#All],8,FALSE)</f>
        <v>9</v>
      </c>
      <c r="P631">
        <f>(Demand_Data___Hourly_OverviewSearch_1_csv[[#This Row],[People saw 0 cars (unique)]]+Demand_Data___Hourly_OverviewSearch_1_csv[[#This Row],[People saw +1 cars (unique)]])</f>
        <v>36</v>
      </c>
      <c r="Q631" s="143">
        <f t="shared" si="39"/>
        <v>42</v>
      </c>
    </row>
    <row r="632" spans="1:17" x14ac:dyDescent="0.3">
      <c r="A632" t="s">
        <v>639</v>
      </c>
      <c r="B632" t="str">
        <f t="shared" si="36"/>
        <v xml:space="preserve"> 16</v>
      </c>
      <c r="C632">
        <f t="shared" si="37"/>
        <v>2</v>
      </c>
      <c r="D632" t="str">
        <f t="shared" si="38"/>
        <v xml:space="preserve">2016-11-22 </v>
      </c>
      <c r="E632" t="str">
        <f>TEXT(Demand_Data___Hourly_OverviewSearch_1_csv[[#This Row],[Day]],"dddd")</f>
        <v>Monday</v>
      </c>
      <c r="F632">
        <v>0</v>
      </c>
      <c r="G632">
        <v>24</v>
      </c>
      <c r="H632">
        <v>100</v>
      </c>
      <c r="I632">
        <f>VLOOKUP(Demand_Data___Hourly_OverviewSearch_1_csv[[#This Row],[Date]],Supply_Data___Hourly_DriverActivity_1_csv__3[#All],2,FALSE)</f>
        <v>91</v>
      </c>
      <c r="J632">
        <f>VLOOKUP(Demand_Data___Hourly_OverviewSearch_1_csv[[#This Row],[Date]],Supply_Data___Hourly_DriverActivity_1_csv__3[#All],3,FALSE)</f>
        <v>38</v>
      </c>
      <c r="K632">
        <f>VLOOKUP(Demand_Data___Hourly_OverviewSearch_1_csv[[#This Row],[Date]],Supply_Data___Hourly_DriverActivity_1_csv__3[#All],4,FALSE)</f>
        <v>4</v>
      </c>
      <c r="L632">
        <f>VLOOKUP(Demand_Data___Hourly_OverviewSearch_1_csv[[#This Row],[Date]],Supply_Data___Hourly_DriverActivity_1_csv__3[#All],5,FALSE)</f>
        <v>34</v>
      </c>
      <c r="M632">
        <f>VLOOKUP(Demand_Data___Hourly_OverviewSearch_1_csv[[#This Row],[Date]],Supply_Data___Hourly_DriverActivity_1_csv__3[#All],6,FALSE)</f>
        <v>0.4</v>
      </c>
      <c r="N632">
        <f>VLOOKUP(Demand_Data___Hourly_OverviewSearch_1_csv[[#This Row],[Date]],Supply_Data___Hourly_DriverActivity_1_csv__3[#All],7,FALSE)</f>
        <v>0.21</v>
      </c>
      <c r="O632">
        <f>VLOOKUP(Demand_Data___Hourly_OverviewSearch_1_csv[[#This Row],[Date]],Supply_Data___Hourly_DriverActivity_1_csv__3[#All],8,FALSE)</f>
        <v>8</v>
      </c>
      <c r="P632">
        <f>(Demand_Data___Hourly_OverviewSearch_1_csv[[#This Row],[People saw 0 cars (unique)]]+Demand_Data___Hourly_OverviewSearch_1_csv[[#This Row],[People saw +1 cars (unique)]])</f>
        <v>24</v>
      </c>
      <c r="Q632" s="143">
        <f t="shared" si="39"/>
        <v>34</v>
      </c>
    </row>
    <row r="633" spans="1:17" x14ac:dyDescent="0.3">
      <c r="A633" t="s">
        <v>640</v>
      </c>
      <c r="B633" t="str">
        <f t="shared" si="36"/>
        <v xml:space="preserve"> 15</v>
      </c>
      <c r="C633">
        <f t="shared" si="37"/>
        <v>2</v>
      </c>
      <c r="D633" t="str">
        <f t="shared" si="38"/>
        <v xml:space="preserve">2016-11-22 </v>
      </c>
      <c r="E633" t="str">
        <f>TEXT(Demand_Data___Hourly_OverviewSearch_1_csv[[#This Row],[Day]],"dddd")</f>
        <v>Monday</v>
      </c>
      <c r="F633">
        <v>0</v>
      </c>
      <c r="G633">
        <v>9</v>
      </c>
      <c r="H633">
        <v>100</v>
      </c>
      <c r="I633">
        <f>VLOOKUP(Demand_Data___Hourly_OverviewSearch_1_csv[[#This Row],[Date]],Supply_Data___Hourly_DriverActivity_1_csv__3[#All],2,FALSE)</f>
        <v>77</v>
      </c>
      <c r="J633">
        <f>VLOOKUP(Demand_Data___Hourly_OverviewSearch_1_csv[[#This Row],[Date]],Supply_Data___Hourly_DriverActivity_1_csv__3[#All],3,FALSE)</f>
        <v>27</v>
      </c>
      <c r="K633">
        <f>VLOOKUP(Demand_Data___Hourly_OverviewSearch_1_csv[[#This Row],[Date]],Supply_Data___Hourly_DriverActivity_1_csv__3[#All],4,FALSE)</f>
        <v>1</v>
      </c>
      <c r="L633">
        <f>VLOOKUP(Demand_Data___Hourly_OverviewSearch_1_csv[[#This Row],[Date]],Supply_Data___Hourly_DriverActivity_1_csv__3[#All],5,FALSE)</f>
        <v>27</v>
      </c>
      <c r="M633">
        <f>VLOOKUP(Demand_Data___Hourly_OverviewSearch_1_csv[[#This Row],[Date]],Supply_Data___Hourly_DriverActivity_1_csv__3[#All],6,FALSE)</f>
        <v>0.4</v>
      </c>
      <c r="N633">
        <f>VLOOKUP(Demand_Data___Hourly_OverviewSearch_1_csv[[#This Row],[Date]],Supply_Data___Hourly_DriverActivity_1_csv__3[#All],7,FALSE)</f>
        <v>0.04</v>
      </c>
      <c r="O633">
        <f>VLOOKUP(Demand_Data___Hourly_OverviewSearch_1_csv[[#This Row],[Date]],Supply_Data___Hourly_DriverActivity_1_csv__3[#All],8,FALSE)</f>
        <v>1</v>
      </c>
      <c r="P633">
        <f>(Demand_Data___Hourly_OverviewSearch_1_csv[[#This Row],[People saw 0 cars (unique)]]+Demand_Data___Hourly_OverviewSearch_1_csv[[#This Row],[People saw +1 cars (unique)]])</f>
        <v>9</v>
      </c>
      <c r="Q633" s="143">
        <f t="shared" si="39"/>
        <v>26</v>
      </c>
    </row>
    <row r="634" spans="1:17" x14ac:dyDescent="0.3">
      <c r="A634" t="s">
        <v>641</v>
      </c>
      <c r="B634" t="str">
        <f t="shared" si="36"/>
        <v xml:space="preserve"> 14</v>
      </c>
      <c r="C634">
        <f t="shared" si="37"/>
        <v>2</v>
      </c>
      <c r="D634" t="str">
        <f t="shared" si="38"/>
        <v xml:space="preserve">2016-11-22 </v>
      </c>
      <c r="E634" t="str">
        <f>TEXT(Demand_Data___Hourly_OverviewSearch_1_csv[[#This Row],[Day]],"dddd")</f>
        <v>Monday</v>
      </c>
      <c r="F634">
        <v>1</v>
      </c>
      <c r="G634">
        <v>19</v>
      </c>
      <c r="H634">
        <v>95</v>
      </c>
      <c r="I634">
        <f>VLOOKUP(Demand_Data___Hourly_OverviewSearch_1_csv[[#This Row],[Date]],Supply_Data___Hourly_DriverActivity_1_csv__3[#All],2,FALSE)</f>
        <v>75</v>
      </c>
      <c r="J634">
        <f>VLOOKUP(Demand_Data___Hourly_OverviewSearch_1_csv[[#This Row],[Date]],Supply_Data___Hourly_DriverActivity_1_csv__3[#All],3,FALSE)</f>
        <v>32</v>
      </c>
      <c r="K634">
        <f>VLOOKUP(Demand_Data___Hourly_OverviewSearch_1_csv[[#This Row],[Date]],Supply_Data___Hourly_DriverActivity_1_csv__3[#All],4,FALSE)</f>
        <v>2</v>
      </c>
      <c r="L634">
        <f>VLOOKUP(Demand_Data___Hourly_OverviewSearch_1_csv[[#This Row],[Date]],Supply_Data___Hourly_DriverActivity_1_csv__3[#All],5,FALSE)</f>
        <v>30</v>
      </c>
      <c r="M634">
        <f>VLOOKUP(Demand_Data___Hourly_OverviewSearch_1_csv[[#This Row],[Date]],Supply_Data___Hourly_DriverActivity_1_csv__3[#All],6,FALSE)</f>
        <v>0.4</v>
      </c>
      <c r="N634">
        <f>VLOOKUP(Demand_Data___Hourly_OverviewSearch_1_csv[[#This Row],[Date]],Supply_Data___Hourly_DriverActivity_1_csv__3[#All],7,FALSE)</f>
        <v>0.09</v>
      </c>
      <c r="O634">
        <f>VLOOKUP(Demand_Data___Hourly_OverviewSearch_1_csv[[#This Row],[Date]],Supply_Data___Hourly_DriverActivity_1_csv__3[#All],8,FALSE)</f>
        <v>3</v>
      </c>
      <c r="P634">
        <f>(Demand_Data___Hourly_OverviewSearch_1_csv[[#This Row],[People saw 0 cars (unique)]]+Demand_Data___Hourly_OverviewSearch_1_csv[[#This Row],[People saw +1 cars (unique)]])</f>
        <v>20</v>
      </c>
      <c r="Q634" s="143">
        <f t="shared" si="39"/>
        <v>30</v>
      </c>
    </row>
    <row r="635" spans="1:17" x14ac:dyDescent="0.3">
      <c r="A635" t="s">
        <v>642</v>
      </c>
      <c r="B635" t="str">
        <f t="shared" si="36"/>
        <v xml:space="preserve"> 13</v>
      </c>
      <c r="C635">
        <f t="shared" si="37"/>
        <v>2</v>
      </c>
      <c r="D635" t="str">
        <f t="shared" si="38"/>
        <v xml:space="preserve">2016-11-22 </v>
      </c>
      <c r="E635" t="str">
        <f>TEXT(Demand_Data___Hourly_OverviewSearch_1_csv[[#This Row],[Day]],"dddd")</f>
        <v>Monday</v>
      </c>
      <c r="F635">
        <v>1</v>
      </c>
      <c r="G635">
        <v>23</v>
      </c>
      <c r="H635">
        <v>96</v>
      </c>
      <c r="I635">
        <f>VLOOKUP(Demand_Data___Hourly_OverviewSearch_1_csv[[#This Row],[Date]],Supply_Data___Hourly_DriverActivity_1_csv__3[#All],2,FALSE)</f>
        <v>74</v>
      </c>
      <c r="J635">
        <f>VLOOKUP(Demand_Data___Hourly_OverviewSearch_1_csv[[#This Row],[Date]],Supply_Data___Hourly_DriverActivity_1_csv__3[#All],3,FALSE)</f>
        <v>27</v>
      </c>
      <c r="K635">
        <f>VLOOKUP(Demand_Data___Hourly_OverviewSearch_1_csv[[#This Row],[Date]],Supply_Data___Hourly_DriverActivity_1_csv__3[#All],4,FALSE)</f>
        <v>3</v>
      </c>
      <c r="L635">
        <f>VLOOKUP(Demand_Data___Hourly_OverviewSearch_1_csv[[#This Row],[Date]],Supply_Data___Hourly_DriverActivity_1_csv__3[#All],5,FALSE)</f>
        <v>24</v>
      </c>
      <c r="M635">
        <f>VLOOKUP(Demand_Data___Hourly_OverviewSearch_1_csv[[#This Row],[Date]],Supply_Data___Hourly_DriverActivity_1_csv__3[#All],6,FALSE)</f>
        <v>0.4</v>
      </c>
      <c r="N635">
        <f>VLOOKUP(Demand_Data___Hourly_OverviewSearch_1_csv[[#This Row],[Date]],Supply_Data___Hourly_DriverActivity_1_csv__3[#All],7,FALSE)</f>
        <v>0.19</v>
      </c>
      <c r="O635">
        <f>VLOOKUP(Demand_Data___Hourly_OverviewSearch_1_csv[[#This Row],[Date]],Supply_Data___Hourly_DriverActivity_1_csv__3[#All],8,FALSE)</f>
        <v>5</v>
      </c>
      <c r="P635">
        <f>(Demand_Data___Hourly_OverviewSearch_1_csv[[#This Row],[People saw 0 cars (unique)]]+Demand_Data___Hourly_OverviewSearch_1_csv[[#This Row],[People saw +1 cars (unique)]])</f>
        <v>24</v>
      </c>
      <c r="Q635" s="143">
        <f t="shared" si="39"/>
        <v>24</v>
      </c>
    </row>
    <row r="636" spans="1:17" x14ac:dyDescent="0.3">
      <c r="A636" t="s">
        <v>643</v>
      </c>
      <c r="B636" t="str">
        <f t="shared" si="36"/>
        <v xml:space="preserve"> 12</v>
      </c>
      <c r="C636">
        <f t="shared" si="37"/>
        <v>2</v>
      </c>
      <c r="D636" t="str">
        <f t="shared" si="38"/>
        <v xml:space="preserve">2016-11-22 </v>
      </c>
      <c r="E636" t="str">
        <f>TEXT(Demand_Data___Hourly_OverviewSearch_1_csv[[#This Row],[Day]],"dddd")</f>
        <v>Monday</v>
      </c>
      <c r="F636">
        <v>2</v>
      </c>
      <c r="G636">
        <v>15</v>
      </c>
      <c r="H636">
        <v>88</v>
      </c>
      <c r="I636">
        <f>VLOOKUP(Demand_Data___Hourly_OverviewSearch_1_csv[[#This Row],[Date]],Supply_Data___Hourly_DriverActivity_1_csv__3[#All],2,FALSE)</f>
        <v>70</v>
      </c>
      <c r="J636">
        <f>VLOOKUP(Demand_Data___Hourly_OverviewSearch_1_csv[[#This Row],[Date]],Supply_Data___Hourly_DriverActivity_1_csv__3[#All],3,FALSE)</f>
        <v>22</v>
      </c>
      <c r="K636">
        <f>VLOOKUP(Demand_Data___Hourly_OverviewSearch_1_csv[[#This Row],[Date]],Supply_Data___Hourly_DriverActivity_1_csv__3[#All],4,FALSE)</f>
        <v>4</v>
      </c>
      <c r="L636">
        <f>VLOOKUP(Demand_Data___Hourly_OverviewSearch_1_csv[[#This Row],[Date]],Supply_Data___Hourly_DriverActivity_1_csv__3[#All],5,FALSE)</f>
        <v>19</v>
      </c>
      <c r="M636">
        <f>VLOOKUP(Demand_Data___Hourly_OverviewSearch_1_csv[[#This Row],[Date]],Supply_Data___Hourly_DriverActivity_1_csv__3[#All],6,FALSE)</f>
        <v>0.3</v>
      </c>
      <c r="N636">
        <f>VLOOKUP(Demand_Data___Hourly_OverviewSearch_1_csv[[#This Row],[Date]],Supply_Data___Hourly_DriverActivity_1_csv__3[#All],7,FALSE)</f>
        <v>0.27</v>
      </c>
      <c r="O636">
        <f>VLOOKUP(Demand_Data___Hourly_OverviewSearch_1_csv[[#This Row],[Date]],Supply_Data___Hourly_DriverActivity_1_csv__3[#All],8,FALSE)</f>
        <v>6</v>
      </c>
      <c r="P636">
        <f>(Demand_Data___Hourly_OverviewSearch_1_csv[[#This Row],[People saw 0 cars (unique)]]+Demand_Data___Hourly_OverviewSearch_1_csv[[#This Row],[People saw +1 cars (unique)]])</f>
        <v>17</v>
      </c>
      <c r="Q636" s="143">
        <f t="shared" si="39"/>
        <v>18</v>
      </c>
    </row>
    <row r="637" spans="1:17" x14ac:dyDescent="0.3">
      <c r="A637" t="s">
        <v>644</v>
      </c>
      <c r="B637" t="str">
        <f t="shared" si="36"/>
        <v xml:space="preserve"> 11</v>
      </c>
      <c r="C637">
        <f t="shared" si="37"/>
        <v>2</v>
      </c>
      <c r="D637" t="str">
        <f t="shared" si="38"/>
        <v xml:space="preserve">2016-11-22 </v>
      </c>
      <c r="E637" t="str">
        <f>TEXT(Demand_Data___Hourly_OverviewSearch_1_csv[[#This Row],[Day]],"dddd")</f>
        <v>Monday</v>
      </c>
      <c r="F637">
        <v>0</v>
      </c>
      <c r="G637">
        <v>21</v>
      </c>
      <c r="H637">
        <v>100</v>
      </c>
      <c r="I637">
        <f>VLOOKUP(Demand_Data___Hourly_OverviewSearch_1_csv[[#This Row],[Date]],Supply_Data___Hourly_DriverActivity_1_csv__3[#All],2,FALSE)</f>
        <v>84</v>
      </c>
      <c r="J637">
        <f>VLOOKUP(Demand_Data___Hourly_OverviewSearch_1_csv[[#This Row],[Date]],Supply_Data___Hourly_DriverActivity_1_csv__3[#All],3,FALSE)</f>
        <v>30</v>
      </c>
      <c r="K637">
        <f>VLOOKUP(Demand_Data___Hourly_OverviewSearch_1_csv[[#This Row],[Date]],Supply_Data___Hourly_DriverActivity_1_csv__3[#All],4,FALSE)</f>
        <v>2</v>
      </c>
      <c r="L637">
        <f>VLOOKUP(Demand_Data___Hourly_OverviewSearch_1_csv[[#This Row],[Date]],Supply_Data___Hourly_DriverActivity_1_csv__3[#All],5,FALSE)</f>
        <v>28</v>
      </c>
      <c r="M637">
        <f>VLOOKUP(Demand_Data___Hourly_OverviewSearch_1_csv[[#This Row],[Date]],Supply_Data___Hourly_DriverActivity_1_csv__3[#All],6,FALSE)</f>
        <v>0.4</v>
      </c>
      <c r="N637">
        <f>VLOOKUP(Demand_Data___Hourly_OverviewSearch_1_csv[[#This Row],[Date]],Supply_Data___Hourly_DriverActivity_1_csv__3[#All],7,FALSE)</f>
        <v>0.13</v>
      </c>
      <c r="O637">
        <f>VLOOKUP(Demand_Data___Hourly_OverviewSearch_1_csv[[#This Row],[Date]],Supply_Data___Hourly_DriverActivity_1_csv__3[#All],8,FALSE)</f>
        <v>4</v>
      </c>
      <c r="P637">
        <f>(Demand_Data___Hourly_OverviewSearch_1_csv[[#This Row],[People saw 0 cars (unique)]]+Demand_Data___Hourly_OverviewSearch_1_csv[[#This Row],[People saw +1 cars (unique)]])</f>
        <v>21</v>
      </c>
      <c r="Q637" s="143">
        <f t="shared" si="39"/>
        <v>28</v>
      </c>
    </row>
    <row r="638" spans="1:17" x14ac:dyDescent="0.3">
      <c r="A638" t="s">
        <v>645</v>
      </c>
      <c r="B638" t="str">
        <f t="shared" si="36"/>
        <v xml:space="preserve"> 10</v>
      </c>
      <c r="C638">
        <f t="shared" si="37"/>
        <v>2</v>
      </c>
      <c r="D638" t="str">
        <f t="shared" si="38"/>
        <v xml:space="preserve">2016-11-22 </v>
      </c>
      <c r="E638" t="str">
        <f>TEXT(Demand_Data___Hourly_OverviewSearch_1_csv[[#This Row],[Day]],"dddd")</f>
        <v>Monday</v>
      </c>
      <c r="F638">
        <v>6</v>
      </c>
      <c r="G638">
        <v>39</v>
      </c>
      <c r="H638">
        <v>87</v>
      </c>
      <c r="I638">
        <f>VLOOKUP(Demand_Data___Hourly_OverviewSearch_1_csv[[#This Row],[Date]],Supply_Data___Hourly_DriverActivity_1_csv__3[#All],2,FALSE)</f>
        <v>75</v>
      </c>
      <c r="J638">
        <f>VLOOKUP(Demand_Data___Hourly_OverviewSearch_1_csv[[#This Row],[Date]],Supply_Data___Hourly_DriverActivity_1_csv__3[#All],3,FALSE)</f>
        <v>32</v>
      </c>
      <c r="K638">
        <f>VLOOKUP(Demand_Data___Hourly_OverviewSearch_1_csv[[#This Row],[Date]],Supply_Data___Hourly_DriverActivity_1_csv__3[#All],4,FALSE)</f>
        <v>9</v>
      </c>
      <c r="L638">
        <f>VLOOKUP(Demand_Data___Hourly_OverviewSearch_1_csv[[#This Row],[Date]],Supply_Data___Hourly_DriverActivity_1_csv__3[#All],5,FALSE)</f>
        <v>22</v>
      </c>
      <c r="M638">
        <f>VLOOKUP(Demand_Data___Hourly_OverviewSearch_1_csv[[#This Row],[Date]],Supply_Data___Hourly_DriverActivity_1_csv__3[#All],6,FALSE)</f>
        <v>0.4</v>
      </c>
      <c r="N638">
        <f>VLOOKUP(Demand_Data___Hourly_OverviewSearch_1_csv[[#This Row],[Date]],Supply_Data___Hourly_DriverActivity_1_csv__3[#All],7,FALSE)</f>
        <v>0.5</v>
      </c>
      <c r="O638">
        <f>VLOOKUP(Demand_Data___Hourly_OverviewSearch_1_csv[[#This Row],[Date]],Supply_Data___Hourly_DriverActivity_1_csv__3[#All],8,FALSE)</f>
        <v>16</v>
      </c>
      <c r="P638">
        <f>(Demand_Data___Hourly_OverviewSearch_1_csv[[#This Row],[People saw 0 cars (unique)]]+Demand_Data___Hourly_OverviewSearch_1_csv[[#This Row],[People saw +1 cars (unique)]])</f>
        <v>45</v>
      </c>
      <c r="Q638" s="143">
        <f t="shared" si="39"/>
        <v>23</v>
      </c>
    </row>
    <row r="639" spans="1:17" x14ac:dyDescent="0.3">
      <c r="A639" t="s">
        <v>646</v>
      </c>
      <c r="B639" t="str">
        <f t="shared" si="36"/>
        <v xml:space="preserve"> 09</v>
      </c>
      <c r="C639">
        <f t="shared" si="37"/>
        <v>2</v>
      </c>
      <c r="D639" t="str">
        <f t="shared" si="38"/>
        <v xml:space="preserve">2016-11-22 </v>
      </c>
      <c r="E639" t="str">
        <f>TEXT(Demand_Data___Hourly_OverviewSearch_1_csv[[#This Row],[Day]],"dddd")</f>
        <v>Monday</v>
      </c>
      <c r="F639">
        <v>9</v>
      </c>
      <c r="G639">
        <v>49</v>
      </c>
      <c r="H639">
        <v>84</v>
      </c>
      <c r="I639">
        <f>VLOOKUP(Demand_Data___Hourly_OverviewSearch_1_csv[[#This Row],[Date]],Supply_Data___Hourly_DriverActivity_1_csv__3[#All],2,FALSE)</f>
        <v>76</v>
      </c>
      <c r="J639">
        <f>VLOOKUP(Demand_Data___Hourly_OverviewSearch_1_csv[[#This Row],[Date]],Supply_Data___Hourly_DriverActivity_1_csv__3[#All],3,FALSE)</f>
        <v>31</v>
      </c>
      <c r="K639">
        <f>VLOOKUP(Demand_Data___Hourly_OverviewSearch_1_csv[[#This Row],[Date]],Supply_Data___Hourly_DriverActivity_1_csv__3[#All],4,FALSE)</f>
        <v>11</v>
      </c>
      <c r="L639">
        <f>VLOOKUP(Demand_Data___Hourly_OverviewSearch_1_csv[[#This Row],[Date]],Supply_Data___Hourly_DriverActivity_1_csv__3[#All],5,FALSE)</f>
        <v>20</v>
      </c>
      <c r="M639">
        <f>VLOOKUP(Demand_Data___Hourly_OverviewSearch_1_csv[[#This Row],[Date]],Supply_Data___Hourly_DriverActivity_1_csv__3[#All],6,FALSE)</f>
        <v>0.4</v>
      </c>
      <c r="N639">
        <f>VLOOKUP(Demand_Data___Hourly_OverviewSearch_1_csv[[#This Row],[Date]],Supply_Data___Hourly_DriverActivity_1_csv__3[#All],7,FALSE)</f>
        <v>0.74</v>
      </c>
      <c r="O639">
        <f>VLOOKUP(Demand_Data___Hourly_OverviewSearch_1_csv[[#This Row],[Date]],Supply_Data___Hourly_DriverActivity_1_csv__3[#All],8,FALSE)</f>
        <v>23</v>
      </c>
      <c r="P639">
        <f>(Demand_Data___Hourly_OverviewSearch_1_csv[[#This Row],[People saw 0 cars (unique)]]+Demand_Data___Hourly_OverviewSearch_1_csv[[#This Row],[People saw +1 cars (unique)]])</f>
        <v>58</v>
      </c>
      <c r="Q639" s="143">
        <f t="shared" si="39"/>
        <v>20</v>
      </c>
    </row>
    <row r="640" spans="1:17" x14ac:dyDescent="0.3">
      <c r="A640" t="s">
        <v>647</v>
      </c>
      <c r="B640" t="str">
        <f t="shared" si="36"/>
        <v xml:space="preserve"> 08</v>
      </c>
      <c r="C640">
        <f t="shared" si="37"/>
        <v>2</v>
      </c>
      <c r="D640" t="str">
        <f t="shared" si="38"/>
        <v xml:space="preserve">2016-11-22 </v>
      </c>
      <c r="E640" t="str">
        <f>TEXT(Demand_Data___Hourly_OverviewSearch_1_csv[[#This Row],[Day]],"dddd")</f>
        <v>Monday</v>
      </c>
      <c r="F640">
        <v>11</v>
      </c>
      <c r="G640">
        <v>42</v>
      </c>
      <c r="H640">
        <v>79</v>
      </c>
      <c r="I640">
        <f>VLOOKUP(Demand_Data___Hourly_OverviewSearch_1_csv[[#This Row],[Date]],Supply_Data___Hourly_DriverActivity_1_csv__3[#All],2,FALSE)</f>
        <v>64</v>
      </c>
      <c r="J640">
        <f>VLOOKUP(Demand_Data___Hourly_OverviewSearch_1_csv[[#This Row],[Date]],Supply_Data___Hourly_DriverActivity_1_csv__3[#All],3,FALSE)</f>
        <v>23</v>
      </c>
      <c r="K640">
        <f>VLOOKUP(Demand_Data___Hourly_OverviewSearch_1_csv[[#This Row],[Date]],Supply_Data___Hourly_DriverActivity_1_csv__3[#All],4,FALSE)</f>
        <v>10</v>
      </c>
      <c r="L640">
        <f>VLOOKUP(Demand_Data___Hourly_OverviewSearch_1_csv[[#This Row],[Date]],Supply_Data___Hourly_DriverActivity_1_csv__3[#All],5,FALSE)</f>
        <v>13</v>
      </c>
      <c r="M640">
        <f>VLOOKUP(Demand_Data___Hourly_OverviewSearch_1_csv[[#This Row],[Date]],Supply_Data___Hourly_DriverActivity_1_csv__3[#All],6,FALSE)</f>
        <v>0.4</v>
      </c>
      <c r="N640">
        <f>VLOOKUP(Demand_Data___Hourly_OverviewSearch_1_csv[[#This Row],[Date]],Supply_Data___Hourly_DriverActivity_1_csv__3[#All],7,FALSE)</f>
        <v>0.91</v>
      </c>
      <c r="O640">
        <f>VLOOKUP(Demand_Data___Hourly_OverviewSearch_1_csv[[#This Row],[Date]],Supply_Data___Hourly_DriverActivity_1_csv__3[#All],8,FALSE)</f>
        <v>21</v>
      </c>
      <c r="P640">
        <f>(Demand_Data___Hourly_OverviewSearch_1_csv[[#This Row],[People saw 0 cars (unique)]]+Demand_Data___Hourly_OverviewSearch_1_csv[[#This Row],[People saw +1 cars (unique)]])</f>
        <v>53</v>
      </c>
      <c r="Q640" s="143">
        <f t="shared" si="39"/>
        <v>13</v>
      </c>
    </row>
    <row r="641" spans="1:17" x14ac:dyDescent="0.3">
      <c r="A641" t="s">
        <v>648</v>
      </c>
      <c r="B641" t="str">
        <f t="shared" si="36"/>
        <v xml:space="preserve"> 07</v>
      </c>
      <c r="C641">
        <f t="shared" si="37"/>
        <v>2</v>
      </c>
      <c r="D641" t="str">
        <f t="shared" si="38"/>
        <v xml:space="preserve">2016-11-22 </v>
      </c>
      <c r="E641" t="str">
        <f>TEXT(Demand_Data___Hourly_OverviewSearch_1_csv[[#This Row],[Day]],"dddd")</f>
        <v>Monday</v>
      </c>
      <c r="F641">
        <v>10</v>
      </c>
      <c r="G641">
        <v>22</v>
      </c>
      <c r="H641">
        <v>69</v>
      </c>
      <c r="I641">
        <f>VLOOKUP(Demand_Data___Hourly_OverviewSearch_1_csv[[#This Row],[Date]],Supply_Data___Hourly_DriverActivity_1_csv__3[#All],2,FALSE)</f>
        <v>38</v>
      </c>
      <c r="J641">
        <f>VLOOKUP(Demand_Data___Hourly_OverviewSearch_1_csv[[#This Row],[Date]],Supply_Data___Hourly_DriverActivity_1_csv__3[#All],3,FALSE)</f>
        <v>18</v>
      </c>
      <c r="K641">
        <f>VLOOKUP(Demand_Data___Hourly_OverviewSearch_1_csv[[#This Row],[Date]],Supply_Data___Hourly_DriverActivity_1_csv__3[#All],4,FALSE)</f>
        <v>3</v>
      </c>
      <c r="L641">
        <f>VLOOKUP(Demand_Data___Hourly_OverviewSearch_1_csv[[#This Row],[Date]],Supply_Data___Hourly_DriverActivity_1_csv__3[#All],5,FALSE)</f>
        <v>14</v>
      </c>
      <c r="M641">
        <f>VLOOKUP(Demand_Data___Hourly_OverviewSearch_1_csv[[#This Row],[Date]],Supply_Data___Hourly_DriverActivity_1_csv__3[#All],6,FALSE)</f>
        <v>0.5</v>
      </c>
      <c r="N641">
        <f>VLOOKUP(Demand_Data___Hourly_OverviewSearch_1_csv[[#This Row],[Date]],Supply_Data___Hourly_DriverActivity_1_csv__3[#All],7,FALSE)</f>
        <v>0.39</v>
      </c>
      <c r="O641">
        <f>VLOOKUP(Demand_Data___Hourly_OverviewSearch_1_csv[[#This Row],[Date]],Supply_Data___Hourly_DriverActivity_1_csv__3[#All],8,FALSE)</f>
        <v>7</v>
      </c>
      <c r="P641">
        <f>(Demand_Data___Hourly_OverviewSearch_1_csv[[#This Row],[People saw 0 cars (unique)]]+Demand_Data___Hourly_OverviewSearch_1_csv[[#This Row],[People saw +1 cars (unique)]])</f>
        <v>32</v>
      </c>
      <c r="Q641" s="143">
        <f t="shared" si="39"/>
        <v>15</v>
      </c>
    </row>
    <row r="642" spans="1:17" x14ac:dyDescent="0.3">
      <c r="A642" t="s">
        <v>649</v>
      </c>
      <c r="B642" t="str">
        <f t="shared" ref="B642:B705" si="40">RIGHT(A642,3)</f>
        <v xml:space="preserve"> 06</v>
      </c>
      <c r="C642">
        <f t="shared" ref="C642:C705" si="41">WEEKDAY(DATEVALUE(LEFT(A642,FIND(" ",A642))),2)</f>
        <v>2</v>
      </c>
      <c r="D642" t="str">
        <f t="shared" ref="D642:D705" si="42">LEFT(A642,11)</f>
        <v xml:space="preserve">2016-11-22 </v>
      </c>
      <c r="E642" t="str">
        <f>TEXT(Demand_Data___Hourly_OverviewSearch_1_csv[[#This Row],[Day]],"dddd")</f>
        <v>Monday</v>
      </c>
      <c r="F642">
        <v>2</v>
      </c>
      <c r="G642">
        <v>8</v>
      </c>
      <c r="H642">
        <v>80</v>
      </c>
      <c r="I642">
        <f>VLOOKUP(Demand_Data___Hourly_OverviewSearch_1_csv[[#This Row],[Date]],Supply_Data___Hourly_DriverActivity_1_csv__3[#All],2,FALSE)</f>
        <v>27</v>
      </c>
      <c r="J642">
        <f>VLOOKUP(Demand_Data___Hourly_OverviewSearch_1_csv[[#This Row],[Date]],Supply_Data___Hourly_DriverActivity_1_csv__3[#All],3,FALSE)</f>
        <v>11</v>
      </c>
      <c r="K642">
        <f>VLOOKUP(Demand_Data___Hourly_OverviewSearch_1_csv[[#This Row],[Date]],Supply_Data___Hourly_DriverActivity_1_csv__3[#All],4,FALSE)</f>
        <v>0</v>
      </c>
      <c r="L642">
        <f>VLOOKUP(Demand_Data___Hourly_OverviewSearch_1_csv[[#This Row],[Date]],Supply_Data___Hourly_DriverActivity_1_csv__3[#All],5,FALSE)</f>
        <v>11</v>
      </c>
      <c r="M642">
        <f>VLOOKUP(Demand_Data___Hourly_OverviewSearch_1_csv[[#This Row],[Date]],Supply_Data___Hourly_DriverActivity_1_csv__3[#All],6,FALSE)</f>
        <v>0.4</v>
      </c>
      <c r="N642">
        <f>VLOOKUP(Demand_Data___Hourly_OverviewSearch_1_csv[[#This Row],[Date]],Supply_Data___Hourly_DriverActivity_1_csv__3[#All],7,FALSE)</f>
        <v>0.09</v>
      </c>
      <c r="O642">
        <f>VLOOKUP(Demand_Data___Hourly_OverviewSearch_1_csv[[#This Row],[Date]],Supply_Data___Hourly_DriverActivity_1_csv__3[#All],8,FALSE)</f>
        <v>1</v>
      </c>
      <c r="P642">
        <f>(Demand_Data___Hourly_OverviewSearch_1_csv[[#This Row],[People saw 0 cars (unique)]]+Demand_Data___Hourly_OverviewSearch_1_csv[[#This Row],[People saw +1 cars (unique)]])</f>
        <v>10</v>
      </c>
      <c r="Q642" s="143">
        <f t="shared" ref="Q642:Q705" si="43">(J642-K642)</f>
        <v>11</v>
      </c>
    </row>
    <row r="643" spans="1:17" x14ac:dyDescent="0.3">
      <c r="A643" t="s">
        <v>650</v>
      </c>
      <c r="B643" t="str">
        <f t="shared" si="40"/>
        <v xml:space="preserve"> 05</v>
      </c>
      <c r="C643">
        <f t="shared" si="41"/>
        <v>2</v>
      </c>
      <c r="D643" t="str">
        <f t="shared" si="42"/>
        <v xml:space="preserve">2016-11-22 </v>
      </c>
      <c r="E643" t="str">
        <f>TEXT(Demand_Data___Hourly_OverviewSearch_1_csv[[#This Row],[Day]],"dddd")</f>
        <v>Monday</v>
      </c>
      <c r="F643">
        <v>0</v>
      </c>
      <c r="G643">
        <v>1</v>
      </c>
      <c r="H643">
        <v>100</v>
      </c>
      <c r="I643">
        <f>VLOOKUP(Demand_Data___Hourly_OverviewSearch_1_csv[[#This Row],[Date]],Supply_Data___Hourly_DriverActivity_1_csv__3[#All],2,FALSE)</f>
        <v>18</v>
      </c>
      <c r="J643">
        <f>VLOOKUP(Demand_Data___Hourly_OverviewSearch_1_csv[[#This Row],[Date]],Supply_Data___Hourly_DriverActivity_1_csv__3[#All],3,FALSE)</f>
        <v>11</v>
      </c>
      <c r="K643">
        <f>VLOOKUP(Demand_Data___Hourly_OverviewSearch_1_csv[[#This Row],[Date]],Supply_Data___Hourly_DriverActivity_1_csv__3[#All],4,FALSE)</f>
        <v>0</v>
      </c>
      <c r="L643">
        <f>VLOOKUP(Demand_Data___Hourly_OverviewSearch_1_csv[[#This Row],[Date]],Supply_Data___Hourly_DriverActivity_1_csv__3[#All],5,FALSE)</f>
        <v>11</v>
      </c>
      <c r="M643">
        <f>VLOOKUP(Demand_Data___Hourly_OverviewSearch_1_csv[[#This Row],[Date]],Supply_Data___Hourly_DriverActivity_1_csv__3[#All],6,FALSE)</f>
        <v>0.6</v>
      </c>
      <c r="N643">
        <f>VLOOKUP(Demand_Data___Hourly_OverviewSearch_1_csv[[#This Row],[Date]],Supply_Data___Hourly_DriverActivity_1_csv__3[#All],7,FALSE)</f>
        <v>0</v>
      </c>
      <c r="O643">
        <f>VLOOKUP(Demand_Data___Hourly_OverviewSearch_1_csv[[#This Row],[Date]],Supply_Data___Hourly_DriverActivity_1_csv__3[#All],8,FALSE)</f>
        <v>0</v>
      </c>
      <c r="P643">
        <f>(Demand_Data___Hourly_OverviewSearch_1_csv[[#This Row],[People saw 0 cars (unique)]]+Demand_Data___Hourly_OverviewSearch_1_csv[[#This Row],[People saw +1 cars (unique)]])</f>
        <v>1</v>
      </c>
      <c r="Q643" s="143">
        <f t="shared" si="43"/>
        <v>11</v>
      </c>
    </row>
    <row r="644" spans="1:17" x14ac:dyDescent="0.3">
      <c r="A644" t="s">
        <v>651</v>
      </c>
      <c r="B644" t="str">
        <f t="shared" si="40"/>
        <v xml:space="preserve"> 04</v>
      </c>
      <c r="C644">
        <f t="shared" si="41"/>
        <v>2</v>
      </c>
      <c r="D644" t="str">
        <f t="shared" si="42"/>
        <v xml:space="preserve">2016-11-22 </v>
      </c>
      <c r="E644" t="str">
        <f>TEXT(Demand_Data___Hourly_OverviewSearch_1_csv[[#This Row],[Day]],"dddd")</f>
        <v>Monday</v>
      </c>
      <c r="F644">
        <v>0</v>
      </c>
      <c r="G644">
        <v>4</v>
      </c>
      <c r="H644">
        <v>100</v>
      </c>
      <c r="I644">
        <f>VLOOKUP(Demand_Data___Hourly_OverviewSearch_1_csv[[#This Row],[Date]],Supply_Data___Hourly_DriverActivity_1_csv__3[#All],2,FALSE)</f>
        <v>17</v>
      </c>
      <c r="J644">
        <f>VLOOKUP(Demand_Data___Hourly_OverviewSearch_1_csv[[#This Row],[Date]],Supply_Data___Hourly_DriverActivity_1_csv__3[#All],3,FALSE)</f>
        <v>8</v>
      </c>
      <c r="K644">
        <f>VLOOKUP(Demand_Data___Hourly_OverviewSearch_1_csv[[#This Row],[Date]],Supply_Data___Hourly_DriverActivity_1_csv__3[#All],4,FALSE)</f>
        <v>0</v>
      </c>
      <c r="L644">
        <f>VLOOKUP(Demand_Data___Hourly_OverviewSearch_1_csv[[#This Row],[Date]],Supply_Data___Hourly_DriverActivity_1_csv__3[#All],5,FALSE)</f>
        <v>8</v>
      </c>
      <c r="M644">
        <f>VLOOKUP(Demand_Data___Hourly_OverviewSearch_1_csv[[#This Row],[Date]],Supply_Data___Hourly_DriverActivity_1_csv__3[#All],6,FALSE)</f>
        <v>0.5</v>
      </c>
      <c r="N644">
        <f>VLOOKUP(Demand_Data___Hourly_OverviewSearch_1_csv[[#This Row],[Date]],Supply_Data___Hourly_DriverActivity_1_csv__3[#All],7,FALSE)</f>
        <v>0</v>
      </c>
      <c r="O644">
        <f>VLOOKUP(Demand_Data___Hourly_OverviewSearch_1_csv[[#This Row],[Date]],Supply_Data___Hourly_DriverActivity_1_csv__3[#All],8,FALSE)</f>
        <v>0</v>
      </c>
      <c r="P644">
        <f>(Demand_Data___Hourly_OverviewSearch_1_csv[[#This Row],[People saw 0 cars (unique)]]+Demand_Data___Hourly_OverviewSearch_1_csv[[#This Row],[People saw +1 cars (unique)]])</f>
        <v>4</v>
      </c>
      <c r="Q644" s="143">
        <f t="shared" si="43"/>
        <v>8</v>
      </c>
    </row>
    <row r="645" spans="1:17" x14ac:dyDescent="0.3">
      <c r="A645" t="s">
        <v>652</v>
      </c>
      <c r="B645" t="str">
        <f t="shared" si="40"/>
        <v xml:space="preserve"> 03</v>
      </c>
      <c r="C645">
        <f t="shared" si="41"/>
        <v>2</v>
      </c>
      <c r="D645" t="str">
        <f t="shared" si="42"/>
        <v xml:space="preserve">2016-11-22 </v>
      </c>
      <c r="E645" t="str">
        <f>TEXT(Demand_Data___Hourly_OverviewSearch_1_csv[[#This Row],[Day]],"dddd")</f>
        <v>Monday</v>
      </c>
      <c r="F645">
        <v>2</v>
      </c>
      <c r="G645">
        <v>1</v>
      </c>
      <c r="H645">
        <v>33</v>
      </c>
      <c r="I645">
        <f>VLOOKUP(Demand_Data___Hourly_OverviewSearch_1_csv[[#This Row],[Date]],Supply_Data___Hourly_DriverActivity_1_csv__3[#All],2,FALSE)</f>
        <v>15</v>
      </c>
      <c r="J645">
        <f>VLOOKUP(Demand_Data___Hourly_OverviewSearch_1_csv[[#This Row],[Date]],Supply_Data___Hourly_DriverActivity_1_csv__3[#All],3,FALSE)</f>
        <v>6</v>
      </c>
      <c r="K645">
        <f>VLOOKUP(Demand_Data___Hourly_OverviewSearch_1_csv[[#This Row],[Date]],Supply_Data___Hourly_DriverActivity_1_csv__3[#All],4,FALSE)</f>
        <v>0</v>
      </c>
      <c r="L645">
        <f>VLOOKUP(Demand_Data___Hourly_OverviewSearch_1_csv[[#This Row],[Date]],Supply_Data___Hourly_DriverActivity_1_csv__3[#All],5,FALSE)</f>
        <v>6</v>
      </c>
      <c r="M645">
        <f>VLOOKUP(Demand_Data___Hourly_OverviewSearch_1_csv[[#This Row],[Date]],Supply_Data___Hourly_DriverActivity_1_csv__3[#All],6,FALSE)</f>
        <v>0.4</v>
      </c>
      <c r="N645">
        <f>VLOOKUP(Demand_Data___Hourly_OverviewSearch_1_csv[[#This Row],[Date]],Supply_Data___Hourly_DriverActivity_1_csv__3[#All],7,FALSE)</f>
        <v>0</v>
      </c>
      <c r="O645">
        <f>VLOOKUP(Demand_Data___Hourly_OverviewSearch_1_csv[[#This Row],[Date]],Supply_Data___Hourly_DriverActivity_1_csv__3[#All],8,FALSE)</f>
        <v>0</v>
      </c>
      <c r="P645">
        <f>(Demand_Data___Hourly_OverviewSearch_1_csv[[#This Row],[People saw 0 cars (unique)]]+Demand_Data___Hourly_OverviewSearch_1_csv[[#This Row],[People saw +1 cars (unique)]])</f>
        <v>3</v>
      </c>
      <c r="Q645" s="143">
        <f t="shared" si="43"/>
        <v>6</v>
      </c>
    </row>
    <row r="646" spans="1:17" x14ac:dyDescent="0.3">
      <c r="A646" t="s">
        <v>653</v>
      </c>
      <c r="B646" t="str">
        <f t="shared" si="40"/>
        <v xml:space="preserve"> 02</v>
      </c>
      <c r="C646">
        <f t="shared" si="41"/>
        <v>2</v>
      </c>
      <c r="D646" t="str">
        <f t="shared" si="42"/>
        <v xml:space="preserve">2016-11-22 </v>
      </c>
      <c r="E646" t="str">
        <f>TEXT(Demand_Data___Hourly_OverviewSearch_1_csv[[#This Row],[Day]],"dddd")</f>
        <v>Monday</v>
      </c>
      <c r="F646">
        <v>3</v>
      </c>
      <c r="G646">
        <v>5</v>
      </c>
      <c r="H646">
        <v>63</v>
      </c>
      <c r="I646">
        <f>VLOOKUP(Demand_Data___Hourly_OverviewSearch_1_csv[[#This Row],[Date]],Supply_Data___Hourly_DriverActivity_1_csv__3[#All],2,FALSE)</f>
        <v>16</v>
      </c>
      <c r="J646">
        <f>VLOOKUP(Demand_Data___Hourly_OverviewSearch_1_csv[[#This Row],[Date]],Supply_Data___Hourly_DriverActivity_1_csv__3[#All],3,FALSE)</f>
        <v>7</v>
      </c>
      <c r="K646">
        <f>VLOOKUP(Demand_Data___Hourly_OverviewSearch_1_csv[[#This Row],[Date]],Supply_Data___Hourly_DriverActivity_1_csv__3[#All],4,FALSE)</f>
        <v>0</v>
      </c>
      <c r="L646">
        <f>VLOOKUP(Demand_Data___Hourly_OverviewSearch_1_csv[[#This Row],[Date]],Supply_Data___Hourly_DriverActivity_1_csv__3[#All],5,FALSE)</f>
        <v>7</v>
      </c>
      <c r="M646">
        <f>VLOOKUP(Demand_Data___Hourly_OverviewSearch_1_csv[[#This Row],[Date]],Supply_Data___Hourly_DriverActivity_1_csv__3[#All],6,FALSE)</f>
        <v>0.4</v>
      </c>
      <c r="N646">
        <f>VLOOKUP(Demand_Data___Hourly_OverviewSearch_1_csv[[#This Row],[Date]],Supply_Data___Hourly_DriverActivity_1_csv__3[#All],7,FALSE)</f>
        <v>0</v>
      </c>
      <c r="O646">
        <f>VLOOKUP(Demand_Data___Hourly_OverviewSearch_1_csv[[#This Row],[Date]],Supply_Data___Hourly_DriverActivity_1_csv__3[#All],8,FALSE)</f>
        <v>0</v>
      </c>
      <c r="P646">
        <f>(Demand_Data___Hourly_OverviewSearch_1_csv[[#This Row],[People saw 0 cars (unique)]]+Demand_Data___Hourly_OverviewSearch_1_csv[[#This Row],[People saw +1 cars (unique)]])</f>
        <v>8</v>
      </c>
      <c r="Q646" s="143">
        <f t="shared" si="43"/>
        <v>7</v>
      </c>
    </row>
    <row r="647" spans="1:17" x14ac:dyDescent="0.3">
      <c r="A647" t="s">
        <v>654</v>
      </c>
      <c r="B647" t="str">
        <f t="shared" si="40"/>
        <v xml:space="preserve"> 01</v>
      </c>
      <c r="C647">
        <f t="shared" si="41"/>
        <v>2</v>
      </c>
      <c r="D647" t="str">
        <f t="shared" si="42"/>
        <v xml:space="preserve">2016-11-22 </v>
      </c>
      <c r="E647" t="str">
        <f>TEXT(Demand_Data___Hourly_OverviewSearch_1_csv[[#This Row],[Day]],"dddd")</f>
        <v>Monday</v>
      </c>
      <c r="F647">
        <v>8</v>
      </c>
      <c r="G647">
        <v>11</v>
      </c>
      <c r="H647">
        <v>58</v>
      </c>
      <c r="I647">
        <f>VLOOKUP(Demand_Data___Hourly_OverviewSearch_1_csv[[#This Row],[Date]],Supply_Data___Hourly_DriverActivity_1_csv__3[#All],2,FALSE)</f>
        <v>27</v>
      </c>
      <c r="J647">
        <f>VLOOKUP(Demand_Data___Hourly_OverviewSearch_1_csv[[#This Row],[Date]],Supply_Data___Hourly_DriverActivity_1_csv__3[#All],3,FALSE)</f>
        <v>10</v>
      </c>
      <c r="K647">
        <f>VLOOKUP(Demand_Data___Hourly_OverviewSearch_1_csv[[#This Row],[Date]],Supply_Data___Hourly_DriverActivity_1_csv__3[#All],4,FALSE)</f>
        <v>2</v>
      </c>
      <c r="L647">
        <f>VLOOKUP(Demand_Data___Hourly_OverviewSearch_1_csv[[#This Row],[Date]],Supply_Data___Hourly_DriverActivity_1_csv__3[#All],5,FALSE)</f>
        <v>8</v>
      </c>
      <c r="M647">
        <f>VLOOKUP(Demand_Data___Hourly_OverviewSearch_1_csv[[#This Row],[Date]],Supply_Data___Hourly_DriverActivity_1_csv__3[#All],6,FALSE)</f>
        <v>0.4</v>
      </c>
      <c r="N647">
        <f>VLOOKUP(Demand_Data___Hourly_OverviewSearch_1_csv[[#This Row],[Date]],Supply_Data___Hourly_DriverActivity_1_csv__3[#All],7,FALSE)</f>
        <v>0.3</v>
      </c>
      <c r="O647">
        <f>VLOOKUP(Demand_Data___Hourly_OverviewSearch_1_csv[[#This Row],[Date]],Supply_Data___Hourly_DriverActivity_1_csv__3[#All],8,FALSE)</f>
        <v>3</v>
      </c>
      <c r="P647">
        <f>(Demand_Data___Hourly_OverviewSearch_1_csv[[#This Row],[People saw 0 cars (unique)]]+Demand_Data___Hourly_OverviewSearch_1_csv[[#This Row],[People saw +1 cars (unique)]])</f>
        <v>19</v>
      </c>
      <c r="Q647" s="143">
        <f t="shared" si="43"/>
        <v>8</v>
      </c>
    </row>
    <row r="648" spans="1:17" x14ac:dyDescent="0.3">
      <c r="A648" t="s">
        <v>655</v>
      </c>
      <c r="B648" t="str">
        <f t="shared" si="40"/>
        <v xml:space="preserve"> 00</v>
      </c>
      <c r="C648">
        <f t="shared" si="41"/>
        <v>2</v>
      </c>
      <c r="D648" t="str">
        <f t="shared" si="42"/>
        <v xml:space="preserve">2016-11-22 </v>
      </c>
      <c r="E648" t="str">
        <f>TEXT(Demand_Data___Hourly_OverviewSearch_1_csv[[#This Row],[Day]],"dddd")</f>
        <v>Monday</v>
      </c>
      <c r="F648">
        <v>1</v>
      </c>
      <c r="G648">
        <v>17</v>
      </c>
      <c r="H648">
        <v>94</v>
      </c>
      <c r="I648">
        <f>VLOOKUP(Demand_Data___Hourly_OverviewSearch_1_csv[[#This Row],[Date]],Supply_Data___Hourly_DriverActivity_1_csv__3[#All],2,FALSE)</f>
        <v>36</v>
      </c>
      <c r="J648">
        <f>VLOOKUP(Demand_Data___Hourly_OverviewSearch_1_csv[[#This Row],[Date]],Supply_Data___Hourly_DriverActivity_1_csv__3[#All],3,FALSE)</f>
        <v>16</v>
      </c>
      <c r="K648">
        <f>VLOOKUP(Demand_Data___Hourly_OverviewSearch_1_csv[[#This Row],[Date]],Supply_Data___Hourly_DriverActivity_1_csv__3[#All],4,FALSE)</f>
        <v>2</v>
      </c>
      <c r="L648">
        <f>VLOOKUP(Demand_Data___Hourly_OverviewSearch_1_csv[[#This Row],[Date]],Supply_Data___Hourly_DriverActivity_1_csv__3[#All],5,FALSE)</f>
        <v>14</v>
      </c>
      <c r="M648">
        <f>VLOOKUP(Demand_Data___Hourly_OverviewSearch_1_csv[[#This Row],[Date]],Supply_Data___Hourly_DriverActivity_1_csv__3[#All],6,FALSE)</f>
        <v>0.4</v>
      </c>
      <c r="N648">
        <f>VLOOKUP(Demand_Data___Hourly_OverviewSearch_1_csv[[#This Row],[Date]],Supply_Data___Hourly_DriverActivity_1_csv__3[#All],7,FALSE)</f>
        <v>0.25</v>
      </c>
      <c r="O648">
        <f>VLOOKUP(Demand_Data___Hourly_OverviewSearch_1_csv[[#This Row],[Date]],Supply_Data___Hourly_DriverActivity_1_csv__3[#All],8,FALSE)</f>
        <v>4</v>
      </c>
      <c r="P648">
        <f>(Demand_Data___Hourly_OverviewSearch_1_csv[[#This Row],[People saw 0 cars (unique)]]+Demand_Data___Hourly_OverviewSearch_1_csv[[#This Row],[People saw +1 cars (unique)]])</f>
        <v>18</v>
      </c>
      <c r="Q648" s="143">
        <f t="shared" si="43"/>
        <v>14</v>
      </c>
    </row>
    <row r="649" spans="1:17" x14ac:dyDescent="0.3">
      <c r="A649" t="s">
        <v>656</v>
      </c>
      <c r="B649" t="str">
        <f t="shared" si="40"/>
        <v xml:space="preserve"> 23</v>
      </c>
      <c r="C649">
        <f t="shared" si="41"/>
        <v>1</v>
      </c>
      <c r="D649" t="str">
        <f t="shared" si="42"/>
        <v xml:space="preserve">2016-11-21 </v>
      </c>
      <c r="E649" t="str">
        <f>TEXT(Demand_Data___Hourly_OverviewSearch_1_csv[[#This Row],[Day]],"dddd")</f>
        <v>Sunday</v>
      </c>
      <c r="F649">
        <v>2</v>
      </c>
      <c r="G649">
        <v>22</v>
      </c>
      <c r="H649">
        <v>92</v>
      </c>
      <c r="I649">
        <f>VLOOKUP(Demand_Data___Hourly_OverviewSearch_1_csv[[#This Row],[Date]],Supply_Data___Hourly_DriverActivity_1_csv__3[#All],2,FALSE)</f>
        <v>47</v>
      </c>
      <c r="J649">
        <f>VLOOKUP(Demand_Data___Hourly_OverviewSearch_1_csv[[#This Row],[Date]],Supply_Data___Hourly_DriverActivity_1_csv__3[#All],3,FALSE)</f>
        <v>23</v>
      </c>
      <c r="K649">
        <f>VLOOKUP(Demand_Data___Hourly_OverviewSearch_1_csv[[#This Row],[Date]],Supply_Data___Hourly_DriverActivity_1_csv__3[#All],4,FALSE)</f>
        <v>2</v>
      </c>
      <c r="L649">
        <f>VLOOKUP(Demand_Data___Hourly_OverviewSearch_1_csv[[#This Row],[Date]],Supply_Data___Hourly_DriverActivity_1_csv__3[#All],5,FALSE)</f>
        <v>20</v>
      </c>
      <c r="M649">
        <f>VLOOKUP(Demand_Data___Hourly_OverviewSearch_1_csv[[#This Row],[Date]],Supply_Data___Hourly_DriverActivity_1_csv__3[#All],6,FALSE)</f>
        <v>0.5</v>
      </c>
      <c r="N649">
        <f>VLOOKUP(Demand_Data___Hourly_OverviewSearch_1_csv[[#This Row],[Date]],Supply_Data___Hourly_DriverActivity_1_csv__3[#All],7,FALSE)</f>
        <v>0.22</v>
      </c>
      <c r="O649">
        <f>VLOOKUP(Demand_Data___Hourly_OverviewSearch_1_csv[[#This Row],[Date]],Supply_Data___Hourly_DriverActivity_1_csv__3[#All],8,FALSE)</f>
        <v>5</v>
      </c>
      <c r="P649">
        <f>(Demand_Data___Hourly_OverviewSearch_1_csv[[#This Row],[People saw 0 cars (unique)]]+Demand_Data___Hourly_OverviewSearch_1_csv[[#This Row],[People saw +1 cars (unique)]])</f>
        <v>24</v>
      </c>
      <c r="Q649" s="143">
        <f t="shared" si="43"/>
        <v>21</v>
      </c>
    </row>
    <row r="650" spans="1:17" x14ac:dyDescent="0.3">
      <c r="A650" t="s">
        <v>657</v>
      </c>
      <c r="B650" t="str">
        <f t="shared" si="40"/>
        <v xml:space="preserve"> 22</v>
      </c>
      <c r="C650">
        <f t="shared" si="41"/>
        <v>1</v>
      </c>
      <c r="D650" t="str">
        <f t="shared" si="42"/>
        <v xml:space="preserve">2016-11-21 </v>
      </c>
      <c r="E650" t="str">
        <f>TEXT(Demand_Data___Hourly_OverviewSearch_1_csv[[#This Row],[Day]],"dddd")</f>
        <v>Sunday</v>
      </c>
      <c r="F650">
        <v>1</v>
      </c>
      <c r="G650">
        <v>30</v>
      </c>
      <c r="H650">
        <v>97</v>
      </c>
      <c r="I650">
        <f>VLOOKUP(Demand_Data___Hourly_OverviewSearch_1_csv[[#This Row],[Date]],Supply_Data___Hourly_DriverActivity_1_csv__3[#All],2,FALSE)</f>
        <v>54</v>
      </c>
      <c r="J650">
        <f>VLOOKUP(Demand_Data___Hourly_OverviewSearch_1_csv[[#This Row],[Date]],Supply_Data___Hourly_DriverActivity_1_csv__3[#All],3,FALSE)</f>
        <v>18</v>
      </c>
      <c r="K650">
        <f>VLOOKUP(Demand_Data___Hourly_OverviewSearch_1_csv[[#This Row],[Date]],Supply_Data___Hourly_DriverActivity_1_csv__3[#All],4,FALSE)</f>
        <v>2</v>
      </c>
      <c r="L650">
        <f>VLOOKUP(Demand_Data___Hourly_OverviewSearch_1_csv[[#This Row],[Date]],Supply_Data___Hourly_DriverActivity_1_csv__3[#All],5,FALSE)</f>
        <v>16</v>
      </c>
      <c r="M650">
        <f>VLOOKUP(Demand_Data___Hourly_OverviewSearch_1_csv[[#This Row],[Date]],Supply_Data___Hourly_DriverActivity_1_csv__3[#All],6,FALSE)</f>
        <v>0.3</v>
      </c>
      <c r="N650">
        <f>VLOOKUP(Demand_Data___Hourly_OverviewSearch_1_csv[[#This Row],[Date]],Supply_Data___Hourly_DriverActivity_1_csv__3[#All],7,FALSE)</f>
        <v>0.33</v>
      </c>
      <c r="O650">
        <f>VLOOKUP(Demand_Data___Hourly_OverviewSearch_1_csv[[#This Row],[Date]],Supply_Data___Hourly_DriverActivity_1_csv__3[#All],8,FALSE)</f>
        <v>6</v>
      </c>
      <c r="P650">
        <f>(Demand_Data___Hourly_OverviewSearch_1_csv[[#This Row],[People saw 0 cars (unique)]]+Demand_Data___Hourly_OverviewSearch_1_csv[[#This Row],[People saw +1 cars (unique)]])</f>
        <v>31</v>
      </c>
      <c r="Q650" s="143">
        <f t="shared" si="43"/>
        <v>16</v>
      </c>
    </row>
    <row r="651" spans="1:17" x14ac:dyDescent="0.3">
      <c r="A651" t="s">
        <v>658</v>
      </c>
      <c r="B651" t="str">
        <f t="shared" si="40"/>
        <v xml:space="preserve"> 21</v>
      </c>
      <c r="C651">
        <f t="shared" si="41"/>
        <v>1</v>
      </c>
      <c r="D651" t="str">
        <f t="shared" si="42"/>
        <v xml:space="preserve">2016-11-21 </v>
      </c>
      <c r="E651" t="str">
        <f>TEXT(Demand_Data___Hourly_OverviewSearch_1_csv[[#This Row],[Day]],"dddd")</f>
        <v>Sunday</v>
      </c>
      <c r="F651">
        <v>0</v>
      </c>
      <c r="G651">
        <v>35</v>
      </c>
      <c r="H651">
        <v>100</v>
      </c>
      <c r="I651">
        <f>VLOOKUP(Demand_Data___Hourly_OverviewSearch_1_csv[[#This Row],[Date]],Supply_Data___Hourly_DriverActivity_1_csv__3[#All],2,FALSE)</f>
        <v>64</v>
      </c>
      <c r="J651">
        <f>VLOOKUP(Demand_Data___Hourly_OverviewSearch_1_csv[[#This Row],[Date]],Supply_Data___Hourly_DriverActivity_1_csv__3[#All],3,FALSE)</f>
        <v>30</v>
      </c>
      <c r="K651">
        <f>VLOOKUP(Demand_Data___Hourly_OverviewSearch_1_csv[[#This Row],[Date]],Supply_Data___Hourly_DriverActivity_1_csv__3[#All],4,FALSE)</f>
        <v>4</v>
      </c>
      <c r="L651">
        <f>VLOOKUP(Demand_Data___Hourly_OverviewSearch_1_csv[[#This Row],[Date]],Supply_Data___Hourly_DriverActivity_1_csv__3[#All],5,FALSE)</f>
        <v>26</v>
      </c>
      <c r="M651">
        <f>VLOOKUP(Demand_Data___Hourly_OverviewSearch_1_csv[[#This Row],[Date]],Supply_Data___Hourly_DriverActivity_1_csv__3[#All],6,FALSE)</f>
        <v>0.5</v>
      </c>
      <c r="N651">
        <f>VLOOKUP(Demand_Data___Hourly_OverviewSearch_1_csv[[#This Row],[Date]],Supply_Data___Hourly_DriverActivity_1_csv__3[#All],7,FALSE)</f>
        <v>0.37</v>
      </c>
      <c r="O651">
        <f>VLOOKUP(Demand_Data___Hourly_OverviewSearch_1_csv[[#This Row],[Date]],Supply_Data___Hourly_DriverActivity_1_csv__3[#All],8,FALSE)</f>
        <v>11</v>
      </c>
      <c r="P651">
        <f>(Demand_Data___Hourly_OverviewSearch_1_csv[[#This Row],[People saw 0 cars (unique)]]+Demand_Data___Hourly_OverviewSearch_1_csv[[#This Row],[People saw +1 cars (unique)]])</f>
        <v>35</v>
      </c>
      <c r="Q651" s="143">
        <f t="shared" si="43"/>
        <v>26</v>
      </c>
    </row>
    <row r="652" spans="1:17" x14ac:dyDescent="0.3">
      <c r="A652" t="s">
        <v>659</v>
      </c>
      <c r="B652" t="str">
        <f t="shared" si="40"/>
        <v xml:space="preserve"> 20</v>
      </c>
      <c r="C652">
        <f t="shared" si="41"/>
        <v>1</v>
      </c>
      <c r="D652" t="str">
        <f t="shared" si="42"/>
        <v xml:space="preserve">2016-11-21 </v>
      </c>
      <c r="E652" t="str">
        <f>TEXT(Demand_Data___Hourly_OverviewSearch_1_csv[[#This Row],[Day]],"dddd")</f>
        <v>Sunday</v>
      </c>
      <c r="F652">
        <v>0</v>
      </c>
      <c r="G652">
        <v>32</v>
      </c>
      <c r="H652">
        <v>100</v>
      </c>
      <c r="I652">
        <f>VLOOKUP(Demand_Data___Hourly_OverviewSearch_1_csv[[#This Row],[Date]],Supply_Data___Hourly_DriverActivity_1_csv__3[#All],2,FALSE)</f>
        <v>86</v>
      </c>
      <c r="J652">
        <f>VLOOKUP(Demand_Data___Hourly_OverviewSearch_1_csv[[#This Row],[Date]],Supply_Data___Hourly_DriverActivity_1_csv__3[#All],3,FALSE)</f>
        <v>36</v>
      </c>
      <c r="K652">
        <f>VLOOKUP(Demand_Data___Hourly_OverviewSearch_1_csv[[#This Row],[Date]],Supply_Data___Hourly_DriverActivity_1_csv__3[#All],4,FALSE)</f>
        <v>6</v>
      </c>
      <c r="L652">
        <f>VLOOKUP(Demand_Data___Hourly_OverviewSearch_1_csv[[#This Row],[Date]],Supply_Data___Hourly_DriverActivity_1_csv__3[#All],5,FALSE)</f>
        <v>30</v>
      </c>
      <c r="M652">
        <f>VLOOKUP(Demand_Data___Hourly_OverviewSearch_1_csv[[#This Row],[Date]],Supply_Data___Hourly_DriverActivity_1_csv__3[#All],6,FALSE)</f>
        <v>0.4</v>
      </c>
      <c r="N652">
        <f>VLOOKUP(Demand_Data___Hourly_OverviewSearch_1_csv[[#This Row],[Date]],Supply_Data___Hourly_DriverActivity_1_csv__3[#All],7,FALSE)</f>
        <v>0.28000000000000003</v>
      </c>
      <c r="O652">
        <f>VLOOKUP(Demand_Data___Hourly_OverviewSearch_1_csv[[#This Row],[Date]],Supply_Data___Hourly_DriverActivity_1_csv__3[#All],8,FALSE)</f>
        <v>10</v>
      </c>
      <c r="P652">
        <f>(Demand_Data___Hourly_OverviewSearch_1_csv[[#This Row],[People saw 0 cars (unique)]]+Demand_Data___Hourly_OverviewSearch_1_csv[[#This Row],[People saw +1 cars (unique)]])</f>
        <v>32</v>
      </c>
      <c r="Q652" s="143">
        <f t="shared" si="43"/>
        <v>30</v>
      </c>
    </row>
    <row r="653" spans="1:17" x14ac:dyDescent="0.3">
      <c r="A653" t="s">
        <v>660</v>
      </c>
      <c r="B653" t="str">
        <f t="shared" si="40"/>
        <v xml:space="preserve"> 19</v>
      </c>
      <c r="C653">
        <f t="shared" si="41"/>
        <v>1</v>
      </c>
      <c r="D653" t="str">
        <f t="shared" si="42"/>
        <v xml:space="preserve">2016-11-21 </v>
      </c>
      <c r="E653" t="str">
        <f>TEXT(Demand_Data___Hourly_OverviewSearch_1_csv[[#This Row],[Day]],"dddd")</f>
        <v>Sunday</v>
      </c>
      <c r="F653">
        <v>8</v>
      </c>
      <c r="G653">
        <v>44</v>
      </c>
      <c r="H653">
        <v>85</v>
      </c>
      <c r="I653">
        <f>VLOOKUP(Demand_Data___Hourly_OverviewSearch_1_csv[[#This Row],[Date]],Supply_Data___Hourly_DriverActivity_1_csv__3[#All],2,FALSE)</f>
        <v>88</v>
      </c>
      <c r="J653">
        <f>VLOOKUP(Demand_Data___Hourly_OverviewSearch_1_csv[[#This Row],[Date]],Supply_Data___Hourly_DriverActivity_1_csv__3[#All],3,FALSE)</f>
        <v>33</v>
      </c>
      <c r="K653">
        <f>VLOOKUP(Demand_Data___Hourly_OverviewSearch_1_csv[[#This Row],[Date]],Supply_Data___Hourly_DriverActivity_1_csv__3[#All],4,FALSE)</f>
        <v>11</v>
      </c>
      <c r="L653">
        <f>VLOOKUP(Demand_Data___Hourly_OverviewSearch_1_csv[[#This Row],[Date]],Supply_Data___Hourly_DriverActivity_1_csv__3[#All],5,FALSE)</f>
        <v>22</v>
      </c>
      <c r="M653">
        <f>VLOOKUP(Demand_Data___Hourly_OverviewSearch_1_csv[[#This Row],[Date]],Supply_Data___Hourly_DriverActivity_1_csv__3[#All],6,FALSE)</f>
        <v>0.4</v>
      </c>
      <c r="N653">
        <f>VLOOKUP(Demand_Data___Hourly_OverviewSearch_1_csv[[#This Row],[Date]],Supply_Data___Hourly_DriverActivity_1_csv__3[#All],7,FALSE)</f>
        <v>0.48</v>
      </c>
      <c r="O653">
        <f>VLOOKUP(Demand_Data___Hourly_OverviewSearch_1_csv[[#This Row],[Date]],Supply_Data___Hourly_DriverActivity_1_csv__3[#All],8,FALSE)</f>
        <v>16</v>
      </c>
      <c r="P653">
        <f>(Demand_Data___Hourly_OverviewSearch_1_csv[[#This Row],[People saw 0 cars (unique)]]+Demand_Data___Hourly_OverviewSearch_1_csv[[#This Row],[People saw +1 cars (unique)]])</f>
        <v>52</v>
      </c>
      <c r="Q653" s="143">
        <f t="shared" si="43"/>
        <v>22</v>
      </c>
    </row>
    <row r="654" spans="1:17" x14ac:dyDescent="0.3">
      <c r="A654" t="s">
        <v>661</v>
      </c>
      <c r="B654" t="str">
        <f t="shared" si="40"/>
        <v xml:space="preserve"> 18</v>
      </c>
      <c r="C654">
        <f t="shared" si="41"/>
        <v>1</v>
      </c>
      <c r="D654" t="str">
        <f t="shared" si="42"/>
        <v xml:space="preserve">2016-11-21 </v>
      </c>
      <c r="E654" t="str">
        <f>TEXT(Demand_Data___Hourly_OverviewSearch_1_csv[[#This Row],[Day]],"dddd")</f>
        <v>Sunday</v>
      </c>
      <c r="F654">
        <v>9</v>
      </c>
      <c r="G654">
        <v>56</v>
      </c>
      <c r="H654">
        <v>86</v>
      </c>
      <c r="I654">
        <f>VLOOKUP(Demand_Data___Hourly_OverviewSearch_1_csv[[#This Row],[Date]],Supply_Data___Hourly_DriverActivity_1_csv__3[#All],2,FALSE)</f>
        <v>81</v>
      </c>
      <c r="J654">
        <f>VLOOKUP(Demand_Data___Hourly_OverviewSearch_1_csv[[#This Row],[Date]],Supply_Data___Hourly_DriverActivity_1_csv__3[#All],3,FALSE)</f>
        <v>30</v>
      </c>
      <c r="K654">
        <f>VLOOKUP(Demand_Data___Hourly_OverviewSearch_1_csv[[#This Row],[Date]],Supply_Data___Hourly_DriverActivity_1_csv__3[#All],4,FALSE)</f>
        <v>16</v>
      </c>
      <c r="L654">
        <f>VLOOKUP(Demand_Data___Hourly_OverviewSearch_1_csv[[#This Row],[Date]],Supply_Data___Hourly_DriverActivity_1_csv__3[#All],5,FALSE)</f>
        <v>14</v>
      </c>
      <c r="M654">
        <f>VLOOKUP(Demand_Data___Hourly_OverviewSearch_1_csv[[#This Row],[Date]],Supply_Data___Hourly_DriverActivity_1_csv__3[#All],6,FALSE)</f>
        <v>0.4</v>
      </c>
      <c r="N654">
        <f>VLOOKUP(Demand_Data___Hourly_OverviewSearch_1_csv[[#This Row],[Date]],Supply_Data___Hourly_DriverActivity_1_csv__3[#All],7,FALSE)</f>
        <v>1.03</v>
      </c>
      <c r="O654">
        <f>VLOOKUP(Demand_Data___Hourly_OverviewSearch_1_csv[[#This Row],[Date]],Supply_Data___Hourly_DriverActivity_1_csv__3[#All],8,FALSE)</f>
        <v>31</v>
      </c>
      <c r="P654">
        <f>(Demand_Data___Hourly_OverviewSearch_1_csv[[#This Row],[People saw 0 cars (unique)]]+Demand_Data___Hourly_OverviewSearch_1_csv[[#This Row],[People saw +1 cars (unique)]])</f>
        <v>65</v>
      </c>
      <c r="Q654" s="143">
        <f t="shared" si="43"/>
        <v>14</v>
      </c>
    </row>
    <row r="655" spans="1:17" x14ac:dyDescent="0.3">
      <c r="A655" t="s">
        <v>662</v>
      </c>
      <c r="B655" t="str">
        <f t="shared" si="40"/>
        <v xml:space="preserve"> 17</v>
      </c>
      <c r="C655">
        <f t="shared" si="41"/>
        <v>1</v>
      </c>
      <c r="D655" t="str">
        <f t="shared" si="42"/>
        <v xml:space="preserve">2016-11-21 </v>
      </c>
      <c r="E655" t="str">
        <f>TEXT(Demand_Data___Hourly_OverviewSearch_1_csv[[#This Row],[Day]],"dddd")</f>
        <v>Sunday</v>
      </c>
      <c r="F655">
        <v>0</v>
      </c>
      <c r="G655">
        <v>30</v>
      </c>
      <c r="H655">
        <v>100</v>
      </c>
      <c r="I655">
        <f>VLOOKUP(Demand_Data___Hourly_OverviewSearch_1_csv[[#This Row],[Date]],Supply_Data___Hourly_DriverActivity_1_csv__3[#All],2,FALSE)</f>
        <v>77</v>
      </c>
      <c r="J655">
        <f>VLOOKUP(Demand_Data___Hourly_OverviewSearch_1_csv[[#This Row],[Date]],Supply_Data___Hourly_DriverActivity_1_csv__3[#All],3,FALSE)</f>
        <v>30</v>
      </c>
      <c r="K655">
        <f>VLOOKUP(Demand_Data___Hourly_OverviewSearch_1_csv[[#This Row],[Date]],Supply_Data___Hourly_DriverActivity_1_csv__3[#All],4,FALSE)</f>
        <v>4</v>
      </c>
      <c r="L655">
        <f>VLOOKUP(Demand_Data___Hourly_OverviewSearch_1_csv[[#This Row],[Date]],Supply_Data___Hourly_DriverActivity_1_csv__3[#All],5,FALSE)</f>
        <v>25</v>
      </c>
      <c r="M655">
        <f>VLOOKUP(Demand_Data___Hourly_OverviewSearch_1_csv[[#This Row],[Date]],Supply_Data___Hourly_DriverActivity_1_csv__3[#All],6,FALSE)</f>
        <v>0.4</v>
      </c>
      <c r="N655">
        <f>VLOOKUP(Demand_Data___Hourly_OverviewSearch_1_csv[[#This Row],[Date]],Supply_Data___Hourly_DriverActivity_1_csv__3[#All],7,FALSE)</f>
        <v>0.33</v>
      </c>
      <c r="O655">
        <f>VLOOKUP(Demand_Data___Hourly_OverviewSearch_1_csv[[#This Row],[Date]],Supply_Data___Hourly_DriverActivity_1_csv__3[#All],8,FALSE)</f>
        <v>10</v>
      </c>
      <c r="P655">
        <f>(Demand_Data___Hourly_OverviewSearch_1_csv[[#This Row],[People saw 0 cars (unique)]]+Demand_Data___Hourly_OverviewSearch_1_csv[[#This Row],[People saw +1 cars (unique)]])</f>
        <v>30</v>
      </c>
      <c r="Q655" s="143">
        <f t="shared" si="43"/>
        <v>26</v>
      </c>
    </row>
    <row r="656" spans="1:17" x14ac:dyDescent="0.3">
      <c r="A656" t="s">
        <v>663</v>
      </c>
      <c r="B656" t="str">
        <f t="shared" si="40"/>
        <v xml:space="preserve"> 16</v>
      </c>
      <c r="C656">
        <f t="shared" si="41"/>
        <v>1</v>
      </c>
      <c r="D656" t="str">
        <f t="shared" si="42"/>
        <v xml:space="preserve">2016-11-21 </v>
      </c>
      <c r="E656" t="str">
        <f>TEXT(Demand_Data___Hourly_OverviewSearch_1_csv[[#This Row],[Day]],"dddd")</f>
        <v>Sunday</v>
      </c>
      <c r="F656">
        <v>2</v>
      </c>
      <c r="G656">
        <v>21</v>
      </c>
      <c r="H656">
        <v>91</v>
      </c>
      <c r="I656">
        <f>VLOOKUP(Demand_Data___Hourly_OverviewSearch_1_csv[[#This Row],[Date]],Supply_Data___Hourly_DriverActivity_1_csv__3[#All],2,FALSE)</f>
        <v>75</v>
      </c>
      <c r="J656">
        <f>VLOOKUP(Demand_Data___Hourly_OverviewSearch_1_csv[[#This Row],[Date]],Supply_Data___Hourly_DriverActivity_1_csv__3[#All],3,FALSE)</f>
        <v>26</v>
      </c>
      <c r="K656">
        <f>VLOOKUP(Demand_Data___Hourly_OverviewSearch_1_csv[[#This Row],[Date]],Supply_Data___Hourly_DriverActivity_1_csv__3[#All],4,FALSE)</f>
        <v>3</v>
      </c>
      <c r="L656">
        <f>VLOOKUP(Demand_Data___Hourly_OverviewSearch_1_csv[[#This Row],[Date]],Supply_Data___Hourly_DriverActivity_1_csv__3[#All],5,FALSE)</f>
        <v>23</v>
      </c>
      <c r="M656">
        <f>VLOOKUP(Demand_Data___Hourly_OverviewSearch_1_csv[[#This Row],[Date]],Supply_Data___Hourly_DriverActivity_1_csv__3[#All],6,FALSE)</f>
        <v>0.3</v>
      </c>
      <c r="N656">
        <f>VLOOKUP(Demand_Data___Hourly_OverviewSearch_1_csv[[#This Row],[Date]],Supply_Data___Hourly_DriverActivity_1_csv__3[#All],7,FALSE)</f>
        <v>0.23</v>
      </c>
      <c r="O656">
        <f>VLOOKUP(Demand_Data___Hourly_OverviewSearch_1_csv[[#This Row],[Date]],Supply_Data___Hourly_DriverActivity_1_csv__3[#All],8,FALSE)</f>
        <v>6</v>
      </c>
      <c r="P656">
        <f>(Demand_Data___Hourly_OverviewSearch_1_csv[[#This Row],[People saw 0 cars (unique)]]+Demand_Data___Hourly_OverviewSearch_1_csv[[#This Row],[People saw +1 cars (unique)]])</f>
        <v>23</v>
      </c>
      <c r="Q656" s="143">
        <f t="shared" si="43"/>
        <v>23</v>
      </c>
    </row>
    <row r="657" spans="1:17" x14ac:dyDescent="0.3">
      <c r="A657" t="s">
        <v>664</v>
      </c>
      <c r="B657" t="str">
        <f t="shared" si="40"/>
        <v xml:space="preserve"> 15</v>
      </c>
      <c r="C657">
        <f t="shared" si="41"/>
        <v>1</v>
      </c>
      <c r="D657" t="str">
        <f t="shared" si="42"/>
        <v xml:space="preserve">2016-11-21 </v>
      </c>
      <c r="E657" t="str">
        <f>TEXT(Demand_Data___Hourly_OverviewSearch_1_csv[[#This Row],[Day]],"dddd")</f>
        <v>Sunday</v>
      </c>
      <c r="F657">
        <v>5</v>
      </c>
      <c r="G657">
        <v>19</v>
      </c>
      <c r="H657">
        <v>79</v>
      </c>
      <c r="I657">
        <f>VLOOKUP(Demand_Data___Hourly_OverviewSearch_1_csv[[#This Row],[Date]],Supply_Data___Hourly_DriverActivity_1_csv__3[#All],2,FALSE)</f>
        <v>65</v>
      </c>
      <c r="J657">
        <f>VLOOKUP(Demand_Data___Hourly_OverviewSearch_1_csv[[#This Row],[Date]],Supply_Data___Hourly_DriverActivity_1_csv__3[#All],3,FALSE)</f>
        <v>22</v>
      </c>
      <c r="K657">
        <f>VLOOKUP(Demand_Data___Hourly_OverviewSearch_1_csv[[#This Row],[Date]],Supply_Data___Hourly_DriverActivity_1_csv__3[#All],4,FALSE)</f>
        <v>4</v>
      </c>
      <c r="L657">
        <f>VLOOKUP(Demand_Data___Hourly_OverviewSearch_1_csv[[#This Row],[Date]],Supply_Data___Hourly_DriverActivity_1_csv__3[#All],5,FALSE)</f>
        <v>18</v>
      </c>
      <c r="M657">
        <f>VLOOKUP(Demand_Data___Hourly_OverviewSearch_1_csv[[#This Row],[Date]],Supply_Data___Hourly_DriverActivity_1_csv__3[#All],6,FALSE)</f>
        <v>0.3</v>
      </c>
      <c r="N657">
        <f>VLOOKUP(Demand_Data___Hourly_OverviewSearch_1_csv[[#This Row],[Date]],Supply_Data___Hourly_DriverActivity_1_csv__3[#All],7,FALSE)</f>
        <v>0.27</v>
      </c>
      <c r="O657">
        <f>VLOOKUP(Demand_Data___Hourly_OverviewSearch_1_csv[[#This Row],[Date]],Supply_Data___Hourly_DriverActivity_1_csv__3[#All],8,FALSE)</f>
        <v>6</v>
      </c>
      <c r="P657">
        <f>(Demand_Data___Hourly_OverviewSearch_1_csv[[#This Row],[People saw 0 cars (unique)]]+Demand_Data___Hourly_OverviewSearch_1_csv[[#This Row],[People saw +1 cars (unique)]])</f>
        <v>24</v>
      </c>
      <c r="Q657" s="143">
        <f t="shared" si="43"/>
        <v>18</v>
      </c>
    </row>
    <row r="658" spans="1:17" x14ac:dyDescent="0.3">
      <c r="A658" t="s">
        <v>665</v>
      </c>
      <c r="B658" t="str">
        <f t="shared" si="40"/>
        <v xml:space="preserve"> 14</v>
      </c>
      <c r="C658">
        <f t="shared" si="41"/>
        <v>1</v>
      </c>
      <c r="D658" t="str">
        <f t="shared" si="42"/>
        <v xml:space="preserve">2016-11-21 </v>
      </c>
      <c r="E658" t="str">
        <f>TEXT(Demand_Data___Hourly_OverviewSearch_1_csv[[#This Row],[Day]],"dddd")</f>
        <v>Sunday</v>
      </c>
      <c r="F658">
        <v>4</v>
      </c>
      <c r="G658">
        <v>21</v>
      </c>
      <c r="H658">
        <v>84</v>
      </c>
      <c r="I658">
        <f>VLOOKUP(Demand_Data___Hourly_OverviewSearch_1_csv[[#This Row],[Date]],Supply_Data___Hourly_DriverActivity_1_csv__3[#All],2,FALSE)</f>
        <v>62</v>
      </c>
      <c r="J658">
        <f>VLOOKUP(Demand_Data___Hourly_OverviewSearch_1_csv[[#This Row],[Date]],Supply_Data___Hourly_DriverActivity_1_csv__3[#All],3,FALSE)</f>
        <v>17</v>
      </c>
      <c r="K658">
        <f>VLOOKUP(Demand_Data___Hourly_OverviewSearch_1_csv[[#This Row],[Date]],Supply_Data___Hourly_DriverActivity_1_csv__3[#All],4,FALSE)</f>
        <v>1</v>
      </c>
      <c r="L658">
        <f>VLOOKUP(Demand_Data___Hourly_OverviewSearch_1_csv[[#This Row],[Date]],Supply_Data___Hourly_DriverActivity_1_csv__3[#All],5,FALSE)</f>
        <v>16</v>
      </c>
      <c r="M658">
        <f>VLOOKUP(Demand_Data___Hourly_OverviewSearch_1_csv[[#This Row],[Date]],Supply_Data___Hourly_DriverActivity_1_csv__3[#All],6,FALSE)</f>
        <v>0.3</v>
      </c>
      <c r="N658">
        <f>VLOOKUP(Demand_Data___Hourly_OverviewSearch_1_csv[[#This Row],[Date]],Supply_Data___Hourly_DriverActivity_1_csv__3[#All],7,FALSE)</f>
        <v>0.35</v>
      </c>
      <c r="O658">
        <f>VLOOKUP(Demand_Data___Hourly_OverviewSearch_1_csv[[#This Row],[Date]],Supply_Data___Hourly_DriverActivity_1_csv__3[#All],8,FALSE)</f>
        <v>6</v>
      </c>
      <c r="P658">
        <f>(Demand_Data___Hourly_OverviewSearch_1_csv[[#This Row],[People saw 0 cars (unique)]]+Demand_Data___Hourly_OverviewSearch_1_csv[[#This Row],[People saw +1 cars (unique)]])</f>
        <v>25</v>
      </c>
      <c r="Q658" s="143">
        <f t="shared" si="43"/>
        <v>16</v>
      </c>
    </row>
    <row r="659" spans="1:17" x14ac:dyDescent="0.3">
      <c r="A659" t="s">
        <v>666</v>
      </c>
      <c r="B659" t="str">
        <f t="shared" si="40"/>
        <v xml:space="preserve"> 13</v>
      </c>
      <c r="C659">
        <f t="shared" si="41"/>
        <v>1</v>
      </c>
      <c r="D659" t="str">
        <f t="shared" si="42"/>
        <v xml:space="preserve">2016-11-21 </v>
      </c>
      <c r="E659" t="str">
        <f>TEXT(Demand_Data___Hourly_OverviewSearch_1_csv[[#This Row],[Day]],"dddd")</f>
        <v>Sunday</v>
      </c>
      <c r="F659">
        <v>3</v>
      </c>
      <c r="G659">
        <v>15</v>
      </c>
      <c r="H659">
        <v>83</v>
      </c>
      <c r="I659">
        <f>VLOOKUP(Demand_Data___Hourly_OverviewSearch_1_csv[[#This Row],[Date]],Supply_Data___Hourly_DriverActivity_1_csv__3[#All],2,FALSE)</f>
        <v>53</v>
      </c>
      <c r="J659">
        <f>VLOOKUP(Demand_Data___Hourly_OverviewSearch_1_csv[[#This Row],[Date]],Supply_Data___Hourly_DriverActivity_1_csv__3[#All],3,FALSE)</f>
        <v>19</v>
      </c>
      <c r="K659">
        <f>VLOOKUP(Demand_Data___Hourly_OverviewSearch_1_csv[[#This Row],[Date]],Supply_Data___Hourly_DriverActivity_1_csv__3[#All],4,FALSE)</f>
        <v>4</v>
      </c>
      <c r="L659">
        <f>VLOOKUP(Demand_Data___Hourly_OverviewSearch_1_csv[[#This Row],[Date]],Supply_Data___Hourly_DriverActivity_1_csv__3[#All],5,FALSE)</f>
        <v>15</v>
      </c>
      <c r="M659">
        <f>VLOOKUP(Demand_Data___Hourly_OverviewSearch_1_csv[[#This Row],[Date]],Supply_Data___Hourly_DriverActivity_1_csv__3[#All],6,FALSE)</f>
        <v>0.4</v>
      </c>
      <c r="N659">
        <f>VLOOKUP(Demand_Data___Hourly_OverviewSearch_1_csv[[#This Row],[Date]],Supply_Data___Hourly_DriverActivity_1_csv__3[#All],7,FALSE)</f>
        <v>0.37</v>
      </c>
      <c r="O659">
        <f>VLOOKUP(Demand_Data___Hourly_OverviewSearch_1_csv[[#This Row],[Date]],Supply_Data___Hourly_DriverActivity_1_csv__3[#All],8,FALSE)</f>
        <v>7</v>
      </c>
      <c r="P659">
        <f>(Demand_Data___Hourly_OverviewSearch_1_csv[[#This Row],[People saw 0 cars (unique)]]+Demand_Data___Hourly_OverviewSearch_1_csv[[#This Row],[People saw +1 cars (unique)]])</f>
        <v>18</v>
      </c>
      <c r="Q659" s="143">
        <f t="shared" si="43"/>
        <v>15</v>
      </c>
    </row>
    <row r="660" spans="1:17" x14ac:dyDescent="0.3">
      <c r="A660" t="s">
        <v>667</v>
      </c>
      <c r="B660" t="str">
        <f t="shared" si="40"/>
        <v xml:space="preserve"> 12</v>
      </c>
      <c r="C660">
        <f t="shared" si="41"/>
        <v>1</v>
      </c>
      <c r="D660" t="str">
        <f t="shared" si="42"/>
        <v xml:space="preserve">2016-11-21 </v>
      </c>
      <c r="E660" t="str">
        <f>TEXT(Demand_Data___Hourly_OverviewSearch_1_csv[[#This Row],[Day]],"dddd")</f>
        <v>Sunday</v>
      </c>
      <c r="F660">
        <v>4</v>
      </c>
      <c r="G660">
        <v>27</v>
      </c>
      <c r="H660">
        <v>87</v>
      </c>
      <c r="I660">
        <f>VLOOKUP(Demand_Data___Hourly_OverviewSearch_1_csv[[#This Row],[Date]],Supply_Data___Hourly_DriverActivity_1_csv__3[#All],2,FALSE)</f>
        <v>61</v>
      </c>
      <c r="J660">
        <f>VLOOKUP(Demand_Data___Hourly_OverviewSearch_1_csv[[#This Row],[Date]],Supply_Data___Hourly_DriverActivity_1_csv__3[#All],3,FALSE)</f>
        <v>20</v>
      </c>
      <c r="K660">
        <f>VLOOKUP(Demand_Data___Hourly_OverviewSearch_1_csv[[#This Row],[Date]],Supply_Data___Hourly_DriverActivity_1_csv__3[#All],4,FALSE)</f>
        <v>4</v>
      </c>
      <c r="L660">
        <f>VLOOKUP(Demand_Data___Hourly_OverviewSearch_1_csv[[#This Row],[Date]],Supply_Data___Hourly_DriverActivity_1_csv__3[#All],5,FALSE)</f>
        <v>16</v>
      </c>
      <c r="M660">
        <f>VLOOKUP(Demand_Data___Hourly_OverviewSearch_1_csv[[#This Row],[Date]],Supply_Data___Hourly_DriverActivity_1_csv__3[#All],6,FALSE)</f>
        <v>0.3</v>
      </c>
      <c r="N660">
        <f>VLOOKUP(Demand_Data___Hourly_OverviewSearch_1_csv[[#This Row],[Date]],Supply_Data___Hourly_DriverActivity_1_csv__3[#All],7,FALSE)</f>
        <v>0.45</v>
      </c>
      <c r="O660">
        <f>VLOOKUP(Demand_Data___Hourly_OverviewSearch_1_csv[[#This Row],[Date]],Supply_Data___Hourly_DriverActivity_1_csv__3[#All],8,FALSE)</f>
        <v>9</v>
      </c>
      <c r="P660">
        <f>(Demand_Data___Hourly_OverviewSearch_1_csv[[#This Row],[People saw 0 cars (unique)]]+Demand_Data___Hourly_OverviewSearch_1_csv[[#This Row],[People saw +1 cars (unique)]])</f>
        <v>31</v>
      </c>
      <c r="Q660" s="143">
        <f t="shared" si="43"/>
        <v>16</v>
      </c>
    </row>
    <row r="661" spans="1:17" x14ac:dyDescent="0.3">
      <c r="A661" t="s">
        <v>668</v>
      </c>
      <c r="B661" t="str">
        <f t="shared" si="40"/>
        <v xml:space="preserve"> 11</v>
      </c>
      <c r="C661">
        <f t="shared" si="41"/>
        <v>1</v>
      </c>
      <c r="D661" t="str">
        <f t="shared" si="42"/>
        <v xml:space="preserve">2016-11-21 </v>
      </c>
      <c r="E661" t="str">
        <f>TEXT(Demand_Data___Hourly_OverviewSearch_1_csv[[#This Row],[Day]],"dddd")</f>
        <v>Sunday</v>
      </c>
      <c r="F661">
        <v>0</v>
      </c>
      <c r="G661">
        <v>25</v>
      </c>
      <c r="H661">
        <v>100</v>
      </c>
      <c r="I661">
        <f>VLOOKUP(Demand_Data___Hourly_OverviewSearch_1_csv[[#This Row],[Date]],Supply_Data___Hourly_DriverActivity_1_csv__3[#All],2,FALSE)</f>
        <v>54</v>
      </c>
      <c r="J661">
        <f>VLOOKUP(Demand_Data___Hourly_OverviewSearch_1_csv[[#This Row],[Date]],Supply_Data___Hourly_DriverActivity_1_csv__3[#All],3,FALSE)</f>
        <v>23</v>
      </c>
      <c r="K661">
        <f>VLOOKUP(Demand_Data___Hourly_OverviewSearch_1_csv[[#This Row],[Date]],Supply_Data___Hourly_DriverActivity_1_csv__3[#All],4,FALSE)</f>
        <v>4</v>
      </c>
      <c r="L661">
        <f>VLOOKUP(Demand_Data___Hourly_OverviewSearch_1_csv[[#This Row],[Date]],Supply_Data___Hourly_DriverActivity_1_csv__3[#All],5,FALSE)</f>
        <v>19</v>
      </c>
      <c r="M661">
        <f>VLOOKUP(Demand_Data___Hourly_OverviewSearch_1_csv[[#This Row],[Date]],Supply_Data___Hourly_DriverActivity_1_csv__3[#All],6,FALSE)</f>
        <v>0.4</v>
      </c>
      <c r="N661">
        <f>VLOOKUP(Demand_Data___Hourly_OverviewSearch_1_csv[[#This Row],[Date]],Supply_Data___Hourly_DriverActivity_1_csv__3[#All],7,FALSE)</f>
        <v>0.26</v>
      </c>
      <c r="O661">
        <f>VLOOKUP(Demand_Data___Hourly_OverviewSearch_1_csv[[#This Row],[Date]],Supply_Data___Hourly_DriverActivity_1_csv__3[#All],8,FALSE)</f>
        <v>6</v>
      </c>
      <c r="P661">
        <f>(Demand_Data___Hourly_OverviewSearch_1_csv[[#This Row],[People saw 0 cars (unique)]]+Demand_Data___Hourly_OverviewSearch_1_csv[[#This Row],[People saw +1 cars (unique)]])</f>
        <v>25</v>
      </c>
      <c r="Q661" s="143">
        <f t="shared" si="43"/>
        <v>19</v>
      </c>
    </row>
    <row r="662" spans="1:17" x14ac:dyDescent="0.3">
      <c r="A662" t="s">
        <v>669</v>
      </c>
      <c r="B662" t="str">
        <f t="shared" si="40"/>
        <v xml:space="preserve"> 10</v>
      </c>
      <c r="C662">
        <f t="shared" si="41"/>
        <v>1</v>
      </c>
      <c r="D662" t="str">
        <f t="shared" si="42"/>
        <v xml:space="preserve">2016-11-21 </v>
      </c>
      <c r="E662" t="str">
        <f>TEXT(Demand_Data___Hourly_OverviewSearch_1_csv[[#This Row],[Day]],"dddd")</f>
        <v>Sunday</v>
      </c>
      <c r="F662">
        <v>16</v>
      </c>
      <c r="G662">
        <v>46</v>
      </c>
      <c r="H662">
        <v>74</v>
      </c>
      <c r="I662">
        <f>VLOOKUP(Demand_Data___Hourly_OverviewSearch_1_csv[[#This Row],[Date]],Supply_Data___Hourly_DriverActivity_1_csv__3[#All],2,FALSE)</f>
        <v>63</v>
      </c>
      <c r="J662">
        <f>VLOOKUP(Demand_Data___Hourly_OverviewSearch_1_csv[[#This Row],[Date]],Supply_Data___Hourly_DriverActivity_1_csv__3[#All],3,FALSE)</f>
        <v>26</v>
      </c>
      <c r="K662">
        <f>VLOOKUP(Demand_Data___Hourly_OverviewSearch_1_csv[[#This Row],[Date]],Supply_Data___Hourly_DriverActivity_1_csv__3[#All],4,FALSE)</f>
        <v>8</v>
      </c>
      <c r="L662">
        <f>VLOOKUP(Demand_Data___Hourly_OverviewSearch_1_csv[[#This Row],[Date]],Supply_Data___Hourly_DriverActivity_1_csv__3[#All],5,FALSE)</f>
        <v>18</v>
      </c>
      <c r="M662">
        <f>VLOOKUP(Demand_Data___Hourly_OverviewSearch_1_csv[[#This Row],[Date]],Supply_Data___Hourly_DriverActivity_1_csv__3[#All],6,FALSE)</f>
        <v>0.4</v>
      </c>
      <c r="N662">
        <f>VLOOKUP(Demand_Data___Hourly_OverviewSearch_1_csv[[#This Row],[Date]],Supply_Data___Hourly_DriverActivity_1_csv__3[#All],7,FALSE)</f>
        <v>0.65</v>
      </c>
      <c r="O662">
        <f>VLOOKUP(Demand_Data___Hourly_OverviewSearch_1_csv[[#This Row],[Date]],Supply_Data___Hourly_DriverActivity_1_csv__3[#All],8,FALSE)</f>
        <v>17</v>
      </c>
      <c r="P662">
        <f>(Demand_Data___Hourly_OverviewSearch_1_csv[[#This Row],[People saw 0 cars (unique)]]+Demand_Data___Hourly_OverviewSearch_1_csv[[#This Row],[People saw +1 cars (unique)]])</f>
        <v>62</v>
      </c>
      <c r="Q662" s="143">
        <f t="shared" si="43"/>
        <v>18</v>
      </c>
    </row>
    <row r="663" spans="1:17" x14ac:dyDescent="0.3">
      <c r="A663" t="s">
        <v>670</v>
      </c>
      <c r="B663" t="str">
        <f t="shared" si="40"/>
        <v xml:space="preserve"> 09</v>
      </c>
      <c r="C663">
        <f t="shared" si="41"/>
        <v>1</v>
      </c>
      <c r="D663" t="str">
        <f t="shared" si="42"/>
        <v xml:space="preserve">2016-11-21 </v>
      </c>
      <c r="E663" t="str">
        <f>TEXT(Demand_Data___Hourly_OverviewSearch_1_csv[[#This Row],[Day]],"dddd")</f>
        <v>Sunday</v>
      </c>
      <c r="F663">
        <v>32</v>
      </c>
      <c r="G663">
        <v>48</v>
      </c>
      <c r="H663">
        <v>60</v>
      </c>
      <c r="I663">
        <f>VLOOKUP(Demand_Data___Hourly_OverviewSearch_1_csv[[#This Row],[Date]],Supply_Data___Hourly_DriverActivity_1_csv__3[#All],2,FALSE)</f>
        <v>53</v>
      </c>
      <c r="J663">
        <f>VLOOKUP(Demand_Data___Hourly_OverviewSearch_1_csv[[#This Row],[Date]],Supply_Data___Hourly_DriverActivity_1_csv__3[#All],3,FALSE)</f>
        <v>22</v>
      </c>
      <c r="K663">
        <f>VLOOKUP(Demand_Data___Hourly_OverviewSearch_1_csv[[#This Row],[Date]],Supply_Data___Hourly_DriverActivity_1_csv__3[#All],4,FALSE)</f>
        <v>13</v>
      </c>
      <c r="L663">
        <f>VLOOKUP(Demand_Data___Hourly_OverviewSearch_1_csv[[#This Row],[Date]],Supply_Data___Hourly_DriverActivity_1_csv__3[#All],5,FALSE)</f>
        <v>9</v>
      </c>
      <c r="M663">
        <f>VLOOKUP(Demand_Data___Hourly_OverviewSearch_1_csv[[#This Row],[Date]],Supply_Data___Hourly_DriverActivity_1_csv__3[#All],6,FALSE)</f>
        <v>0.4</v>
      </c>
      <c r="N663">
        <f>VLOOKUP(Demand_Data___Hourly_OverviewSearch_1_csv[[#This Row],[Date]],Supply_Data___Hourly_DriverActivity_1_csv__3[#All],7,FALSE)</f>
        <v>1.18</v>
      </c>
      <c r="O663">
        <f>VLOOKUP(Demand_Data___Hourly_OverviewSearch_1_csv[[#This Row],[Date]],Supply_Data___Hourly_DriverActivity_1_csv__3[#All],8,FALSE)</f>
        <v>26</v>
      </c>
      <c r="P663">
        <f>(Demand_Data___Hourly_OverviewSearch_1_csv[[#This Row],[People saw 0 cars (unique)]]+Demand_Data___Hourly_OverviewSearch_1_csv[[#This Row],[People saw +1 cars (unique)]])</f>
        <v>80</v>
      </c>
      <c r="Q663" s="143">
        <f t="shared" si="43"/>
        <v>9</v>
      </c>
    </row>
    <row r="664" spans="1:17" x14ac:dyDescent="0.3">
      <c r="A664" t="s">
        <v>671</v>
      </c>
      <c r="B664" t="str">
        <f t="shared" si="40"/>
        <v xml:space="preserve"> 08</v>
      </c>
      <c r="C664">
        <f t="shared" si="41"/>
        <v>1</v>
      </c>
      <c r="D664" t="str">
        <f t="shared" si="42"/>
        <v xml:space="preserve">2016-11-21 </v>
      </c>
      <c r="E664" t="str">
        <f>TEXT(Demand_Data___Hourly_OverviewSearch_1_csv[[#This Row],[Day]],"dddd")</f>
        <v>Sunday</v>
      </c>
      <c r="F664">
        <v>50</v>
      </c>
      <c r="G664">
        <v>37</v>
      </c>
      <c r="H664">
        <v>43</v>
      </c>
      <c r="I664">
        <f>VLOOKUP(Demand_Data___Hourly_OverviewSearch_1_csv[[#This Row],[Date]],Supply_Data___Hourly_DriverActivity_1_csv__3[#All],2,FALSE)</f>
        <v>42</v>
      </c>
      <c r="J664">
        <f>VLOOKUP(Demand_Data___Hourly_OverviewSearch_1_csv[[#This Row],[Date]],Supply_Data___Hourly_DriverActivity_1_csv__3[#All],3,FALSE)</f>
        <v>16</v>
      </c>
      <c r="K664">
        <f>VLOOKUP(Demand_Data___Hourly_OverviewSearch_1_csv[[#This Row],[Date]],Supply_Data___Hourly_DriverActivity_1_csv__3[#All],4,FALSE)</f>
        <v>11</v>
      </c>
      <c r="L664">
        <f>VLOOKUP(Demand_Data___Hourly_OverviewSearch_1_csv[[#This Row],[Date]],Supply_Data___Hourly_DriverActivity_1_csv__3[#All],5,FALSE)</f>
        <v>4</v>
      </c>
      <c r="M664">
        <f>VLOOKUP(Demand_Data___Hourly_OverviewSearch_1_csv[[#This Row],[Date]],Supply_Data___Hourly_DriverActivity_1_csv__3[#All],6,FALSE)</f>
        <v>0.4</v>
      </c>
      <c r="N664">
        <f>VLOOKUP(Demand_Data___Hourly_OverviewSearch_1_csv[[#This Row],[Date]],Supply_Data___Hourly_DriverActivity_1_csv__3[#All],7,FALSE)</f>
        <v>1.25</v>
      </c>
      <c r="O664">
        <f>VLOOKUP(Demand_Data___Hourly_OverviewSearch_1_csv[[#This Row],[Date]],Supply_Data___Hourly_DriverActivity_1_csv__3[#All],8,FALSE)</f>
        <v>20</v>
      </c>
      <c r="P664">
        <f>(Demand_Data___Hourly_OverviewSearch_1_csv[[#This Row],[People saw 0 cars (unique)]]+Demand_Data___Hourly_OverviewSearch_1_csv[[#This Row],[People saw +1 cars (unique)]])</f>
        <v>87</v>
      </c>
      <c r="Q664" s="143">
        <f t="shared" si="43"/>
        <v>5</v>
      </c>
    </row>
    <row r="665" spans="1:17" x14ac:dyDescent="0.3">
      <c r="A665" t="s">
        <v>672</v>
      </c>
      <c r="B665" t="str">
        <f t="shared" si="40"/>
        <v xml:space="preserve"> 07</v>
      </c>
      <c r="C665">
        <f t="shared" si="41"/>
        <v>1</v>
      </c>
      <c r="D665" t="str">
        <f t="shared" si="42"/>
        <v xml:space="preserve">2016-11-21 </v>
      </c>
      <c r="E665" t="str">
        <f>TEXT(Demand_Data___Hourly_OverviewSearch_1_csv[[#This Row],[Day]],"dddd")</f>
        <v>Sunday</v>
      </c>
      <c r="F665">
        <v>22</v>
      </c>
      <c r="G665">
        <v>17</v>
      </c>
      <c r="H665">
        <v>44</v>
      </c>
      <c r="I665">
        <f>VLOOKUP(Demand_Data___Hourly_OverviewSearch_1_csv[[#This Row],[Date]],Supply_Data___Hourly_DriverActivity_1_csv__3[#All],2,FALSE)</f>
        <v>34</v>
      </c>
      <c r="J665">
        <f>VLOOKUP(Demand_Data___Hourly_OverviewSearch_1_csv[[#This Row],[Date]],Supply_Data___Hourly_DriverActivity_1_csv__3[#All],3,FALSE)</f>
        <v>10</v>
      </c>
      <c r="K665">
        <f>VLOOKUP(Demand_Data___Hourly_OverviewSearch_1_csv[[#This Row],[Date]],Supply_Data___Hourly_DriverActivity_1_csv__3[#All],4,FALSE)</f>
        <v>6</v>
      </c>
      <c r="L665">
        <f>VLOOKUP(Demand_Data___Hourly_OverviewSearch_1_csv[[#This Row],[Date]],Supply_Data___Hourly_DriverActivity_1_csv__3[#All],5,FALSE)</f>
        <v>4</v>
      </c>
      <c r="M665">
        <f>VLOOKUP(Demand_Data___Hourly_OverviewSearch_1_csv[[#This Row],[Date]],Supply_Data___Hourly_DriverActivity_1_csv__3[#All],6,FALSE)</f>
        <v>0.3</v>
      </c>
      <c r="N665">
        <f>VLOOKUP(Demand_Data___Hourly_OverviewSearch_1_csv[[#This Row],[Date]],Supply_Data___Hourly_DriverActivity_1_csv__3[#All],7,FALSE)</f>
        <v>1.1000000000000001</v>
      </c>
      <c r="O665">
        <f>VLOOKUP(Demand_Data___Hourly_OverviewSearch_1_csv[[#This Row],[Date]],Supply_Data___Hourly_DriverActivity_1_csv__3[#All],8,FALSE)</f>
        <v>11</v>
      </c>
      <c r="P665">
        <f>(Demand_Data___Hourly_OverviewSearch_1_csv[[#This Row],[People saw 0 cars (unique)]]+Demand_Data___Hourly_OverviewSearch_1_csv[[#This Row],[People saw +1 cars (unique)]])</f>
        <v>39</v>
      </c>
      <c r="Q665" s="143">
        <f t="shared" si="43"/>
        <v>4</v>
      </c>
    </row>
    <row r="666" spans="1:17" x14ac:dyDescent="0.3">
      <c r="A666" t="s">
        <v>673</v>
      </c>
      <c r="B666" t="str">
        <f t="shared" si="40"/>
        <v xml:space="preserve"> 06</v>
      </c>
      <c r="C666">
        <f t="shared" si="41"/>
        <v>1</v>
      </c>
      <c r="D666" t="str">
        <f t="shared" si="42"/>
        <v xml:space="preserve">2016-11-21 </v>
      </c>
      <c r="E666" t="str">
        <f>TEXT(Demand_Data___Hourly_OverviewSearch_1_csv[[#This Row],[Day]],"dddd")</f>
        <v>Sunday</v>
      </c>
      <c r="F666">
        <v>8</v>
      </c>
      <c r="G666">
        <v>5</v>
      </c>
      <c r="H666">
        <v>38</v>
      </c>
      <c r="I666">
        <f>VLOOKUP(Demand_Data___Hourly_OverviewSearch_1_csv[[#This Row],[Date]],Supply_Data___Hourly_DriverActivity_1_csv__3[#All],2,FALSE)</f>
        <v>17</v>
      </c>
      <c r="J666">
        <f>VLOOKUP(Demand_Data___Hourly_OverviewSearch_1_csv[[#This Row],[Date]],Supply_Data___Hourly_DriverActivity_1_csv__3[#All],3,FALSE)</f>
        <v>4</v>
      </c>
      <c r="K666">
        <f>VLOOKUP(Demand_Data___Hourly_OverviewSearch_1_csv[[#This Row],[Date]],Supply_Data___Hourly_DriverActivity_1_csv__3[#All],4,FALSE)</f>
        <v>0</v>
      </c>
      <c r="L666">
        <f>VLOOKUP(Demand_Data___Hourly_OverviewSearch_1_csv[[#This Row],[Date]],Supply_Data___Hourly_DriverActivity_1_csv__3[#All],5,FALSE)</f>
        <v>4</v>
      </c>
      <c r="M666">
        <f>VLOOKUP(Demand_Data___Hourly_OverviewSearch_1_csv[[#This Row],[Date]],Supply_Data___Hourly_DriverActivity_1_csv__3[#All],6,FALSE)</f>
        <v>0.2</v>
      </c>
      <c r="N666">
        <f>VLOOKUP(Demand_Data___Hourly_OverviewSearch_1_csv[[#This Row],[Date]],Supply_Data___Hourly_DriverActivity_1_csv__3[#All],7,FALSE)</f>
        <v>0.25</v>
      </c>
      <c r="O666">
        <f>VLOOKUP(Demand_Data___Hourly_OverviewSearch_1_csv[[#This Row],[Date]],Supply_Data___Hourly_DriverActivity_1_csv__3[#All],8,FALSE)</f>
        <v>1</v>
      </c>
      <c r="P666">
        <f>(Demand_Data___Hourly_OverviewSearch_1_csv[[#This Row],[People saw 0 cars (unique)]]+Demand_Data___Hourly_OverviewSearch_1_csv[[#This Row],[People saw +1 cars (unique)]])</f>
        <v>13</v>
      </c>
      <c r="Q666" s="143">
        <f t="shared" si="43"/>
        <v>4</v>
      </c>
    </row>
    <row r="667" spans="1:17" x14ac:dyDescent="0.3">
      <c r="A667" t="s">
        <v>674</v>
      </c>
      <c r="B667" t="str">
        <f t="shared" si="40"/>
        <v xml:space="preserve"> 05</v>
      </c>
      <c r="C667">
        <f t="shared" si="41"/>
        <v>1</v>
      </c>
      <c r="D667" t="str">
        <f t="shared" si="42"/>
        <v xml:space="preserve">2016-11-21 </v>
      </c>
      <c r="E667" t="str">
        <f>TEXT(Demand_Data___Hourly_OverviewSearch_1_csv[[#This Row],[Day]],"dddd")</f>
        <v>Sunday</v>
      </c>
      <c r="F667">
        <v>2</v>
      </c>
      <c r="G667">
        <v>3</v>
      </c>
      <c r="H667">
        <v>60</v>
      </c>
      <c r="I667">
        <f>VLOOKUP(Demand_Data___Hourly_OverviewSearch_1_csv[[#This Row],[Date]],Supply_Data___Hourly_DriverActivity_1_csv__3[#All],2,FALSE)</f>
        <v>13</v>
      </c>
      <c r="J667">
        <f>VLOOKUP(Demand_Data___Hourly_OverviewSearch_1_csv[[#This Row],[Date]],Supply_Data___Hourly_DriverActivity_1_csv__3[#All],3,FALSE)</f>
        <v>4</v>
      </c>
      <c r="K667">
        <f>VLOOKUP(Demand_Data___Hourly_OverviewSearch_1_csv[[#This Row],[Date]],Supply_Data___Hourly_DriverActivity_1_csv__3[#All],4,FALSE)</f>
        <v>1</v>
      </c>
      <c r="L667">
        <f>VLOOKUP(Demand_Data___Hourly_OverviewSearch_1_csv[[#This Row],[Date]],Supply_Data___Hourly_DriverActivity_1_csv__3[#All],5,FALSE)</f>
        <v>3</v>
      </c>
      <c r="M667">
        <f>VLOOKUP(Demand_Data___Hourly_OverviewSearch_1_csv[[#This Row],[Date]],Supply_Data___Hourly_DriverActivity_1_csv__3[#All],6,FALSE)</f>
        <v>0.3</v>
      </c>
      <c r="N667">
        <f>VLOOKUP(Demand_Data___Hourly_OverviewSearch_1_csv[[#This Row],[Date]],Supply_Data___Hourly_DriverActivity_1_csv__3[#All],7,FALSE)</f>
        <v>0.25</v>
      </c>
      <c r="O667">
        <f>VLOOKUP(Demand_Data___Hourly_OverviewSearch_1_csv[[#This Row],[Date]],Supply_Data___Hourly_DriverActivity_1_csv__3[#All],8,FALSE)</f>
        <v>1</v>
      </c>
      <c r="P667">
        <f>(Demand_Data___Hourly_OverviewSearch_1_csv[[#This Row],[People saw 0 cars (unique)]]+Demand_Data___Hourly_OverviewSearch_1_csv[[#This Row],[People saw +1 cars (unique)]])</f>
        <v>5</v>
      </c>
      <c r="Q667" s="143">
        <f t="shared" si="43"/>
        <v>3</v>
      </c>
    </row>
    <row r="668" spans="1:17" x14ac:dyDescent="0.3">
      <c r="A668" t="s">
        <v>675</v>
      </c>
      <c r="B668" t="str">
        <f t="shared" si="40"/>
        <v xml:space="preserve"> 04</v>
      </c>
      <c r="C668">
        <f t="shared" si="41"/>
        <v>1</v>
      </c>
      <c r="D668" t="str">
        <f t="shared" si="42"/>
        <v xml:space="preserve">2016-11-21 </v>
      </c>
      <c r="E668" t="str">
        <f>TEXT(Demand_Data___Hourly_OverviewSearch_1_csv[[#This Row],[Day]],"dddd")</f>
        <v>Sunday</v>
      </c>
      <c r="F668">
        <v>2</v>
      </c>
      <c r="G668">
        <v>5</v>
      </c>
      <c r="H668">
        <v>71</v>
      </c>
      <c r="I668">
        <f>VLOOKUP(Demand_Data___Hourly_OverviewSearch_1_csv[[#This Row],[Date]],Supply_Data___Hourly_DriverActivity_1_csv__3[#All],2,FALSE)</f>
        <v>12</v>
      </c>
      <c r="J668">
        <f>VLOOKUP(Demand_Data___Hourly_OverviewSearch_1_csv[[#This Row],[Date]],Supply_Data___Hourly_DriverActivity_1_csv__3[#All],3,FALSE)</f>
        <v>6</v>
      </c>
      <c r="K668">
        <f>VLOOKUP(Demand_Data___Hourly_OverviewSearch_1_csv[[#This Row],[Date]],Supply_Data___Hourly_DriverActivity_1_csv__3[#All],4,FALSE)</f>
        <v>1</v>
      </c>
      <c r="L668">
        <f>VLOOKUP(Demand_Data___Hourly_OverviewSearch_1_csv[[#This Row],[Date]],Supply_Data___Hourly_DriverActivity_1_csv__3[#All],5,FALSE)</f>
        <v>5</v>
      </c>
      <c r="M668">
        <f>VLOOKUP(Demand_Data___Hourly_OverviewSearch_1_csv[[#This Row],[Date]],Supply_Data___Hourly_DriverActivity_1_csv__3[#All],6,FALSE)</f>
        <v>0.5</v>
      </c>
      <c r="N668">
        <f>VLOOKUP(Demand_Data___Hourly_OverviewSearch_1_csv[[#This Row],[Date]],Supply_Data___Hourly_DriverActivity_1_csv__3[#All],7,FALSE)</f>
        <v>0.5</v>
      </c>
      <c r="O668">
        <f>VLOOKUP(Demand_Data___Hourly_OverviewSearch_1_csv[[#This Row],[Date]],Supply_Data___Hourly_DriverActivity_1_csv__3[#All],8,FALSE)</f>
        <v>3</v>
      </c>
      <c r="P668">
        <f>(Demand_Data___Hourly_OverviewSearch_1_csv[[#This Row],[People saw 0 cars (unique)]]+Demand_Data___Hourly_OverviewSearch_1_csv[[#This Row],[People saw +1 cars (unique)]])</f>
        <v>7</v>
      </c>
      <c r="Q668" s="143">
        <f t="shared" si="43"/>
        <v>5</v>
      </c>
    </row>
    <row r="669" spans="1:17" x14ac:dyDescent="0.3">
      <c r="A669" t="s">
        <v>676</v>
      </c>
      <c r="B669" t="str">
        <f t="shared" si="40"/>
        <v xml:space="preserve"> 03</v>
      </c>
      <c r="C669">
        <f t="shared" si="41"/>
        <v>1</v>
      </c>
      <c r="D669" t="str">
        <f t="shared" si="42"/>
        <v xml:space="preserve">2016-11-21 </v>
      </c>
      <c r="E669" t="str">
        <f>TEXT(Demand_Data___Hourly_OverviewSearch_1_csv[[#This Row],[Day]],"dddd")</f>
        <v>Sunday</v>
      </c>
      <c r="F669">
        <v>6</v>
      </c>
      <c r="G669">
        <v>4</v>
      </c>
      <c r="H669">
        <v>40</v>
      </c>
      <c r="I669">
        <f>VLOOKUP(Demand_Data___Hourly_OverviewSearch_1_csv[[#This Row],[Date]],Supply_Data___Hourly_DriverActivity_1_csv__3[#All],2,FALSE)</f>
        <v>15</v>
      </c>
      <c r="J669">
        <f>VLOOKUP(Demand_Data___Hourly_OverviewSearch_1_csv[[#This Row],[Date]],Supply_Data___Hourly_DriverActivity_1_csv__3[#All],3,FALSE)</f>
        <v>5</v>
      </c>
      <c r="K669">
        <f>VLOOKUP(Demand_Data___Hourly_OverviewSearch_1_csv[[#This Row],[Date]],Supply_Data___Hourly_DriverActivity_1_csv__3[#All],4,FALSE)</f>
        <v>1</v>
      </c>
      <c r="L669">
        <f>VLOOKUP(Demand_Data___Hourly_OverviewSearch_1_csv[[#This Row],[Date]],Supply_Data___Hourly_DriverActivity_1_csv__3[#All],5,FALSE)</f>
        <v>4</v>
      </c>
      <c r="M669">
        <f>VLOOKUP(Demand_Data___Hourly_OverviewSearch_1_csv[[#This Row],[Date]],Supply_Data___Hourly_DriverActivity_1_csv__3[#All],6,FALSE)</f>
        <v>0.3</v>
      </c>
      <c r="N669">
        <f>VLOOKUP(Demand_Data___Hourly_OverviewSearch_1_csv[[#This Row],[Date]],Supply_Data___Hourly_DriverActivity_1_csv__3[#All],7,FALSE)</f>
        <v>0.2</v>
      </c>
      <c r="O669">
        <f>VLOOKUP(Demand_Data___Hourly_OverviewSearch_1_csv[[#This Row],[Date]],Supply_Data___Hourly_DriverActivity_1_csv__3[#All],8,FALSE)</f>
        <v>1</v>
      </c>
      <c r="P669">
        <f>(Demand_Data___Hourly_OverviewSearch_1_csv[[#This Row],[People saw 0 cars (unique)]]+Demand_Data___Hourly_OverviewSearch_1_csv[[#This Row],[People saw +1 cars (unique)]])</f>
        <v>10</v>
      </c>
      <c r="Q669" s="143">
        <f t="shared" si="43"/>
        <v>4</v>
      </c>
    </row>
    <row r="670" spans="1:17" x14ac:dyDescent="0.3">
      <c r="A670" t="s">
        <v>677</v>
      </c>
      <c r="B670" t="str">
        <f t="shared" si="40"/>
        <v xml:space="preserve"> 02</v>
      </c>
      <c r="C670">
        <f t="shared" si="41"/>
        <v>1</v>
      </c>
      <c r="D670" t="str">
        <f t="shared" si="42"/>
        <v xml:space="preserve">2016-11-21 </v>
      </c>
      <c r="E670" t="str">
        <f>TEXT(Demand_Data___Hourly_OverviewSearch_1_csv[[#This Row],[Day]],"dddd")</f>
        <v>Sunday</v>
      </c>
      <c r="F670">
        <v>4</v>
      </c>
      <c r="G670">
        <v>10</v>
      </c>
      <c r="H670">
        <v>71</v>
      </c>
      <c r="I670">
        <f>VLOOKUP(Demand_Data___Hourly_OverviewSearch_1_csv[[#This Row],[Date]],Supply_Data___Hourly_DriverActivity_1_csv__3[#All],2,FALSE)</f>
        <v>20</v>
      </c>
      <c r="J670">
        <f>VLOOKUP(Demand_Data___Hourly_OverviewSearch_1_csv[[#This Row],[Date]],Supply_Data___Hourly_DriverActivity_1_csv__3[#All],3,FALSE)</f>
        <v>7</v>
      </c>
      <c r="K670">
        <f>VLOOKUP(Demand_Data___Hourly_OverviewSearch_1_csv[[#This Row],[Date]],Supply_Data___Hourly_DriverActivity_1_csv__3[#All],4,FALSE)</f>
        <v>1</v>
      </c>
      <c r="L670">
        <f>VLOOKUP(Demand_Data___Hourly_OverviewSearch_1_csv[[#This Row],[Date]],Supply_Data___Hourly_DriverActivity_1_csv__3[#All],5,FALSE)</f>
        <v>6</v>
      </c>
      <c r="M670">
        <f>VLOOKUP(Demand_Data___Hourly_OverviewSearch_1_csv[[#This Row],[Date]],Supply_Data___Hourly_DriverActivity_1_csv__3[#All],6,FALSE)</f>
        <v>0.3</v>
      </c>
      <c r="N670">
        <f>VLOOKUP(Demand_Data___Hourly_OverviewSearch_1_csv[[#This Row],[Date]],Supply_Data___Hourly_DriverActivity_1_csv__3[#All],7,FALSE)</f>
        <v>0.56999999999999995</v>
      </c>
      <c r="O670">
        <f>VLOOKUP(Demand_Data___Hourly_OverviewSearch_1_csv[[#This Row],[Date]],Supply_Data___Hourly_DriverActivity_1_csv__3[#All],8,FALSE)</f>
        <v>4</v>
      </c>
      <c r="P670">
        <f>(Demand_Data___Hourly_OverviewSearch_1_csv[[#This Row],[People saw 0 cars (unique)]]+Demand_Data___Hourly_OverviewSearch_1_csv[[#This Row],[People saw +1 cars (unique)]])</f>
        <v>14</v>
      </c>
      <c r="Q670" s="143">
        <f t="shared" si="43"/>
        <v>6</v>
      </c>
    </row>
    <row r="671" spans="1:17" x14ac:dyDescent="0.3">
      <c r="A671" t="s">
        <v>678</v>
      </c>
      <c r="B671" t="str">
        <f t="shared" si="40"/>
        <v xml:space="preserve"> 01</v>
      </c>
      <c r="C671">
        <f t="shared" si="41"/>
        <v>1</v>
      </c>
      <c r="D671" t="str">
        <f t="shared" si="42"/>
        <v xml:space="preserve">2016-11-21 </v>
      </c>
      <c r="E671" t="str">
        <f>TEXT(Demand_Data___Hourly_OverviewSearch_1_csv[[#This Row],[Day]],"dddd")</f>
        <v>Sunday</v>
      </c>
      <c r="F671">
        <v>4</v>
      </c>
      <c r="G671">
        <v>11</v>
      </c>
      <c r="H671">
        <v>73</v>
      </c>
      <c r="I671">
        <f>VLOOKUP(Demand_Data___Hourly_OverviewSearch_1_csv[[#This Row],[Date]],Supply_Data___Hourly_DriverActivity_1_csv__3[#All],2,FALSE)</f>
        <v>28</v>
      </c>
      <c r="J671">
        <f>VLOOKUP(Demand_Data___Hourly_OverviewSearch_1_csv[[#This Row],[Date]],Supply_Data___Hourly_DriverActivity_1_csv__3[#All],3,FALSE)</f>
        <v>10</v>
      </c>
      <c r="K671">
        <f>VLOOKUP(Demand_Data___Hourly_OverviewSearch_1_csv[[#This Row],[Date]],Supply_Data___Hourly_DriverActivity_1_csv__3[#All],4,FALSE)</f>
        <v>2</v>
      </c>
      <c r="L671">
        <f>VLOOKUP(Demand_Data___Hourly_OverviewSearch_1_csv[[#This Row],[Date]],Supply_Data___Hourly_DriverActivity_1_csv__3[#All],5,FALSE)</f>
        <v>9</v>
      </c>
      <c r="M671">
        <f>VLOOKUP(Demand_Data___Hourly_OverviewSearch_1_csv[[#This Row],[Date]],Supply_Data___Hourly_DriverActivity_1_csv__3[#All],6,FALSE)</f>
        <v>0.4</v>
      </c>
      <c r="N671">
        <f>VLOOKUP(Demand_Data___Hourly_OverviewSearch_1_csv[[#This Row],[Date]],Supply_Data___Hourly_DriverActivity_1_csv__3[#All],7,FALSE)</f>
        <v>0.3</v>
      </c>
      <c r="O671">
        <f>VLOOKUP(Demand_Data___Hourly_OverviewSearch_1_csv[[#This Row],[Date]],Supply_Data___Hourly_DriverActivity_1_csv__3[#All],8,FALSE)</f>
        <v>3</v>
      </c>
      <c r="P671">
        <f>(Demand_Data___Hourly_OverviewSearch_1_csv[[#This Row],[People saw 0 cars (unique)]]+Demand_Data___Hourly_OverviewSearch_1_csv[[#This Row],[People saw +1 cars (unique)]])</f>
        <v>15</v>
      </c>
      <c r="Q671" s="143">
        <f t="shared" si="43"/>
        <v>8</v>
      </c>
    </row>
    <row r="672" spans="1:17" x14ac:dyDescent="0.3">
      <c r="A672" t="s">
        <v>679</v>
      </c>
      <c r="B672" t="str">
        <f t="shared" si="40"/>
        <v xml:space="preserve"> 00</v>
      </c>
      <c r="C672">
        <f t="shared" si="41"/>
        <v>1</v>
      </c>
      <c r="D672" t="str">
        <f t="shared" si="42"/>
        <v xml:space="preserve">2016-11-21 </v>
      </c>
      <c r="E672" t="str">
        <f>TEXT(Demand_Data___Hourly_OverviewSearch_1_csv[[#This Row],[Day]],"dddd")</f>
        <v>Sunday</v>
      </c>
      <c r="F672">
        <v>6</v>
      </c>
      <c r="G672">
        <v>22</v>
      </c>
      <c r="H672">
        <v>79</v>
      </c>
      <c r="I672">
        <f>VLOOKUP(Demand_Data___Hourly_OverviewSearch_1_csv[[#This Row],[Date]],Supply_Data___Hourly_DriverActivity_1_csv__3[#All],2,FALSE)</f>
        <v>41</v>
      </c>
      <c r="J672">
        <f>VLOOKUP(Demand_Data___Hourly_OverviewSearch_1_csv[[#This Row],[Date]],Supply_Data___Hourly_DriverActivity_1_csv__3[#All],3,FALSE)</f>
        <v>16</v>
      </c>
      <c r="K672">
        <f>VLOOKUP(Demand_Data___Hourly_OverviewSearch_1_csv[[#This Row],[Date]],Supply_Data___Hourly_DriverActivity_1_csv__3[#All],4,FALSE)</f>
        <v>2</v>
      </c>
      <c r="L672">
        <f>VLOOKUP(Demand_Data___Hourly_OverviewSearch_1_csv[[#This Row],[Date]],Supply_Data___Hourly_DriverActivity_1_csv__3[#All],5,FALSE)</f>
        <v>13</v>
      </c>
      <c r="M672">
        <f>VLOOKUP(Demand_Data___Hourly_OverviewSearch_1_csv[[#This Row],[Date]],Supply_Data___Hourly_DriverActivity_1_csv__3[#All],6,FALSE)</f>
        <v>0.4</v>
      </c>
      <c r="N672">
        <f>VLOOKUP(Demand_Data___Hourly_OverviewSearch_1_csv[[#This Row],[Date]],Supply_Data___Hourly_DriverActivity_1_csv__3[#All],7,FALSE)</f>
        <v>0.38</v>
      </c>
      <c r="O672">
        <f>VLOOKUP(Demand_Data___Hourly_OverviewSearch_1_csv[[#This Row],[Date]],Supply_Data___Hourly_DriverActivity_1_csv__3[#All],8,FALSE)</f>
        <v>6</v>
      </c>
      <c r="P672">
        <f>(Demand_Data___Hourly_OverviewSearch_1_csv[[#This Row],[People saw 0 cars (unique)]]+Demand_Data___Hourly_OverviewSearch_1_csv[[#This Row],[People saw +1 cars (unique)]])</f>
        <v>28</v>
      </c>
      <c r="Q672" s="143">
        <f t="shared" si="43"/>
        <v>14</v>
      </c>
    </row>
    <row r="673" spans="1:17" x14ac:dyDescent="0.3">
      <c r="A673" t="s">
        <v>680</v>
      </c>
      <c r="B673" t="str">
        <f t="shared" si="40"/>
        <v xml:space="preserve"> 23</v>
      </c>
      <c r="C673">
        <f t="shared" si="41"/>
        <v>7</v>
      </c>
      <c r="D673" t="str">
        <f t="shared" si="42"/>
        <v xml:space="preserve">2016-11-20 </v>
      </c>
      <c r="E673" t="str">
        <f>TEXT(Demand_Data___Hourly_OverviewSearch_1_csv[[#This Row],[Day]],"dddd")</f>
        <v>Saturday</v>
      </c>
      <c r="F673">
        <v>0</v>
      </c>
      <c r="G673">
        <v>41</v>
      </c>
      <c r="H673">
        <v>100</v>
      </c>
      <c r="I673">
        <f>VLOOKUP(Demand_Data___Hourly_OverviewSearch_1_csv[[#This Row],[Date]],Supply_Data___Hourly_DriverActivity_1_csv__3[#All],2,FALSE)</f>
        <v>54</v>
      </c>
      <c r="J673">
        <f>VLOOKUP(Demand_Data___Hourly_OverviewSearch_1_csv[[#This Row],[Date]],Supply_Data___Hourly_DriverActivity_1_csv__3[#All],3,FALSE)</f>
        <v>20</v>
      </c>
      <c r="K673">
        <f>VLOOKUP(Demand_Data___Hourly_OverviewSearch_1_csv[[#This Row],[Date]],Supply_Data___Hourly_DriverActivity_1_csv__3[#All],4,FALSE)</f>
        <v>5</v>
      </c>
      <c r="L673">
        <f>VLOOKUP(Demand_Data___Hourly_OverviewSearch_1_csv[[#This Row],[Date]],Supply_Data___Hourly_DriverActivity_1_csv__3[#All],5,FALSE)</f>
        <v>16</v>
      </c>
      <c r="M673">
        <f>VLOOKUP(Demand_Data___Hourly_OverviewSearch_1_csv[[#This Row],[Date]],Supply_Data___Hourly_DriverActivity_1_csv__3[#All],6,FALSE)</f>
        <v>0.4</v>
      </c>
      <c r="N673">
        <f>VLOOKUP(Demand_Data___Hourly_OverviewSearch_1_csv[[#This Row],[Date]],Supply_Data___Hourly_DriverActivity_1_csv__3[#All],7,FALSE)</f>
        <v>0.5</v>
      </c>
      <c r="O673">
        <f>VLOOKUP(Demand_Data___Hourly_OverviewSearch_1_csv[[#This Row],[Date]],Supply_Data___Hourly_DriverActivity_1_csv__3[#All],8,FALSE)</f>
        <v>10</v>
      </c>
      <c r="P673">
        <f>(Demand_Data___Hourly_OverviewSearch_1_csv[[#This Row],[People saw 0 cars (unique)]]+Demand_Data___Hourly_OverviewSearch_1_csv[[#This Row],[People saw +1 cars (unique)]])</f>
        <v>41</v>
      </c>
      <c r="Q673" s="143">
        <f t="shared" si="43"/>
        <v>15</v>
      </c>
    </row>
    <row r="674" spans="1:17" x14ac:dyDescent="0.3">
      <c r="A674" t="s">
        <v>681</v>
      </c>
      <c r="B674" t="str">
        <f t="shared" si="40"/>
        <v xml:space="preserve"> 22</v>
      </c>
      <c r="C674">
        <f t="shared" si="41"/>
        <v>7</v>
      </c>
      <c r="D674" t="str">
        <f t="shared" si="42"/>
        <v xml:space="preserve">2016-11-20 </v>
      </c>
      <c r="E674" t="str">
        <f>TEXT(Demand_Data___Hourly_OverviewSearch_1_csv[[#This Row],[Day]],"dddd")</f>
        <v>Saturday</v>
      </c>
      <c r="F674">
        <v>3</v>
      </c>
      <c r="G674">
        <v>40</v>
      </c>
      <c r="H674">
        <v>93</v>
      </c>
      <c r="I674">
        <f>VLOOKUP(Demand_Data___Hourly_OverviewSearch_1_csv[[#This Row],[Date]],Supply_Data___Hourly_DriverActivity_1_csv__3[#All],2,FALSE)</f>
        <v>68</v>
      </c>
      <c r="J674">
        <f>VLOOKUP(Demand_Data___Hourly_OverviewSearch_1_csv[[#This Row],[Date]],Supply_Data___Hourly_DriverActivity_1_csv__3[#All],3,FALSE)</f>
        <v>23</v>
      </c>
      <c r="K674">
        <f>VLOOKUP(Demand_Data___Hourly_OverviewSearch_1_csv[[#This Row],[Date]],Supply_Data___Hourly_DriverActivity_1_csv__3[#All],4,FALSE)</f>
        <v>3</v>
      </c>
      <c r="L674">
        <f>VLOOKUP(Demand_Data___Hourly_OverviewSearch_1_csv[[#This Row],[Date]],Supply_Data___Hourly_DriverActivity_1_csv__3[#All],5,FALSE)</f>
        <v>20</v>
      </c>
      <c r="M674">
        <f>VLOOKUP(Demand_Data___Hourly_OverviewSearch_1_csv[[#This Row],[Date]],Supply_Data___Hourly_DriverActivity_1_csv__3[#All],6,FALSE)</f>
        <v>0.3</v>
      </c>
      <c r="N674">
        <f>VLOOKUP(Demand_Data___Hourly_OverviewSearch_1_csv[[#This Row],[Date]],Supply_Data___Hourly_DriverActivity_1_csv__3[#All],7,FALSE)</f>
        <v>0.43</v>
      </c>
      <c r="O674">
        <f>VLOOKUP(Demand_Data___Hourly_OverviewSearch_1_csv[[#This Row],[Date]],Supply_Data___Hourly_DriverActivity_1_csv__3[#All],8,FALSE)</f>
        <v>10</v>
      </c>
      <c r="P674">
        <f>(Demand_Data___Hourly_OverviewSearch_1_csv[[#This Row],[People saw 0 cars (unique)]]+Demand_Data___Hourly_OverviewSearch_1_csv[[#This Row],[People saw +1 cars (unique)]])</f>
        <v>43</v>
      </c>
      <c r="Q674" s="143">
        <f t="shared" si="43"/>
        <v>20</v>
      </c>
    </row>
    <row r="675" spans="1:17" x14ac:dyDescent="0.3">
      <c r="A675" t="s">
        <v>682</v>
      </c>
      <c r="B675" t="str">
        <f t="shared" si="40"/>
        <v xml:space="preserve"> 21</v>
      </c>
      <c r="C675">
        <f t="shared" si="41"/>
        <v>7</v>
      </c>
      <c r="D675" t="str">
        <f t="shared" si="42"/>
        <v xml:space="preserve">2016-11-20 </v>
      </c>
      <c r="E675" t="str">
        <f>TEXT(Demand_Data___Hourly_OverviewSearch_1_csv[[#This Row],[Day]],"dddd")</f>
        <v>Saturday</v>
      </c>
      <c r="F675">
        <v>1</v>
      </c>
      <c r="G675">
        <v>25</v>
      </c>
      <c r="H675">
        <v>96</v>
      </c>
      <c r="I675">
        <f>VLOOKUP(Demand_Data___Hourly_OverviewSearch_1_csv[[#This Row],[Date]],Supply_Data___Hourly_DriverActivity_1_csv__3[#All],2,FALSE)</f>
        <v>77</v>
      </c>
      <c r="J675">
        <f>VLOOKUP(Demand_Data___Hourly_OverviewSearch_1_csv[[#This Row],[Date]],Supply_Data___Hourly_DriverActivity_1_csv__3[#All],3,FALSE)</f>
        <v>27</v>
      </c>
      <c r="K675">
        <f>VLOOKUP(Demand_Data___Hourly_OverviewSearch_1_csv[[#This Row],[Date]],Supply_Data___Hourly_DriverActivity_1_csv__3[#All],4,FALSE)</f>
        <v>3</v>
      </c>
      <c r="L675">
        <f>VLOOKUP(Demand_Data___Hourly_OverviewSearch_1_csv[[#This Row],[Date]],Supply_Data___Hourly_DriverActivity_1_csv__3[#All],5,FALSE)</f>
        <v>25</v>
      </c>
      <c r="M675">
        <f>VLOOKUP(Demand_Data___Hourly_OverviewSearch_1_csv[[#This Row],[Date]],Supply_Data___Hourly_DriverActivity_1_csv__3[#All],6,FALSE)</f>
        <v>0.4</v>
      </c>
      <c r="N675">
        <f>VLOOKUP(Demand_Data___Hourly_OverviewSearch_1_csv[[#This Row],[Date]],Supply_Data___Hourly_DriverActivity_1_csv__3[#All],7,FALSE)</f>
        <v>0.37</v>
      </c>
      <c r="O675">
        <f>VLOOKUP(Demand_Data___Hourly_OverviewSearch_1_csv[[#This Row],[Date]],Supply_Data___Hourly_DriverActivity_1_csv__3[#All],8,FALSE)</f>
        <v>10</v>
      </c>
      <c r="P675">
        <f>(Demand_Data___Hourly_OverviewSearch_1_csv[[#This Row],[People saw 0 cars (unique)]]+Demand_Data___Hourly_OverviewSearch_1_csv[[#This Row],[People saw +1 cars (unique)]])</f>
        <v>26</v>
      </c>
      <c r="Q675" s="143">
        <f t="shared" si="43"/>
        <v>24</v>
      </c>
    </row>
    <row r="676" spans="1:17" x14ac:dyDescent="0.3">
      <c r="A676" t="s">
        <v>683</v>
      </c>
      <c r="B676" t="str">
        <f t="shared" si="40"/>
        <v xml:space="preserve"> 20</v>
      </c>
      <c r="C676">
        <f t="shared" si="41"/>
        <v>7</v>
      </c>
      <c r="D676" t="str">
        <f t="shared" si="42"/>
        <v xml:space="preserve">2016-11-20 </v>
      </c>
      <c r="E676" t="str">
        <f>TEXT(Demand_Data___Hourly_OverviewSearch_1_csv[[#This Row],[Day]],"dddd")</f>
        <v>Saturday</v>
      </c>
      <c r="F676">
        <v>3</v>
      </c>
      <c r="G676">
        <v>43</v>
      </c>
      <c r="H676">
        <v>93</v>
      </c>
      <c r="I676">
        <f>VLOOKUP(Demand_Data___Hourly_OverviewSearch_1_csv[[#This Row],[Date]],Supply_Data___Hourly_DriverActivity_1_csv__3[#All],2,FALSE)</f>
        <v>87</v>
      </c>
      <c r="J676">
        <f>VLOOKUP(Demand_Data___Hourly_OverviewSearch_1_csv[[#This Row],[Date]],Supply_Data___Hourly_DriverActivity_1_csv__3[#All],3,FALSE)</f>
        <v>39</v>
      </c>
      <c r="K676">
        <f>VLOOKUP(Demand_Data___Hourly_OverviewSearch_1_csv[[#This Row],[Date]],Supply_Data___Hourly_DriverActivity_1_csv__3[#All],4,FALSE)</f>
        <v>6</v>
      </c>
      <c r="L676">
        <f>VLOOKUP(Demand_Data___Hourly_OverviewSearch_1_csv[[#This Row],[Date]],Supply_Data___Hourly_DriverActivity_1_csv__3[#All],5,FALSE)</f>
        <v>34</v>
      </c>
      <c r="M676">
        <f>VLOOKUP(Demand_Data___Hourly_OverviewSearch_1_csv[[#This Row],[Date]],Supply_Data___Hourly_DriverActivity_1_csv__3[#All],6,FALSE)</f>
        <v>0.4</v>
      </c>
      <c r="N676">
        <f>VLOOKUP(Demand_Data___Hourly_OverviewSearch_1_csv[[#This Row],[Date]],Supply_Data___Hourly_DriverActivity_1_csv__3[#All],7,FALSE)</f>
        <v>0.31</v>
      </c>
      <c r="O676">
        <f>VLOOKUP(Demand_Data___Hourly_OverviewSearch_1_csv[[#This Row],[Date]],Supply_Data___Hourly_DriverActivity_1_csv__3[#All],8,FALSE)</f>
        <v>12</v>
      </c>
      <c r="P676">
        <f>(Demand_Data___Hourly_OverviewSearch_1_csv[[#This Row],[People saw 0 cars (unique)]]+Demand_Data___Hourly_OverviewSearch_1_csv[[#This Row],[People saw +1 cars (unique)]])</f>
        <v>46</v>
      </c>
      <c r="Q676" s="143">
        <f t="shared" si="43"/>
        <v>33</v>
      </c>
    </row>
    <row r="677" spans="1:17" x14ac:dyDescent="0.3">
      <c r="A677" t="s">
        <v>684</v>
      </c>
      <c r="B677" t="str">
        <f t="shared" si="40"/>
        <v xml:space="preserve"> 19</v>
      </c>
      <c r="C677">
        <f t="shared" si="41"/>
        <v>7</v>
      </c>
      <c r="D677" t="str">
        <f t="shared" si="42"/>
        <v xml:space="preserve">2016-11-20 </v>
      </c>
      <c r="E677" t="str">
        <f>TEXT(Demand_Data___Hourly_OverviewSearch_1_csv[[#This Row],[Day]],"dddd")</f>
        <v>Saturday</v>
      </c>
      <c r="F677">
        <v>1</v>
      </c>
      <c r="G677">
        <v>37</v>
      </c>
      <c r="H677">
        <v>97</v>
      </c>
      <c r="I677">
        <f>VLOOKUP(Demand_Data___Hourly_OverviewSearch_1_csv[[#This Row],[Date]],Supply_Data___Hourly_DriverActivity_1_csv__3[#All],2,FALSE)</f>
        <v>87</v>
      </c>
      <c r="J677">
        <f>VLOOKUP(Demand_Data___Hourly_OverviewSearch_1_csv[[#This Row],[Date]],Supply_Data___Hourly_DriverActivity_1_csv__3[#All],3,FALSE)</f>
        <v>32</v>
      </c>
      <c r="K677">
        <f>VLOOKUP(Demand_Data___Hourly_OverviewSearch_1_csv[[#This Row],[Date]],Supply_Data___Hourly_DriverActivity_1_csv__3[#All],4,FALSE)</f>
        <v>5</v>
      </c>
      <c r="L677">
        <f>VLOOKUP(Demand_Data___Hourly_OverviewSearch_1_csv[[#This Row],[Date]],Supply_Data___Hourly_DriverActivity_1_csv__3[#All],5,FALSE)</f>
        <v>27</v>
      </c>
      <c r="M677">
        <f>VLOOKUP(Demand_Data___Hourly_OverviewSearch_1_csv[[#This Row],[Date]],Supply_Data___Hourly_DriverActivity_1_csv__3[#All],6,FALSE)</f>
        <v>0.4</v>
      </c>
      <c r="N677">
        <f>VLOOKUP(Demand_Data___Hourly_OverviewSearch_1_csv[[#This Row],[Date]],Supply_Data___Hourly_DriverActivity_1_csv__3[#All],7,FALSE)</f>
        <v>0.5</v>
      </c>
      <c r="O677">
        <f>VLOOKUP(Demand_Data___Hourly_OverviewSearch_1_csv[[#This Row],[Date]],Supply_Data___Hourly_DriverActivity_1_csv__3[#All],8,FALSE)</f>
        <v>16</v>
      </c>
      <c r="P677">
        <f>(Demand_Data___Hourly_OverviewSearch_1_csv[[#This Row],[People saw 0 cars (unique)]]+Demand_Data___Hourly_OverviewSearch_1_csv[[#This Row],[People saw +1 cars (unique)]])</f>
        <v>38</v>
      </c>
      <c r="Q677" s="143">
        <f t="shared" si="43"/>
        <v>27</v>
      </c>
    </row>
    <row r="678" spans="1:17" x14ac:dyDescent="0.3">
      <c r="A678" t="s">
        <v>685</v>
      </c>
      <c r="B678" t="str">
        <f t="shared" si="40"/>
        <v xml:space="preserve"> 18</v>
      </c>
      <c r="C678">
        <f t="shared" si="41"/>
        <v>7</v>
      </c>
      <c r="D678" t="str">
        <f t="shared" si="42"/>
        <v xml:space="preserve">2016-11-20 </v>
      </c>
      <c r="E678" t="str">
        <f>TEXT(Demand_Data___Hourly_OverviewSearch_1_csv[[#This Row],[Day]],"dddd")</f>
        <v>Saturday</v>
      </c>
      <c r="F678">
        <v>1</v>
      </c>
      <c r="G678">
        <v>43</v>
      </c>
      <c r="H678">
        <v>98</v>
      </c>
      <c r="I678">
        <f>VLOOKUP(Demand_Data___Hourly_OverviewSearch_1_csv[[#This Row],[Date]],Supply_Data___Hourly_DriverActivity_1_csv__3[#All],2,FALSE)</f>
        <v>83</v>
      </c>
      <c r="J678">
        <f>VLOOKUP(Demand_Data___Hourly_OverviewSearch_1_csv[[#This Row],[Date]],Supply_Data___Hourly_DriverActivity_1_csv__3[#All],3,FALSE)</f>
        <v>30</v>
      </c>
      <c r="K678">
        <f>VLOOKUP(Demand_Data___Hourly_OverviewSearch_1_csv[[#This Row],[Date]],Supply_Data___Hourly_DriverActivity_1_csv__3[#All],4,FALSE)</f>
        <v>7</v>
      </c>
      <c r="L678">
        <f>VLOOKUP(Demand_Data___Hourly_OverviewSearch_1_csv[[#This Row],[Date]],Supply_Data___Hourly_DriverActivity_1_csv__3[#All],5,FALSE)</f>
        <v>23</v>
      </c>
      <c r="M678">
        <f>VLOOKUP(Demand_Data___Hourly_OverviewSearch_1_csv[[#This Row],[Date]],Supply_Data___Hourly_DriverActivity_1_csv__3[#All],6,FALSE)</f>
        <v>0.4</v>
      </c>
      <c r="N678">
        <f>VLOOKUP(Demand_Data___Hourly_OverviewSearch_1_csv[[#This Row],[Date]],Supply_Data___Hourly_DriverActivity_1_csv__3[#All],7,FALSE)</f>
        <v>0.53</v>
      </c>
      <c r="O678">
        <f>VLOOKUP(Demand_Data___Hourly_OverviewSearch_1_csv[[#This Row],[Date]],Supply_Data___Hourly_DriverActivity_1_csv__3[#All],8,FALSE)</f>
        <v>16</v>
      </c>
      <c r="P678">
        <f>(Demand_Data___Hourly_OverviewSearch_1_csv[[#This Row],[People saw 0 cars (unique)]]+Demand_Data___Hourly_OverviewSearch_1_csv[[#This Row],[People saw +1 cars (unique)]])</f>
        <v>44</v>
      </c>
      <c r="Q678" s="143">
        <f t="shared" si="43"/>
        <v>23</v>
      </c>
    </row>
    <row r="679" spans="1:17" x14ac:dyDescent="0.3">
      <c r="A679" t="s">
        <v>686</v>
      </c>
      <c r="B679" t="str">
        <f t="shared" si="40"/>
        <v xml:space="preserve"> 17</v>
      </c>
      <c r="C679">
        <f t="shared" si="41"/>
        <v>7</v>
      </c>
      <c r="D679" t="str">
        <f t="shared" si="42"/>
        <v xml:space="preserve">2016-11-20 </v>
      </c>
      <c r="E679" t="str">
        <f>TEXT(Demand_Data___Hourly_OverviewSearch_1_csv[[#This Row],[Day]],"dddd")</f>
        <v>Saturday</v>
      </c>
      <c r="F679">
        <v>2</v>
      </c>
      <c r="G679">
        <v>27</v>
      </c>
      <c r="H679">
        <v>93</v>
      </c>
      <c r="I679">
        <f>VLOOKUP(Demand_Data___Hourly_OverviewSearch_1_csv[[#This Row],[Date]],Supply_Data___Hourly_DriverActivity_1_csv__3[#All],2,FALSE)</f>
        <v>80</v>
      </c>
      <c r="J679">
        <f>VLOOKUP(Demand_Data___Hourly_OverviewSearch_1_csv[[#This Row],[Date]],Supply_Data___Hourly_DriverActivity_1_csv__3[#All],3,FALSE)</f>
        <v>28</v>
      </c>
      <c r="K679">
        <f>VLOOKUP(Demand_Data___Hourly_OverviewSearch_1_csv[[#This Row],[Date]],Supply_Data___Hourly_DriverActivity_1_csv__3[#All],4,FALSE)</f>
        <v>4</v>
      </c>
      <c r="L679">
        <f>VLOOKUP(Demand_Data___Hourly_OverviewSearch_1_csv[[#This Row],[Date]],Supply_Data___Hourly_DriverActivity_1_csv__3[#All],5,FALSE)</f>
        <v>24</v>
      </c>
      <c r="M679">
        <f>VLOOKUP(Demand_Data___Hourly_OverviewSearch_1_csv[[#This Row],[Date]],Supply_Data___Hourly_DriverActivity_1_csv__3[#All],6,FALSE)</f>
        <v>0.3</v>
      </c>
      <c r="N679">
        <f>VLOOKUP(Demand_Data___Hourly_OverviewSearch_1_csv[[#This Row],[Date]],Supply_Data___Hourly_DriverActivity_1_csv__3[#All],7,FALSE)</f>
        <v>0.46</v>
      </c>
      <c r="O679">
        <f>VLOOKUP(Demand_Data___Hourly_OverviewSearch_1_csv[[#This Row],[Date]],Supply_Data___Hourly_DriverActivity_1_csv__3[#All],8,FALSE)</f>
        <v>13</v>
      </c>
      <c r="P679">
        <f>(Demand_Data___Hourly_OverviewSearch_1_csv[[#This Row],[People saw 0 cars (unique)]]+Demand_Data___Hourly_OverviewSearch_1_csv[[#This Row],[People saw +1 cars (unique)]])</f>
        <v>29</v>
      </c>
      <c r="Q679" s="143">
        <f t="shared" si="43"/>
        <v>24</v>
      </c>
    </row>
    <row r="680" spans="1:17" x14ac:dyDescent="0.3">
      <c r="A680" t="s">
        <v>687</v>
      </c>
      <c r="B680" t="str">
        <f t="shared" si="40"/>
        <v xml:space="preserve"> 16</v>
      </c>
      <c r="C680">
        <f t="shared" si="41"/>
        <v>7</v>
      </c>
      <c r="D680" t="str">
        <f t="shared" si="42"/>
        <v xml:space="preserve">2016-11-20 </v>
      </c>
      <c r="E680" t="str">
        <f>TEXT(Demand_Data___Hourly_OverviewSearch_1_csv[[#This Row],[Day]],"dddd")</f>
        <v>Saturday</v>
      </c>
      <c r="F680">
        <v>4</v>
      </c>
      <c r="G680">
        <v>31</v>
      </c>
      <c r="H680">
        <v>89</v>
      </c>
      <c r="I680">
        <f>VLOOKUP(Demand_Data___Hourly_OverviewSearch_1_csv[[#This Row],[Date]],Supply_Data___Hourly_DriverActivity_1_csv__3[#All],2,FALSE)</f>
        <v>62</v>
      </c>
      <c r="J680">
        <f>VLOOKUP(Demand_Data___Hourly_OverviewSearch_1_csv[[#This Row],[Date]],Supply_Data___Hourly_DriverActivity_1_csv__3[#All],3,FALSE)</f>
        <v>23</v>
      </c>
      <c r="K680">
        <f>VLOOKUP(Demand_Data___Hourly_OverviewSearch_1_csv[[#This Row],[Date]],Supply_Data___Hourly_DriverActivity_1_csv__3[#All],4,FALSE)</f>
        <v>4</v>
      </c>
      <c r="L680">
        <f>VLOOKUP(Demand_Data___Hourly_OverviewSearch_1_csv[[#This Row],[Date]],Supply_Data___Hourly_DriverActivity_1_csv__3[#All],5,FALSE)</f>
        <v>19</v>
      </c>
      <c r="M680">
        <f>VLOOKUP(Demand_Data___Hourly_OverviewSearch_1_csv[[#This Row],[Date]],Supply_Data___Hourly_DriverActivity_1_csv__3[#All],6,FALSE)</f>
        <v>0.4</v>
      </c>
      <c r="N680">
        <f>VLOOKUP(Demand_Data___Hourly_OverviewSearch_1_csv[[#This Row],[Date]],Supply_Data___Hourly_DriverActivity_1_csv__3[#All],7,FALSE)</f>
        <v>0.61</v>
      </c>
      <c r="O680">
        <f>VLOOKUP(Demand_Data___Hourly_OverviewSearch_1_csv[[#This Row],[Date]],Supply_Data___Hourly_DriverActivity_1_csv__3[#All],8,FALSE)</f>
        <v>14</v>
      </c>
      <c r="P680">
        <f>(Demand_Data___Hourly_OverviewSearch_1_csv[[#This Row],[People saw 0 cars (unique)]]+Demand_Data___Hourly_OverviewSearch_1_csv[[#This Row],[People saw +1 cars (unique)]])</f>
        <v>35</v>
      </c>
      <c r="Q680" s="143">
        <f t="shared" si="43"/>
        <v>19</v>
      </c>
    </row>
    <row r="681" spans="1:17" x14ac:dyDescent="0.3">
      <c r="A681" t="s">
        <v>688</v>
      </c>
      <c r="B681" t="str">
        <f t="shared" si="40"/>
        <v xml:space="preserve"> 15</v>
      </c>
      <c r="C681">
        <f t="shared" si="41"/>
        <v>7</v>
      </c>
      <c r="D681" t="str">
        <f t="shared" si="42"/>
        <v xml:space="preserve">2016-11-20 </v>
      </c>
      <c r="E681" t="str">
        <f>TEXT(Demand_Data___Hourly_OverviewSearch_1_csv[[#This Row],[Day]],"dddd")</f>
        <v>Saturday</v>
      </c>
      <c r="F681">
        <v>3</v>
      </c>
      <c r="G681">
        <v>36</v>
      </c>
      <c r="H681">
        <v>92</v>
      </c>
      <c r="I681">
        <f>VLOOKUP(Demand_Data___Hourly_OverviewSearch_1_csv[[#This Row],[Date]],Supply_Data___Hourly_DriverActivity_1_csv__3[#All],2,FALSE)</f>
        <v>62</v>
      </c>
      <c r="J681">
        <f>VLOOKUP(Demand_Data___Hourly_OverviewSearch_1_csv[[#This Row],[Date]],Supply_Data___Hourly_DriverActivity_1_csv__3[#All],3,FALSE)</f>
        <v>22</v>
      </c>
      <c r="K681">
        <f>VLOOKUP(Demand_Data___Hourly_OverviewSearch_1_csv[[#This Row],[Date]],Supply_Data___Hourly_DriverActivity_1_csv__3[#All],4,FALSE)</f>
        <v>3</v>
      </c>
      <c r="L681">
        <f>VLOOKUP(Demand_Data___Hourly_OverviewSearch_1_csv[[#This Row],[Date]],Supply_Data___Hourly_DriverActivity_1_csv__3[#All],5,FALSE)</f>
        <v>19</v>
      </c>
      <c r="M681">
        <f>VLOOKUP(Demand_Data___Hourly_OverviewSearch_1_csv[[#This Row],[Date]],Supply_Data___Hourly_DriverActivity_1_csv__3[#All],6,FALSE)</f>
        <v>0.4</v>
      </c>
      <c r="N681">
        <f>VLOOKUP(Demand_Data___Hourly_OverviewSearch_1_csv[[#This Row],[Date]],Supply_Data___Hourly_DriverActivity_1_csv__3[#All],7,FALSE)</f>
        <v>0.32</v>
      </c>
      <c r="O681">
        <f>VLOOKUP(Demand_Data___Hourly_OverviewSearch_1_csv[[#This Row],[Date]],Supply_Data___Hourly_DriverActivity_1_csv__3[#All],8,FALSE)</f>
        <v>7</v>
      </c>
      <c r="P681">
        <f>(Demand_Data___Hourly_OverviewSearch_1_csv[[#This Row],[People saw 0 cars (unique)]]+Demand_Data___Hourly_OverviewSearch_1_csv[[#This Row],[People saw +1 cars (unique)]])</f>
        <v>39</v>
      </c>
      <c r="Q681" s="143">
        <f t="shared" si="43"/>
        <v>19</v>
      </c>
    </row>
    <row r="682" spans="1:17" x14ac:dyDescent="0.3">
      <c r="A682" t="s">
        <v>689</v>
      </c>
      <c r="B682" t="str">
        <f t="shared" si="40"/>
        <v xml:space="preserve"> 14</v>
      </c>
      <c r="C682">
        <f t="shared" si="41"/>
        <v>7</v>
      </c>
      <c r="D682" t="str">
        <f t="shared" si="42"/>
        <v xml:space="preserve">2016-11-20 </v>
      </c>
      <c r="E682" t="str">
        <f>TEXT(Demand_Data___Hourly_OverviewSearch_1_csv[[#This Row],[Day]],"dddd")</f>
        <v>Saturday</v>
      </c>
      <c r="F682">
        <v>2</v>
      </c>
      <c r="G682">
        <v>25</v>
      </c>
      <c r="H682">
        <v>93</v>
      </c>
      <c r="I682">
        <f>VLOOKUP(Demand_Data___Hourly_OverviewSearch_1_csv[[#This Row],[Date]],Supply_Data___Hourly_DriverActivity_1_csv__3[#All],2,FALSE)</f>
        <v>54</v>
      </c>
      <c r="J682">
        <f>VLOOKUP(Demand_Data___Hourly_OverviewSearch_1_csv[[#This Row],[Date]],Supply_Data___Hourly_DriverActivity_1_csv__3[#All],3,FALSE)</f>
        <v>19</v>
      </c>
      <c r="K682">
        <f>VLOOKUP(Demand_Data___Hourly_OverviewSearch_1_csv[[#This Row],[Date]],Supply_Data___Hourly_DriverActivity_1_csv__3[#All],4,FALSE)</f>
        <v>3</v>
      </c>
      <c r="L682">
        <f>VLOOKUP(Demand_Data___Hourly_OverviewSearch_1_csv[[#This Row],[Date]],Supply_Data___Hourly_DriverActivity_1_csv__3[#All],5,FALSE)</f>
        <v>17</v>
      </c>
      <c r="M682">
        <f>VLOOKUP(Demand_Data___Hourly_OverviewSearch_1_csv[[#This Row],[Date]],Supply_Data___Hourly_DriverActivity_1_csv__3[#All],6,FALSE)</f>
        <v>0.4</v>
      </c>
      <c r="N682">
        <f>VLOOKUP(Demand_Data___Hourly_OverviewSearch_1_csv[[#This Row],[Date]],Supply_Data___Hourly_DriverActivity_1_csv__3[#All],7,FALSE)</f>
        <v>0.21</v>
      </c>
      <c r="O682">
        <f>VLOOKUP(Demand_Data___Hourly_OverviewSearch_1_csv[[#This Row],[Date]],Supply_Data___Hourly_DriverActivity_1_csv__3[#All],8,FALSE)</f>
        <v>4</v>
      </c>
      <c r="P682">
        <f>(Demand_Data___Hourly_OverviewSearch_1_csv[[#This Row],[People saw 0 cars (unique)]]+Demand_Data___Hourly_OverviewSearch_1_csv[[#This Row],[People saw +1 cars (unique)]])</f>
        <v>27</v>
      </c>
      <c r="Q682" s="143">
        <f t="shared" si="43"/>
        <v>16</v>
      </c>
    </row>
    <row r="683" spans="1:17" x14ac:dyDescent="0.3">
      <c r="A683" t="s">
        <v>690</v>
      </c>
      <c r="B683" t="str">
        <f t="shared" si="40"/>
        <v xml:space="preserve"> 13</v>
      </c>
      <c r="C683">
        <f t="shared" si="41"/>
        <v>7</v>
      </c>
      <c r="D683" t="str">
        <f t="shared" si="42"/>
        <v xml:space="preserve">2016-11-20 </v>
      </c>
      <c r="E683" t="str">
        <f>TEXT(Demand_Data___Hourly_OverviewSearch_1_csv[[#This Row],[Day]],"dddd")</f>
        <v>Saturday</v>
      </c>
      <c r="F683">
        <v>6</v>
      </c>
      <c r="G683">
        <v>21</v>
      </c>
      <c r="H683">
        <v>78</v>
      </c>
      <c r="I683">
        <f>VLOOKUP(Demand_Data___Hourly_OverviewSearch_1_csv[[#This Row],[Date]],Supply_Data___Hourly_DriverActivity_1_csv__3[#All],2,FALSE)</f>
        <v>53</v>
      </c>
      <c r="J683">
        <f>VLOOKUP(Demand_Data___Hourly_OverviewSearch_1_csv[[#This Row],[Date]],Supply_Data___Hourly_DriverActivity_1_csv__3[#All],3,FALSE)</f>
        <v>18</v>
      </c>
      <c r="K683">
        <f>VLOOKUP(Demand_Data___Hourly_OverviewSearch_1_csv[[#This Row],[Date]],Supply_Data___Hourly_DriverActivity_1_csv__3[#All],4,FALSE)</f>
        <v>2</v>
      </c>
      <c r="L683">
        <f>VLOOKUP(Demand_Data___Hourly_OverviewSearch_1_csv[[#This Row],[Date]],Supply_Data___Hourly_DriverActivity_1_csv__3[#All],5,FALSE)</f>
        <v>17</v>
      </c>
      <c r="M683">
        <f>VLOOKUP(Demand_Data___Hourly_OverviewSearch_1_csv[[#This Row],[Date]],Supply_Data___Hourly_DriverActivity_1_csv__3[#All],6,FALSE)</f>
        <v>0.3</v>
      </c>
      <c r="N683">
        <f>VLOOKUP(Demand_Data___Hourly_OverviewSearch_1_csv[[#This Row],[Date]],Supply_Data___Hourly_DriverActivity_1_csv__3[#All],7,FALSE)</f>
        <v>0.39</v>
      </c>
      <c r="O683">
        <f>VLOOKUP(Demand_Data___Hourly_OverviewSearch_1_csv[[#This Row],[Date]],Supply_Data___Hourly_DriverActivity_1_csv__3[#All],8,FALSE)</f>
        <v>7</v>
      </c>
      <c r="P683">
        <f>(Demand_Data___Hourly_OverviewSearch_1_csv[[#This Row],[People saw 0 cars (unique)]]+Demand_Data___Hourly_OverviewSearch_1_csv[[#This Row],[People saw +1 cars (unique)]])</f>
        <v>27</v>
      </c>
      <c r="Q683" s="143">
        <f t="shared" si="43"/>
        <v>16</v>
      </c>
    </row>
    <row r="684" spans="1:17" x14ac:dyDescent="0.3">
      <c r="A684" t="s">
        <v>691</v>
      </c>
      <c r="B684" t="str">
        <f t="shared" si="40"/>
        <v xml:space="preserve"> 12</v>
      </c>
      <c r="C684">
        <f t="shared" si="41"/>
        <v>7</v>
      </c>
      <c r="D684" t="str">
        <f t="shared" si="42"/>
        <v xml:space="preserve">2016-11-20 </v>
      </c>
      <c r="E684" t="str">
        <f>TEXT(Demand_Data___Hourly_OverviewSearch_1_csv[[#This Row],[Day]],"dddd")</f>
        <v>Saturday</v>
      </c>
      <c r="F684">
        <v>5</v>
      </c>
      <c r="G684">
        <v>32</v>
      </c>
      <c r="H684">
        <v>86</v>
      </c>
      <c r="I684">
        <f>VLOOKUP(Demand_Data___Hourly_OverviewSearch_1_csv[[#This Row],[Date]],Supply_Data___Hourly_DriverActivity_1_csv__3[#All],2,FALSE)</f>
        <v>43</v>
      </c>
      <c r="J684">
        <f>VLOOKUP(Demand_Data___Hourly_OverviewSearch_1_csv[[#This Row],[Date]],Supply_Data___Hourly_DriverActivity_1_csv__3[#All],3,FALSE)</f>
        <v>19</v>
      </c>
      <c r="K684">
        <f>VLOOKUP(Demand_Data___Hourly_OverviewSearch_1_csv[[#This Row],[Date]],Supply_Data___Hourly_DriverActivity_1_csv__3[#All],4,FALSE)</f>
        <v>2</v>
      </c>
      <c r="L684">
        <f>VLOOKUP(Demand_Data___Hourly_OverviewSearch_1_csv[[#This Row],[Date]],Supply_Data___Hourly_DriverActivity_1_csv__3[#All],5,FALSE)</f>
        <v>16</v>
      </c>
      <c r="M684">
        <f>VLOOKUP(Demand_Data___Hourly_OverviewSearch_1_csv[[#This Row],[Date]],Supply_Data___Hourly_DriverActivity_1_csv__3[#All],6,FALSE)</f>
        <v>0.4</v>
      </c>
      <c r="N684">
        <f>VLOOKUP(Demand_Data___Hourly_OverviewSearch_1_csv[[#This Row],[Date]],Supply_Data___Hourly_DriverActivity_1_csv__3[#All],7,FALSE)</f>
        <v>0.26</v>
      </c>
      <c r="O684">
        <f>VLOOKUP(Demand_Data___Hourly_OverviewSearch_1_csv[[#This Row],[Date]],Supply_Data___Hourly_DriverActivity_1_csv__3[#All],8,FALSE)</f>
        <v>5</v>
      </c>
      <c r="P684">
        <f>(Demand_Data___Hourly_OverviewSearch_1_csv[[#This Row],[People saw 0 cars (unique)]]+Demand_Data___Hourly_OverviewSearch_1_csv[[#This Row],[People saw +1 cars (unique)]])</f>
        <v>37</v>
      </c>
      <c r="Q684" s="143">
        <f t="shared" si="43"/>
        <v>17</v>
      </c>
    </row>
    <row r="685" spans="1:17" x14ac:dyDescent="0.3">
      <c r="A685" t="s">
        <v>692</v>
      </c>
      <c r="B685" t="str">
        <f t="shared" si="40"/>
        <v xml:space="preserve"> 11</v>
      </c>
      <c r="C685">
        <f t="shared" si="41"/>
        <v>7</v>
      </c>
      <c r="D685" t="str">
        <f t="shared" si="42"/>
        <v xml:space="preserve">2016-11-20 </v>
      </c>
      <c r="E685" t="str">
        <f>TEXT(Demand_Data___Hourly_OverviewSearch_1_csv[[#This Row],[Day]],"dddd")</f>
        <v>Saturday</v>
      </c>
      <c r="F685">
        <v>8</v>
      </c>
      <c r="G685">
        <v>18</v>
      </c>
      <c r="H685">
        <v>69</v>
      </c>
      <c r="I685">
        <f>VLOOKUP(Demand_Data___Hourly_OverviewSearch_1_csv[[#This Row],[Date]],Supply_Data___Hourly_DriverActivity_1_csv__3[#All],2,FALSE)</f>
        <v>42</v>
      </c>
      <c r="J685">
        <f>VLOOKUP(Demand_Data___Hourly_OverviewSearch_1_csv[[#This Row],[Date]],Supply_Data___Hourly_DriverActivity_1_csv__3[#All],3,FALSE)</f>
        <v>15</v>
      </c>
      <c r="K685">
        <f>VLOOKUP(Demand_Data___Hourly_OverviewSearch_1_csv[[#This Row],[Date]],Supply_Data___Hourly_DriverActivity_1_csv__3[#All],4,FALSE)</f>
        <v>3</v>
      </c>
      <c r="L685">
        <f>VLOOKUP(Demand_Data___Hourly_OverviewSearch_1_csv[[#This Row],[Date]],Supply_Data___Hourly_DriverActivity_1_csv__3[#All],5,FALSE)</f>
        <v>13</v>
      </c>
      <c r="M685">
        <f>VLOOKUP(Demand_Data___Hourly_OverviewSearch_1_csv[[#This Row],[Date]],Supply_Data___Hourly_DriverActivity_1_csv__3[#All],6,FALSE)</f>
        <v>0.4</v>
      </c>
      <c r="N685">
        <f>VLOOKUP(Demand_Data___Hourly_OverviewSearch_1_csv[[#This Row],[Date]],Supply_Data___Hourly_DriverActivity_1_csv__3[#All],7,FALSE)</f>
        <v>0.47</v>
      </c>
      <c r="O685">
        <f>VLOOKUP(Demand_Data___Hourly_OverviewSearch_1_csv[[#This Row],[Date]],Supply_Data___Hourly_DriverActivity_1_csv__3[#All],8,FALSE)</f>
        <v>7</v>
      </c>
      <c r="P685">
        <f>(Demand_Data___Hourly_OverviewSearch_1_csv[[#This Row],[People saw 0 cars (unique)]]+Demand_Data___Hourly_OverviewSearch_1_csv[[#This Row],[People saw +1 cars (unique)]])</f>
        <v>26</v>
      </c>
      <c r="Q685" s="143">
        <f t="shared" si="43"/>
        <v>12</v>
      </c>
    </row>
    <row r="686" spans="1:17" x14ac:dyDescent="0.3">
      <c r="A686" t="s">
        <v>693</v>
      </c>
      <c r="B686" t="str">
        <f t="shared" si="40"/>
        <v xml:space="preserve"> 10</v>
      </c>
      <c r="C686">
        <f t="shared" si="41"/>
        <v>7</v>
      </c>
      <c r="D686" t="str">
        <f t="shared" si="42"/>
        <v xml:space="preserve">2016-11-20 </v>
      </c>
      <c r="E686" t="str">
        <f>TEXT(Demand_Data___Hourly_OverviewSearch_1_csv[[#This Row],[Day]],"dddd")</f>
        <v>Saturday</v>
      </c>
      <c r="F686">
        <v>5</v>
      </c>
      <c r="G686">
        <v>13</v>
      </c>
      <c r="H686">
        <v>72</v>
      </c>
      <c r="I686">
        <f>VLOOKUP(Demand_Data___Hourly_OverviewSearch_1_csv[[#This Row],[Date]],Supply_Data___Hourly_DriverActivity_1_csv__3[#All],2,FALSE)</f>
        <v>40</v>
      </c>
      <c r="J686">
        <f>VLOOKUP(Demand_Data___Hourly_OverviewSearch_1_csv[[#This Row],[Date]],Supply_Data___Hourly_DriverActivity_1_csv__3[#All],3,FALSE)</f>
        <v>14</v>
      </c>
      <c r="K686">
        <f>VLOOKUP(Demand_Data___Hourly_OverviewSearch_1_csv[[#This Row],[Date]],Supply_Data___Hourly_DriverActivity_1_csv__3[#All],4,FALSE)</f>
        <v>2</v>
      </c>
      <c r="L686">
        <f>VLOOKUP(Demand_Data___Hourly_OverviewSearch_1_csv[[#This Row],[Date]],Supply_Data___Hourly_DriverActivity_1_csv__3[#All],5,FALSE)</f>
        <v>12</v>
      </c>
      <c r="M686">
        <f>VLOOKUP(Demand_Data___Hourly_OverviewSearch_1_csv[[#This Row],[Date]],Supply_Data___Hourly_DriverActivity_1_csv__3[#All],6,FALSE)</f>
        <v>0.3</v>
      </c>
      <c r="N686">
        <f>VLOOKUP(Demand_Data___Hourly_OverviewSearch_1_csv[[#This Row],[Date]],Supply_Data___Hourly_DriverActivity_1_csv__3[#All],7,FALSE)</f>
        <v>0.36</v>
      </c>
      <c r="O686">
        <f>VLOOKUP(Demand_Data___Hourly_OverviewSearch_1_csv[[#This Row],[Date]],Supply_Data___Hourly_DriverActivity_1_csv__3[#All],8,FALSE)</f>
        <v>5</v>
      </c>
      <c r="P686">
        <f>(Demand_Data___Hourly_OverviewSearch_1_csv[[#This Row],[People saw 0 cars (unique)]]+Demand_Data___Hourly_OverviewSearch_1_csv[[#This Row],[People saw +1 cars (unique)]])</f>
        <v>18</v>
      </c>
      <c r="Q686" s="143">
        <f t="shared" si="43"/>
        <v>12</v>
      </c>
    </row>
    <row r="687" spans="1:17" x14ac:dyDescent="0.3">
      <c r="A687" t="s">
        <v>694</v>
      </c>
      <c r="B687" t="str">
        <f t="shared" si="40"/>
        <v xml:space="preserve"> 09</v>
      </c>
      <c r="C687">
        <f t="shared" si="41"/>
        <v>7</v>
      </c>
      <c r="D687" t="str">
        <f t="shared" si="42"/>
        <v xml:space="preserve">2016-11-20 </v>
      </c>
      <c r="E687" t="str">
        <f>TEXT(Demand_Data___Hourly_OverviewSearch_1_csv[[#This Row],[Day]],"dddd")</f>
        <v>Saturday</v>
      </c>
      <c r="F687">
        <v>7</v>
      </c>
      <c r="G687">
        <v>18</v>
      </c>
      <c r="H687">
        <v>72</v>
      </c>
      <c r="I687">
        <f>VLOOKUP(Demand_Data___Hourly_OverviewSearch_1_csv[[#This Row],[Date]],Supply_Data___Hourly_DriverActivity_1_csv__3[#All],2,FALSE)</f>
        <v>37</v>
      </c>
      <c r="J687">
        <f>VLOOKUP(Demand_Data___Hourly_OverviewSearch_1_csv[[#This Row],[Date]],Supply_Data___Hourly_DriverActivity_1_csv__3[#All],3,FALSE)</f>
        <v>10</v>
      </c>
      <c r="K687">
        <f>VLOOKUP(Demand_Data___Hourly_OverviewSearch_1_csv[[#This Row],[Date]],Supply_Data___Hourly_DriverActivity_1_csv__3[#All],4,FALSE)</f>
        <v>1</v>
      </c>
      <c r="L687">
        <f>VLOOKUP(Demand_Data___Hourly_OverviewSearch_1_csv[[#This Row],[Date]],Supply_Data___Hourly_DriverActivity_1_csv__3[#All],5,FALSE)</f>
        <v>8</v>
      </c>
      <c r="M687">
        <f>VLOOKUP(Demand_Data___Hourly_OverviewSearch_1_csv[[#This Row],[Date]],Supply_Data___Hourly_DriverActivity_1_csv__3[#All],6,FALSE)</f>
        <v>0.3</v>
      </c>
      <c r="N687">
        <f>VLOOKUP(Demand_Data___Hourly_OverviewSearch_1_csv[[#This Row],[Date]],Supply_Data___Hourly_DriverActivity_1_csv__3[#All],7,FALSE)</f>
        <v>0.3</v>
      </c>
      <c r="O687">
        <f>VLOOKUP(Demand_Data___Hourly_OverviewSearch_1_csv[[#This Row],[Date]],Supply_Data___Hourly_DriverActivity_1_csv__3[#All],8,FALSE)</f>
        <v>3</v>
      </c>
      <c r="P687">
        <f>(Demand_Data___Hourly_OverviewSearch_1_csv[[#This Row],[People saw 0 cars (unique)]]+Demand_Data___Hourly_OverviewSearch_1_csv[[#This Row],[People saw +1 cars (unique)]])</f>
        <v>25</v>
      </c>
      <c r="Q687" s="143">
        <f t="shared" si="43"/>
        <v>9</v>
      </c>
    </row>
    <row r="688" spans="1:17" x14ac:dyDescent="0.3">
      <c r="A688" t="s">
        <v>695</v>
      </c>
      <c r="B688" t="str">
        <f t="shared" si="40"/>
        <v xml:space="preserve"> 08</v>
      </c>
      <c r="C688">
        <f t="shared" si="41"/>
        <v>7</v>
      </c>
      <c r="D688" t="str">
        <f t="shared" si="42"/>
        <v xml:space="preserve">2016-11-20 </v>
      </c>
      <c r="E688" t="str">
        <f>TEXT(Demand_Data___Hourly_OverviewSearch_1_csv[[#This Row],[Day]],"dddd")</f>
        <v>Saturday</v>
      </c>
      <c r="F688">
        <v>6</v>
      </c>
      <c r="G688">
        <v>12</v>
      </c>
      <c r="H688">
        <v>67</v>
      </c>
      <c r="I688">
        <f>VLOOKUP(Demand_Data___Hourly_OverviewSearch_1_csv[[#This Row],[Date]],Supply_Data___Hourly_DriverActivity_1_csv__3[#All],2,FALSE)</f>
        <v>26</v>
      </c>
      <c r="J688">
        <f>VLOOKUP(Demand_Data___Hourly_OverviewSearch_1_csv[[#This Row],[Date]],Supply_Data___Hourly_DriverActivity_1_csv__3[#All],3,FALSE)</f>
        <v>6</v>
      </c>
      <c r="K688">
        <f>VLOOKUP(Demand_Data___Hourly_OverviewSearch_1_csv[[#This Row],[Date]],Supply_Data___Hourly_DriverActivity_1_csv__3[#All],4,FALSE)</f>
        <v>2</v>
      </c>
      <c r="L688">
        <f>VLOOKUP(Demand_Data___Hourly_OverviewSearch_1_csv[[#This Row],[Date]],Supply_Data___Hourly_DriverActivity_1_csv__3[#All],5,FALSE)</f>
        <v>5</v>
      </c>
      <c r="M688">
        <f>VLOOKUP(Demand_Data___Hourly_OverviewSearch_1_csv[[#This Row],[Date]],Supply_Data___Hourly_DriverActivity_1_csv__3[#All],6,FALSE)</f>
        <v>0.2</v>
      </c>
      <c r="N688">
        <f>VLOOKUP(Demand_Data___Hourly_OverviewSearch_1_csv[[#This Row],[Date]],Supply_Data___Hourly_DriverActivity_1_csv__3[#All],7,FALSE)</f>
        <v>0.5</v>
      </c>
      <c r="O688">
        <f>VLOOKUP(Demand_Data___Hourly_OverviewSearch_1_csv[[#This Row],[Date]],Supply_Data___Hourly_DriverActivity_1_csv__3[#All],8,FALSE)</f>
        <v>3</v>
      </c>
      <c r="P688">
        <f>(Demand_Data___Hourly_OverviewSearch_1_csv[[#This Row],[People saw 0 cars (unique)]]+Demand_Data___Hourly_OverviewSearch_1_csv[[#This Row],[People saw +1 cars (unique)]])</f>
        <v>18</v>
      </c>
      <c r="Q688" s="143">
        <f t="shared" si="43"/>
        <v>4</v>
      </c>
    </row>
    <row r="689" spans="1:17" x14ac:dyDescent="0.3">
      <c r="A689" t="s">
        <v>696</v>
      </c>
      <c r="B689" t="str">
        <f t="shared" si="40"/>
        <v xml:space="preserve"> 07</v>
      </c>
      <c r="C689">
        <f t="shared" si="41"/>
        <v>7</v>
      </c>
      <c r="D689" t="str">
        <f t="shared" si="42"/>
        <v xml:space="preserve">2016-11-20 </v>
      </c>
      <c r="E689" t="str">
        <f>TEXT(Demand_Data___Hourly_OverviewSearch_1_csv[[#This Row],[Day]],"dddd")</f>
        <v>Saturday</v>
      </c>
      <c r="F689">
        <v>2</v>
      </c>
      <c r="G689">
        <v>8</v>
      </c>
      <c r="H689">
        <v>80</v>
      </c>
      <c r="I689">
        <f>VLOOKUP(Demand_Data___Hourly_OverviewSearch_1_csv[[#This Row],[Date]],Supply_Data___Hourly_DriverActivity_1_csv__3[#All],2,FALSE)</f>
        <v>27</v>
      </c>
      <c r="J689">
        <f>VLOOKUP(Demand_Data___Hourly_OverviewSearch_1_csv[[#This Row],[Date]],Supply_Data___Hourly_DriverActivity_1_csv__3[#All],3,FALSE)</f>
        <v>8</v>
      </c>
      <c r="K689">
        <f>VLOOKUP(Demand_Data___Hourly_OverviewSearch_1_csv[[#This Row],[Date]],Supply_Data___Hourly_DriverActivity_1_csv__3[#All],4,FALSE)</f>
        <v>1</v>
      </c>
      <c r="L689">
        <f>VLOOKUP(Demand_Data___Hourly_OverviewSearch_1_csv[[#This Row],[Date]],Supply_Data___Hourly_DriverActivity_1_csv__3[#All],5,FALSE)</f>
        <v>7</v>
      </c>
      <c r="M689">
        <f>VLOOKUP(Demand_Data___Hourly_OverviewSearch_1_csv[[#This Row],[Date]],Supply_Data___Hourly_DriverActivity_1_csv__3[#All],6,FALSE)</f>
        <v>0.3</v>
      </c>
      <c r="N689">
        <f>VLOOKUP(Demand_Data___Hourly_OverviewSearch_1_csv[[#This Row],[Date]],Supply_Data___Hourly_DriverActivity_1_csv__3[#All],7,FALSE)</f>
        <v>0.25</v>
      </c>
      <c r="O689">
        <f>VLOOKUP(Demand_Data___Hourly_OverviewSearch_1_csv[[#This Row],[Date]],Supply_Data___Hourly_DriverActivity_1_csv__3[#All],8,FALSE)</f>
        <v>2</v>
      </c>
      <c r="P689">
        <f>(Demand_Data___Hourly_OverviewSearch_1_csv[[#This Row],[People saw 0 cars (unique)]]+Demand_Data___Hourly_OverviewSearch_1_csv[[#This Row],[People saw +1 cars (unique)]])</f>
        <v>10</v>
      </c>
      <c r="Q689" s="143">
        <f t="shared" si="43"/>
        <v>7</v>
      </c>
    </row>
    <row r="690" spans="1:17" x14ac:dyDescent="0.3">
      <c r="A690" t="s">
        <v>697</v>
      </c>
      <c r="B690" t="str">
        <f t="shared" si="40"/>
        <v xml:space="preserve"> 06</v>
      </c>
      <c r="C690">
        <f t="shared" si="41"/>
        <v>7</v>
      </c>
      <c r="D690" t="str">
        <f t="shared" si="42"/>
        <v xml:space="preserve">2016-11-20 </v>
      </c>
      <c r="E690" t="str">
        <f>TEXT(Demand_Data___Hourly_OverviewSearch_1_csv[[#This Row],[Day]],"dddd")</f>
        <v>Saturday</v>
      </c>
      <c r="F690">
        <v>3</v>
      </c>
      <c r="G690">
        <v>10</v>
      </c>
      <c r="H690">
        <v>77</v>
      </c>
      <c r="I690">
        <f>VLOOKUP(Demand_Data___Hourly_OverviewSearch_1_csv[[#This Row],[Date]],Supply_Data___Hourly_DriverActivity_1_csv__3[#All],2,FALSE)</f>
        <v>34</v>
      </c>
      <c r="J690">
        <f>VLOOKUP(Demand_Data___Hourly_OverviewSearch_1_csv[[#This Row],[Date]],Supply_Data___Hourly_DriverActivity_1_csv__3[#All],3,FALSE)</f>
        <v>13</v>
      </c>
      <c r="K690">
        <f>VLOOKUP(Demand_Data___Hourly_OverviewSearch_1_csv[[#This Row],[Date]],Supply_Data___Hourly_DriverActivity_1_csv__3[#All],4,FALSE)</f>
        <v>2</v>
      </c>
      <c r="L690">
        <f>VLOOKUP(Demand_Data___Hourly_OverviewSearch_1_csv[[#This Row],[Date]],Supply_Data___Hourly_DriverActivity_1_csv__3[#All],5,FALSE)</f>
        <v>11</v>
      </c>
      <c r="M690">
        <f>VLOOKUP(Demand_Data___Hourly_OverviewSearch_1_csv[[#This Row],[Date]],Supply_Data___Hourly_DriverActivity_1_csv__3[#All],6,FALSE)</f>
        <v>0.4</v>
      </c>
      <c r="N690">
        <f>VLOOKUP(Demand_Data___Hourly_OverviewSearch_1_csv[[#This Row],[Date]],Supply_Data___Hourly_DriverActivity_1_csv__3[#All],7,FALSE)</f>
        <v>0.31</v>
      </c>
      <c r="O690">
        <f>VLOOKUP(Demand_Data___Hourly_OverviewSearch_1_csv[[#This Row],[Date]],Supply_Data___Hourly_DriverActivity_1_csv__3[#All],8,FALSE)</f>
        <v>4</v>
      </c>
      <c r="P690">
        <f>(Demand_Data___Hourly_OverviewSearch_1_csv[[#This Row],[People saw 0 cars (unique)]]+Demand_Data___Hourly_OverviewSearch_1_csv[[#This Row],[People saw +1 cars (unique)]])</f>
        <v>13</v>
      </c>
      <c r="Q690" s="143">
        <f t="shared" si="43"/>
        <v>11</v>
      </c>
    </row>
    <row r="691" spans="1:17" x14ac:dyDescent="0.3">
      <c r="A691" t="s">
        <v>698</v>
      </c>
      <c r="B691" t="str">
        <f t="shared" si="40"/>
        <v xml:space="preserve"> 05</v>
      </c>
      <c r="C691">
        <f t="shared" si="41"/>
        <v>7</v>
      </c>
      <c r="D691" t="str">
        <f t="shared" si="42"/>
        <v xml:space="preserve">2016-11-20 </v>
      </c>
      <c r="E691" t="str">
        <f>TEXT(Demand_Data___Hourly_OverviewSearch_1_csv[[#This Row],[Day]],"dddd")</f>
        <v>Saturday</v>
      </c>
      <c r="F691">
        <v>1</v>
      </c>
      <c r="G691">
        <v>10</v>
      </c>
      <c r="H691">
        <v>91</v>
      </c>
      <c r="I691">
        <f>VLOOKUP(Demand_Data___Hourly_OverviewSearch_1_csv[[#This Row],[Date]],Supply_Data___Hourly_DriverActivity_1_csv__3[#All],2,FALSE)</f>
        <v>48</v>
      </c>
      <c r="J691">
        <f>VLOOKUP(Demand_Data___Hourly_OverviewSearch_1_csv[[#This Row],[Date]],Supply_Data___Hourly_DriverActivity_1_csv__3[#All],3,FALSE)</f>
        <v>18</v>
      </c>
      <c r="K691">
        <f>VLOOKUP(Demand_Data___Hourly_OverviewSearch_1_csv[[#This Row],[Date]],Supply_Data___Hourly_DriverActivity_1_csv__3[#All],4,FALSE)</f>
        <v>1</v>
      </c>
      <c r="L691">
        <f>VLOOKUP(Demand_Data___Hourly_OverviewSearch_1_csv[[#This Row],[Date]],Supply_Data___Hourly_DriverActivity_1_csv__3[#All],5,FALSE)</f>
        <v>16</v>
      </c>
      <c r="M691">
        <f>VLOOKUP(Demand_Data___Hourly_OverviewSearch_1_csv[[#This Row],[Date]],Supply_Data___Hourly_DriverActivity_1_csv__3[#All],6,FALSE)</f>
        <v>0.4</v>
      </c>
      <c r="N691">
        <f>VLOOKUP(Demand_Data___Hourly_OverviewSearch_1_csv[[#This Row],[Date]],Supply_Data___Hourly_DriverActivity_1_csv__3[#All],7,FALSE)</f>
        <v>0.22</v>
      </c>
      <c r="O691">
        <f>VLOOKUP(Demand_Data___Hourly_OverviewSearch_1_csv[[#This Row],[Date]],Supply_Data___Hourly_DriverActivity_1_csv__3[#All],8,FALSE)</f>
        <v>4</v>
      </c>
      <c r="P691">
        <f>(Demand_Data___Hourly_OverviewSearch_1_csv[[#This Row],[People saw 0 cars (unique)]]+Demand_Data___Hourly_OverviewSearch_1_csv[[#This Row],[People saw +1 cars (unique)]])</f>
        <v>11</v>
      </c>
      <c r="Q691" s="143">
        <f t="shared" si="43"/>
        <v>17</v>
      </c>
    </row>
    <row r="692" spans="1:17" x14ac:dyDescent="0.3">
      <c r="A692" t="s">
        <v>699</v>
      </c>
      <c r="B692" t="str">
        <f t="shared" si="40"/>
        <v xml:space="preserve"> 04</v>
      </c>
      <c r="C692">
        <f t="shared" si="41"/>
        <v>7</v>
      </c>
      <c r="D692" t="str">
        <f t="shared" si="42"/>
        <v xml:space="preserve">2016-11-20 </v>
      </c>
      <c r="E692" t="str">
        <f>TEXT(Demand_Data___Hourly_OverviewSearch_1_csv[[#This Row],[Day]],"dddd")</f>
        <v>Saturday</v>
      </c>
      <c r="F692">
        <v>4</v>
      </c>
      <c r="G692">
        <v>23</v>
      </c>
      <c r="H692">
        <v>85</v>
      </c>
      <c r="I692">
        <f>VLOOKUP(Demand_Data___Hourly_OverviewSearch_1_csv[[#This Row],[Date]],Supply_Data___Hourly_DriverActivity_1_csv__3[#All],2,FALSE)</f>
        <v>51</v>
      </c>
      <c r="J692">
        <f>VLOOKUP(Demand_Data___Hourly_OverviewSearch_1_csv[[#This Row],[Date]],Supply_Data___Hourly_DriverActivity_1_csv__3[#All],3,FALSE)</f>
        <v>20</v>
      </c>
      <c r="K692">
        <f>VLOOKUP(Demand_Data___Hourly_OverviewSearch_1_csv[[#This Row],[Date]],Supply_Data___Hourly_DriverActivity_1_csv__3[#All],4,FALSE)</f>
        <v>6</v>
      </c>
      <c r="L692">
        <f>VLOOKUP(Demand_Data___Hourly_OverviewSearch_1_csv[[#This Row],[Date]],Supply_Data___Hourly_DriverActivity_1_csv__3[#All],5,FALSE)</f>
        <v>14</v>
      </c>
      <c r="M692">
        <f>VLOOKUP(Demand_Data___Hourly_OverviewSearch_1_csv[[#This Row],[Date]],Supply_Data___Hourly_DriverActivity_1_csv__3[#All],6,FALSE)</f>
        <v>0.4</v>
      </c>
      <c r="N692">
        <f>VLOOKUP(Demand_Data___Hourly_OverviewSearch_1_csv[[#This Row],[Date]],Supply_Data___Hourly_DriverActivity_1_csv__3[#All],7,FALSE)</f>
        <v>0.65</v>
      </c>
      <c r="O692">
        <f>VLOOKUP(Demand_Data___Hourly_OverviewSearch_1_csv[[#This Row],[Date]],Supply_Data___Hourly_DriverActivity_1_csv__3[#All],8,FALSE)</f>
        <v>13</v>
      </c>
      <c r="P692">
        <f>(Demand_Data___Hourly_OverviewSearch_1_csv[[#This Row],[People saw 0 cars (unique)]]+Demand_Data___Hourly_OverviewSearch_1_csv[[#This Row],[People saw +1 cars (unique)]])</f>
        <v>27</v>
      </c>
      <c r="Q692" s="143">
        <f t="shared" si="43"/>
        <v>14</v>
      </c>
    </row>
    <row r="693" spans="1:17" x14ac:dyDescent="0.3">
      <c r="A693" t="s">
        <v>700</v>
      </c>
      <c r="B693" t="str">
        <f t="shared" si="40"/>
        <v xml:space="preserve"> 03</v>
      </c>
      <c r="C693">
        <f t="shared" si="41"/>
        <v>7</v>
      </c>
      <c r="D693" t="str">
        <f t="shared" si="42"/>
        <v xml:space="preserve">2016-11-20 </v>
      </c>
      <c r="E693" t="str">
        <f>TEXT(Demand_Data___Hourly_OverviewSearch_1_csv[[#This Row],[Day]],"dddd")</f>
        <v>Saturday</v>
      </c>
      <c r="F693">
        <v>3</v>
      </c>
      <c r="G693">
        <v>32</v>
      </c>
      <c r="H693">
        <v>91</v>
      </c>
      <c r="I693">
        <f>VLOOKUP(Demand_Data___Hourly_OverviewSearch_1_csv[[#This Row],[Date]],Supply_Data___Hourly_DriverActivity_1_csv__3[#All],2,FALSE)</f>
        <v>56</v>
      </c>
      <c r="J693">
        <f>VLOOKUP(Demand_Data___Hourly_OverviewSearch_1_csv[[#This Row],[Date]],Supply_Data___Hourly_DriverActivity_1_csv__3[#All],3,FALSE)</f>
        <v>25</v>
      </c>
      <c r="K693">
        <f>VLOOKUP(Demand_Data___Hourly_OverviewSearch_1_csv[[#This Row],[Date]],Supply_Data___Hourly_DriverActivity_1_csv__3[#All],4,FALSE)</f>
        <v>6</v>
      </c>
      <c r="L693">
        <f>VLOOKUP(Demand_Data___Hourly_OverviewSearch_1_csv[[#This Row],[Date]],Supply_Data___Hourly_DriverActivity_1_csv__3[#All],5,FALSE)</f>
        <v>20</v>
      </c>
      <c r="M693">
        <f>VLOOKUP(Demand_Data___Hourly_OverviewSearch_1_csv[[#This Row],[Date]],Supply_Data___Hourly_DriverActivity_1_csv__3[#All],6,FALSE)</f>
        <v>0.4</v>
      </c>
      <c r="N693">
        <f>VLOOKUP(Demand_Data___Hourly_OverviewSearch_1_csv[[#This Row],[Date]],Supply_Data___Hourly_DriverActivity_1_csv__3[#All],7,FALSE)</f>
        <v>0.68</v>
      </c>
      <c r="O693">
        <f>VLOOKUP(Demand_Data___Hourly_OverviewSearch_1_csv[[#This Row],[Date]],Supply_Data___Hourly_DriverActivity_1_csv__3[#All],8,FALSE)</f>
        <v>17</v>
      </c>
      <c r="P693">
        <f>(Demand_Data___Hourly_OverviewSearch_1_csv[[#This Row],[People saw 0 cars (unique)]]+Demand_Data___Hourly_OverviewSearch_1_csv[[#This Row],[People saw +1 cars (unique)]])</f>
        <v>35</v>
      </c>
      <c r="Q693" s="143">
        <f t="shared" si="43"/>
        <v>19</v>
      </c>
    </row>
    <row r="694" spans="1:17" x14ac:dyDescent="0.3">
      <c r="A694" t="s">
        <v>701</v>
      </c>
      <c r="B694" t="str">
        <f t="shared" si="40"/>
        <v xml:space="preserve"> 02</v>
      </c>
      <c r="C694">
        <f t="shared" si="41"/>
        <v>7</v>
      </c>
      <c r="D694" t="str">
        <f t="shared" si="42"/>
        <v xml:space="preserve">2016-11-20 </v>
      </c>
      <c r="E694" t="str">
        <f>TEXT(Demand_Data___Hourly_OverviewSearch_1_csv[[#This Row],[Day]],"dddd")</f>
        <v>Saturday</v>
      </c>
      <c r="F694">
        <v>6</v>
      </c>
      <c r="G694">
        <v>36</v>
      </c>
      <c r="H694">
        <v>86</v>
      </c>
      <c r="I694">
        <f>VLOOKUP(Demand_Data___Hourly_OverviewSearch_1_csv[[#This Row],[Date]],Supply_Data___Hourly_DriverActivity_1_csv__3[#All],2,FALSE)</f>
        <v>64</v>
      </c>
      <c r="J694">
        <f>VLOOKUP(Demand_Data___Hourly_OverviewSearch_1_csv[[#This Row],[Date]],Supply_Data___Hourly_DriverActivity_1_csv__3[#All],3,FALSE)</f>
        <v>27</v>
      </c>
      <c r="K694">
        <f>VLOOKUP(Demand_Data___Hourly_OverviewSearch_1_csv[[#This Row],[Date]],Supply_Data___Hourly_DriverActivity_1_csv__3[#All],4,FALSE)</f>
        <v>7</v>
      </c>
      <c r="L694">
        <f>VLOOKUP(Demand_Data___Hourly_OverviewSearch_1_csv[[#This Row],[Date]],Supply_Data___Hourly_DriverActivity_1_csv__3[#All],5,FALSE)</f>
        <v>20</v>
      </c>
      <c r="M694">
        <f>VLOOKUP(Demand_Data___Hourly_OverviewSearch_1_csv[[#This Row],[Date]],Supply_Data___Hourly_DriverActivity_1_csv__3[#All],6,FALSE)</f>
        <v>0.4</v>
      </c>
      <c r="N694">
        <f>VLOOKUP(Demand_Data___Hourly_OverviewSearch_1_csv[[#This Row],[Date]],Supply_Data___Hourly_DriverActivity_1_csv__3[#All],7,FALSE)</f>
        <v>0.48</v>
      </c>
      <c r="O694">
        <f>VLOOKUP(Demand_Data___Hourly_OverviewSearch_1_csv[[#This Row],[Date]],Supply_Data___Hourly_DriverActivity_1_csv__3[#All],8,FALSE)</f>
        <v>13</v>
      </c>
      <c r="P694">
        <f>(Demand_Data___Hourly_OverviewSearch_1_csv[[#This Row],[People saw 0 cars (unique)]]+Demand_Data___Hourly_OverviewSearch_1_csv[[#This Row],[People saw +1 cars (unique)]])</f>
        <v>42</v>
      </c>
      <c r="Q694" s="143">
        <f t="shared" si="43"/>
        <v>20</v>
      </c>
    </row>
    <row r="695" spans="1:17" x14ac:dyDescent="0.3">
      <c r="A695" t="s">
        <v>702</v>
      </c>
      <c r="B695" t="str">
        <f t="shared" si="40"/>
        <v xml:space="preserve"> 01</v>
      </c>
      <c r="C695">
        <f t="shared" si="41"/>
        <v>7</v>
      </c>
      <c r="D695" t="str">
        <f t="shared" si="42"/>
        <v xml:space="preserve">2016-11-20 </v>
      </c>
      <c r="E695" t="str">
        <f>TEXT(Demand_Data___Hourly_OverviewSearch_1_csv[[#This Row],[Day]],"dddd")</f>
        <v>Saturday</v>
      </c>
      <c r="F695">
        <v>1</v>
      </c>
      <c r="G695">
        <v>48</v>
      </c>
      <c r="H695">
        <v>98</v>
      </c>
      <c r="I695">
        <f>VLOOKUP(Demand_Data___Hourly_OverviewSearch_1_csv[[#This Row],[Date]],Supply_Data___Hourly_DriverActivity_1_csv__3[#All],2,FALSE)</f>
        <v>74</v>
      </c>
      <c r="J695">
        <f>VLOOKUP(Demand_Data___Hourly_OverviewSearch_1_csv[[#This Row],[Date]],Supply_Data___Hourly_DriverActivity_1_csv__3[#All],3,FALSE)</f>
        <v>33</v>
      </c>
      <c r="K695">
        <f>VLOOKUP(Demand_Data___Hourly_OverviewSearch_1_csv[[#This Row],[Date]],Supply_Data___Hourly_DriverActivity_1_csv__3[#All],4,FALSE)</f>
        <v>8</v>
      </c>
      <c r="L695">
        <f>VLOOKUP(Demand_Data___Hourly_OverviewSearch_1_csv[[#This Row],[Date]],Supply_Data___Hourly_DriverActivity_1_csv__3[#All],5,FALSE)</f>
        <v>25</v>
      </c>
      <c r="M695">
        <f>VLOOKUP(Demand_Data___Hourly_OverviewSearch_1_csv[[#This Row],[Date]],Supply_Data___Hourly_DriverActivity_1_csv__3[#All],6,FALSE)</f>
        <v>0.4</v>
      </c>
      <c r="N695">
        <f>VLOOKUP(Demand_Data___Hourly_OverviewSearch_1_csv[[#This Row],[Date]],Supply_Data___Hourly_DriverActivity_1_csv__3[#All],7,FALSE)</f>
        <v>0.61</v>
      </c>
      <c r="O695">
        <f>VLOOKUP(Demand_Data___Hourly_OverviewSearch_1_csv[[#This Row],[Date]],Supply_Data___Hourly_DriverActivity_1_csv__3[#All],8,FALSE)</f>
        <v>20</v>
      </c>
      <c r="P695">
        <f>(Demand_Data___Hourly_OverviewSearch_1_csv[[#This Row],[People saw 0 cars (unique)]]+Demand_Data___Hourly_OverviewSearch_1_csv[[#This Row],[People saw +1 cars (unique)]])</f>
        <v>49</v>
      </c>
      <c r="Q695" s="143">
        <f t="shared" si="43"/>
        <v>25</v>
      </c>
    </row>
    <row r="696" spans="1:17" x14ac:dyDescent="0.3">
      <c r="A696" t="s">
        <v>703</v>
      </c>
      <c r="B696" t="str">
        <f t="shared" si="40"/>
        <v xml:space="preserve"> 00</v>
      </c>
      <c r="C696">
        <f t="shared" si="41"/>
        <v>7</v>
      </c>
      <c r="D696" t="str">
        <f t="shared" si="42"/>
        <v xml:space="preserve">2016-11-20 </v>
      </c>
      <c r="E696" t="str">
        <f>TEXT(Demand_Data___Hourly_OverviewSearch_1_csv[[#This Row],[Day]],"dddd")</f>
        <v>Saturday</v>
      </c>
      <c r="F696">
        <v>1</v>
      </c>
      <c r="G696">
        <v>53</v>
      </c>
      <c r="H696">
        <v>98</v>
      </c>
      <c r="I696">
        <f>VLOOKUP(Demand_Data___Hourly_OverviewSearch_1_csv[[#This Row],[Date]],Supply_Data___Hourly_DriverActivity_1_csv__3[#All],2,FALSE)</f>
        <v>83</v>
      </c>
      <c r="J696">
        <f>VLOOKUP(Demand_Data___Hourly_OverviewSearch_1_csv[[#This Row],[Date]],Supply_Data___Hourly_DriverActivity_1_csv__3[#All],3,FALSE)</f>
        <v>29</v>
      </c>
      <c r="K696">
        <f>VLOOKUP(Demand_Data___Hourly_OverviewSearch_1_csv[[#This Row],[Date]],Supply_Data___Hourly_DriverActivity_1_csv__3[#All],4,FALSE)</f>
        <v>10</v>
      </c>
      <c r="L696">
        <f>VLOOKUP(Demand_Data___Hourly_OverviewSearch_1_csv[[#This Row],[Date]],Supply_Data___Hourly_DriverActivity_1_csv__3[#All],5,FALSE)</f>
        <v>19</v>
      </c>
      <c r="M696">
        <f>VLOOKUP(Demand_Data___Hourly_OverviewSearch_1_csv[[#This Row],[Date]],Supply_Data___Hourly_DriverActivity_1_csv__3[#All],6,FALSE)</f>
        <v>0.3</v>
      </c>
      <c r="N696">
        <f>VLOOKUP(Demand_Data___Hourly_OverviewSearch_1_csv[[#This Row],[Date]],Supply_Data___Hourly_DriverActivity_1_csv__3[#All],7,FALSE)</f>
        <v>1.03</v>
      </c>
      <c r="O696">
        <f>VLOOKUP(Demand_Data___Hourly_OverviewSearch_1_csv[[#This Row],[Date]],Supply_Data___Hourly_DriverActivity_1_csv__3[#All],8,FALSE)</f>
        <v>30</v>
      </c>
      <c r="P696">
        <f>(Demand_Data___Hourly_OverviewSearch_1_csv[[#This Row],[People saw 0 cars (unique)]]+Demand_Data___Hourly_OverviewSearch_1_csv[[#This Row],[People saw +1 cars (unique)]])</f>
        <v>54</v>
      </c>
      <c r="Q696" s="143">
        <f t="shared" si="43"/>
        <v>19</v>
      </c>
    </row>
    <row r="697" spans="1:17" x14ac:dyDescent="0.3">
      <c r="A697" t="s">
        <v>704</v>
      </c>
      <c r="B697" t="str">
        <f t="shared" si="40"/>
        <v xml:space="preserve"> 23</v>
      </c>
      <c r="C697">
        <f t="shared" si="41"/>
        <v>6</v>
      </c>
      <c r="D697" t="str">
        <f t="shared" si="42"/>
        <v xml:space="preserve">2016-11-19 </v>
      </c>
      <c r="E697" t="str">
        <f>TEXT(Demand_Data___Hourly_OverviewSearch_1_csv[[#This Row],[Day]],"dddd")</f>
        <v>Friday</v>
      </c>
      <c r="F697">
        <v>0</v>
      </c>
      <c r="G697">
        <v>59</v>
      </c>
      <c r="H697">
        <v>100</v>
      </c>
      <c r="I697">
        <f>VLOOKUP(Demand_Data___Hourly_OverviewSearch_1_csv[[#This Row],[Date]],Supply_Data___Hourly_DriverActivity_1_csv__3[#All],2,FALSE)</f>
        <v>90</v>
      </c>
      <c r="J697">
        <f>VLOOKUP(Demand_Data___Hourly_OverviewSearch_1_csv[[#This Row],[Date]],Supply_Data___Hourly_DriverActivity_1_csv__3[#All],3,FALSE)</f>
        <v>32</v>
      </c>
      <c r="K697">
        <f>VLOOKUP(Demand_Data___Hourly_OverviewSearch_1_csv[[#This Row],[Date]],Supply_Data___Hourly_DriverActivity_1_csv__3[#All],4,FALSE)</f>
        <v>7</v>
      </c>
      <c r="L697">
        <f>VLOOKUP(Demand_Data___Hourly_OverviewSearch_1_csv[[#This Row],[Date]],Supply_Data___Hourly_DriverActivity_1_csv__3[#All],5,FALSE)</f>
        <v>25</v>
      </c>
      <c r="M697">
        <f>VLOOKUP(Demand_Data___Hourly_OverviewSearch_1_csv[[#This Row],[Date]],Supply_Data___Hourly_DriverActivity_1_csv__3[#All],6,FALSE)</f>
        <v>0.4</v>
      </c>
      <c r="N697">
        <f>VLOOKUP(Demand_Data___Hourly_OverviewSearch_1_csv[[#This Row],[Date]],Supply_Data___Hourly_DriverActivity_1_csv__3[#All],7,FALSE)</f>
        <v>0.63</v>
      </c>
      <c r="O697">
        <f>VLOOKUP(Demand_Data___Hourly_OverviewSearch_1_csv[[#This Row],[Date]],Supply_Data___Hourly_DriverActivity_1_csv__3[#All],8,FALSE)</f>
        <v>20</v>
      </c>
      <c r="P697">
        <f>(Demand_Data___Hourly_OverviewSearch_1_csv[[#This Row],[People saw 0 cars (unique)]]+Demand_Data___Hourly_OverviewSearch_1_csv[[#This Row],[People saw +1 cars (unique)]])</f>
        <v>59</v>
      </c>
      <c r="Q697" s="143">
        <f t="shared" si="43"/>
        <v>25</v>
      </c>
    </row>
    <row r="698" spans="1:17" x14ac:dyDescent="0.3">
      <c r="A698" t="s">
        <v>705</v>
      </c>
      <c r="B698" t="str">
        <f t="shared" si="40"/>
        <v xml:space="preserve"> 22</v>
      </c>
      <c r="C698">
        <f t="shared" si="41"/>
        <v>6</v>
      </c>
      <c r="D698" t="str">
        <f t="shared" si="42"/>
        <v xml:space="preserve">2016-11-19 </v>
      </c>
      <c r="E698" t="str">
        <f>TEXT(Demand_Data___Hourly_OverviewSearch_1_csv[[#This Row],[Day]],"dddd")</f>
        <v>Friday</v>
      </c>
      <c r="F698">
        <v>2</v>
      </c>
      <c r="G698">
        <v>46</v>
      </c>
      <c r="H698">
        <v>96</v>
      </c>
      <c r="I698">
        <f>VLOOKUP(Demand_Data___Hourly_OverviewSearch_1_csv[[#This Row],[Date]],Supply_Data___Hourly_DriverActivity_1_csv__3[#All],2,FALSE)</f>
        <v>91</v>
      </c>
      <c r="J698">
        <f>VLOOKUP(Demand_Data___Hourly_OverviewSearch_1_csv[[#This Row],[Date]],Supply_Data___Hourly_DriverActivity_1_csv__3[#All],3,FALSE)</f>
        <v>36</v>
      </c>
      <c r="K698">
        <f>VLOOKUP(Demand_Data___Hourly_OverviewSearch_1_csv[[#This Row],[Date]],Supply_Data___Hourly_DriverActivity_1_csv__3[#All],4,FALSE)</f>
        <v>5</v>
      </c>
      <c r="L698">
        <f>VLOOKUP(Demand_Data___Hourly_OverviewSearch_1_csv[[#This Row],[Date]],Supply_Data___Hourly_DriverActivity_1_csv__3[#All],5,FALSE)</f>
        <v>31</v>
      </c>
      <c r="M698">
        <f>VLOOKUP(Demand_Data___Hourly_OverviewSearch_1_csv[[#This Row],[Date]],Supply_Data___Hourly_DriverActivity_1_csv__3[#All],6,FALSE)</f>
        <v>0.4</v>
      </c>
      <c r="N698">
        <f>VLOOKUP(Demand_Data___Hourly_OverviewSearch_1_csv[[#This Row],[Date]],Supply_Data___Hourly_DriverActivity_1_csv__3[#All],7,FALSE)</f>
        <v>0.47</v>
      </c>
      <c r="O698">
        <f>VLOOKUP(Demand_Data___Hourly_OverviewSearch_1_csv[[#This Row],[Date]],Supply_Data___Hourly_DriverActivity_1_csv__3[#All],8,FALSE)</f>
        <v>17</v>
      </c>
      <c r="P698">
        <f>(Demand_Data___Hourly_OverviewSearch_1_csv[[#This Row],[People saw 0 cars (unique)]]+Demand_Data___Hourly_OverviewSearch_1_csv[[#This Row],[People saw +1 cars (unique)]])</f>
        <v>48</v>
      </c>
      <c r="Q698" s="143">
        <f t="shared" si="43"/>
        <v>31</v>
      </c>
    </row>
    <row r="699" spans="1:17" x14ac:dyDescent="0.3">
      <c r="A699" t="s">
        <v>706</v>
      </c>
      <c r="B699" t="str">
        <f t="shared" si="40"/>
        <v xml:space="preserve"> 21</v>
      </c>
      <c r="C699">
        <f t="shared" si="41"/>
        <v>6</v>
      </c>
      <c r="D699" t="str">
        <f t="shared" si="42"/>
        <v xml:space="preserve">2016-11-19 </v>
      </c>
      <c r="E699" t="str">
        <f>TEXT(Demand_Data___Hourly_OverviewSearch_1_csv[[#This Row],[Day]],"dddd")</f>
        <v>Friday</v>
      </c>
      <c r="F699">
        <v>1</v>
      </c>
      <c r="G699">
        <v>37</v>
      </c>
      <c r="H699">
        <v>97</v>
      </c>
      <c r="I699">
        <f>VLOOKUP(Demand_Data___Hourly_OverviewSearch_1_csv[[#This Row],[Date]],Supply_Data___Hourly_DriverActivity_1_csv__3[#All],2,FALSE)</f>
        <v>93</v>
      </c>
      <c r="J699">
        <f>VLOOKUP(Demand_Data___Hourly_OverviewSearch_1_csv[[#This Row],[Date]],Supply_Data___Hourly_DriverActivity_1_csv__3[#All],3,FALSE)</f>
        <v>45</v>
      </c>
      <c r="K699">
        <f>VLOOKUP(Demand_Data___Hourly_OverviewSearch_1_csv[[#This Row],[Date]],Supply_Data___Hourly_DriverActivity_1_csv__3[#All],4,FALSE)</f>
        <v>5</v>
      </c>
      <c r="L699">
        <f>VLOOKUP(Demand_Data___Hourly_OverviewSearch_1_csv[[#This Row],[Date]],Supply_Data___Hourly_DriverActivity_1_csv__3[#All],5,FALSE)</f>
        <v>40</v>
      </c>
      <c r="M699">
        <f>VLOOKUP(Demand_Data___Hourly_OverviewSearch_1_csv[[#This Row],[Date]],Supply_Data___Hourly_DriverActivity_1_csv__3[#All],6,FALSE)</f>
        <v>0.5</v>
      </c>
      <c r="N699">
        <f>VLOOKUP(Demand_Data___Hourly_OverviewSearch_1_csv[[#This Row],[Date]],Supply_Data___Hourly_DriverActivity_1_csv__3[#All],7,FALSE)</f>
        <v>0.24</v>
      </c>
      <c r="O699">
        <f>VLOOKUP(Demand_Data___Hourly_OverviewSearch_1_csv[[#This Row],[Date]],Supply_Data___Hourly_DriverActivity_1_csv__3[#All],8,FALSE)</f>
        <v>11</v>
      </c>
      <c r="P699">
        <f>(Demand_Data___Hourly_OverviewSearch_1_csv[[#This Row],[People saw 0 cars (unique)]]+Demand_Data___Hourly_OverviewSearch_1_csv[[#This Row],[People saw +1 cars (unique)]])</f>
        <v>38</v>
      </c>
      <c r="Q699" s="143">
        <f t="shared" si="43"/>
        <v>40</v>
      </c>
    </row>
    <row r="700" spans="1:17" x14ac:dyDescent="0.3">
      <c r="A700" t="s">
        <v>707</v>
      </c>
      <c r="B700" t="str">
        <f t="shared" si="40"/>
        <v xml:space="preserve"> 20</v>
      </c>
      <c r="C700">
        <f t="shared" si="41"/>
        <v>6</v>
      </c>
      <c r="D700" t="str">
        <f t="shared" si="42"/>
        <v xml:space="preserve">2016-11-19 </v>
      </c>
      <c r="E700" t="str">
        <f>TEXT(Demand_Data___Hourly_OverviewSearch_1_csv[[#This Row],[Day]],"dddd")</f>
        <v>Friday</v>
      </c>
      <c r="F700">
        <v>9</v>
      </c>
      <c r="G700">
        <v>35</v>
      </c>
      <c r="H700">
        <v>80</v>
      </c>
      <c r="I700">
        <f>VLOOKUP(Demand_Data___Hourly_OverviewSearch_1_csv[[#This Row],[Date]],Supply_Data___Hourly_DriverActivity_1_csv__3[#All],2,FALSE)</f>
        <v>83</v>
      </c>
      <c r="J700">
        <f>VLOOKUP(Demand_Data___Hourly_OverviewSearch_1_csv[[#This Row],[Date]],Supply_Data___Hourly_DriverActivity_1_csv__3[#All],3,FALSE)</f>
        <v>35</v>
      </c>
      <c r="K700">
        <f>VLOOKUP(Demand_Data___Hourly_OverviewSearch_1_csv[[#This Row],[Date]],Supply_Data___Hourly_DriverActivity_1_csv__3[#All],4,FALSE)</f>
        <v>6</v>
      </c>
      <c r="L700">
        <f>VLOOKUP(Demand_Data___Hourly_OverviewSearch_1_csv[[#This Row],[Date]],Supply_Data___Hourly_DriverActivity_1_csv__3[#All],5,FALSE)</f>
        <v>29</v>
      </c>
      <c r="M700">
        <f>VLOOKUP(Demand_Data___Hourly_OverviewSearch_1_csv[[#This Row],[Date]],Supply_Data___Hourly_DriverActivity_1_csv__3[#All],6,FALSE)</f>
        <v>0.4</v>
      </c>
      <c r="N700">
        <f>VLOOKUP(Demand_Data___Hourly_OverviewSearch_1_csv[[#This Row],[Date]],Supply_Data___Hourly_DriverActivity_1_csv__3[#All],7,FALSE)</f>
        <v>0.49</v>
      </c>
      <c r="O700">
        <f>VLOOKUP(Demand_Data___Hourly_OverviewSearch_1_csv[[#This Row],[Date]],Supply_Data___Hourly_DriverActivity_1_csv__3[#All],8,FALSE)</f>
        <v>17</v>
      </c>
      <c r="P700">
        <f>(Demand_Data___Hourly_OverviewSearch_1_csv[[#This Row],[People saw 0 cars (unique)]]+Demand_Data___Hourly_OverviewSearch_1_csv[[#This Row],[People saw +1 cars (unique)]])</f>
        <v>44</v>
      </c>
      <c r="Q700" s="143">
        <f t="shared" si="43"/>
        <v>29</v>
      </c>
    </row>
    <row r="701" spans="1:17" x14ac:dyDescent="0.3">
      <c r="A701" t="s">
        <v>708</v>
      </c>
      <c r="B701" t="str">
        <f t="shared" si="40"/>
        <v xml:space="preserve"> 19</v>
      </c>
      <c r="C701">
        <f t="shared" si="41"/>
        <v>6</v>
      </c>
      <c r="D701" t="str">
        <f t="shared" si="42"/>
        <v xml:space="preserve">2016-11-19 </v>
      </c>
      <c r="E701" t="str">
        <f>TEXT(Demand_Data___Hourly_OverviewSearch_1_csv[[#This Row],[Day]],"dddd")</f>
        <v>Friday</v>
      </c>
      <c r="F701">
        <v>8</v>
      </c>
      <c r="G701">
        <v>45</v>
      </c>
      <c r="H701">
        <v>85</v>
      </c>
      <c r="I701">
        <f>VLOOKUP(Demand_Data___Hourly_OverviewSearch_1_csv[[#This Row],[Date]],Supply_Data___Hourly_DriverActivity_1_csv__3[#All],2,FALSE)</f>
        <v>86</v>
      </c>
      <c r="J701">
        <f>VLOOKUP(Demand_Data___Hourly_OverviewSearch_1_csv[[#This Row],[Date]],Supply_Data___Hourly_DriverActivity_1_csv__3[#All],3,FALSE)</f>
        <v>34</v>
      </c>
      <c r="K701">
        <f>VLOOKUP(Demand_Data___Hourly_OverviewSearch_1_csv[[#This Row],[Date]],Supply_Data___Hourly_DriverActivity_1_csv__3[#All],4,FALSE)</f>
        <v>6</v>
      </c>
      <c r="L701">
        <f>VLOOKUP(Demand_Data___Hourly_OverviewSearch_1_csv[[#This Row],[Date]],Supply_Data___Hourly_DriverActivity_1_csv__3[#All],5,FALSE)</f>
        <v>29</v>
      </c>
      <c r="M701">
        <f>VLOOKUP(Demand_Data___Hourly_OverviewSearch_1_csv[[#This Row],[Date]],Supply_Data___Hourly_DriverActivity_1_csv__3[#All],6,FALSE)</f>
        <v>0.4</v>
      </c>
      <c r="N701">
        <f>VLOOKUP(Demand_Data___Hourly_OverviewSearch_1_csv[[#This Row],[Date]],Supply_Data___Hourly_DriverActivity_1_csv__3[#All],7,FALSE)</f>
        <v>0.47</v>
      </c>
      <c r="O701">
        <f>VLOOKUP(Demand_Data___Hourly_OverviewSearch_1_csv[[#This Row],[Date]],Supply_Data___Hourly_DriverActivity_1_csv__3[#All],8,FALSE)</f>
        <v>16</v>
      </c>
      <c r="P701">
        <f>(Demand_Data___Hourly_OverviewSearch_1_csv[[#This Row],[People saw 0 cars (unique)]]+Demand_Data___Hourly_OverviewSearch_1_csv[[#This Row],[People saw +1 cars (unique)]])</f>
        <v>53</v>
      </c>
      <c r="Q701" s="143">
        <f t="shared" si="43"/>
        <v>28</v>
      </c>
    </row>
    <row r="702" spans="1:17" x14ac:dyDescent="0.3">
      <c r="A702" t="s">
        <v>709</v>
      </c>
      <c r="B702" t="str">
        <f t="shared" si="40"/>
        <v xml:space="preserve"> 18</v>
      </c>
      <c r="C702">
        <f t="shared" si="41"/>
        <v>6</v>
      </c>
      <c r="D702" t="str">
        <f t="shared" si="42"/>
        <v xml:space="preserve">2016-11-19 </v>
      </c>
      <c r="E702" t="str">
        <f>TEXT(Demand_Data___Hourly_OverviewSearch_1_csv[[#This Row],[Day]],"dddd")</f>
        <v>Friday</v>
      </c>
      <c r="F702">
        <v>6</v>
      </c>
      <c r="G702">
        <v>43</v>
      </c>
      <c r="H702">
        <v>88</v>
      </c>
      <c r="I702">
        <f>VLOOKUP(Demand_Data___Hourly_OverviewSearch_1_csv[[#This Row],[Date]],Supply_Data___Hourly_DriverActivity_1_csv__3[#All],2,FALSE)</f>
        <v>81</v>
      </c>
      <c r="J702">
        <f>VLOOKUP(Demand_Data___Hourly_OverviewSearch_1_csv[[#This Row],[Date]],Supply_Data___Hourly_DriverActivity_1_csv__3[#All],3,FALSE)</f>
        <v>31</v>
      </c>
      <c r="K702">
        <f>VLOOKUP(Demand_Data___Hourly_OverviewSearch_1_csv[[#This Row],[Date]],Supply_Data___Hourly_DriverActivity_1_csv__3[#All],4,FALSE)</f>
        <v>7</v>
      </c>
      <c r="L702">
        <f>VLOOKUP(Demand_Data___Hourly_OverviewSearch_1_csv[[#This Row],[Date]],Supply_Data___Hourly_DriverActivity_1_csv__3[#All],5,FALSE)</f>
        <v>25</v>
      </c>
      <c r="M702">
        <f>VLOOKUP(Demand_Data___Hourly_OverviewSearch_1_csv[[#This Row],[Date]],Supply_Data___Hourly_DriverActivity_1_csv__3[#All],6,FALSE)</f>
        <v>0.4</v>
      </c>
      <c r="N702">
        <f>VLOOKUP(Demand_Data___Hourly_OverviewSearch_1_csv[[#This Row],[Date]],Supply_Data___Hourly_DriverActivity_1_csv__3[#All],7,FALSE)</f>
        <v>0.52</v>
      </c>
      <c r="O702">
        <f>VLOOKUP(Demand_Data___Hourly_OverviewSearch_1_csv[[#This Row],[Date]],Supply_Data___Hourly_DriverActivity_1_csv__3[#All],8,FALSE)</f>
        <v>16</v>
      </c>
      <c r="P702">
        <f>(Demand_Data___Hourly_OverviewSearch_1_csv[[#This Row],[People saw 0 cars (unique)]]+Demand_Data___Hourly_OverviewSearch_1_csv[[#This Row],[People saw +1 cars (unique)]])</f>
        <v>49</v>
      </c>
      <c r="Q702" s="143">
        <f t="shared" si="43"/>
        <v>24</v>
      </c>
    </row>
    <row r="703" spans="1:17" x14ac:dyDescent="0.3">
      <c r="A703" t="s">
        <v>710</v>
      </c>
      <c r="B703" t="str">
        <f t="shared" si="40"/>
        <v xml:space="preserve"> 17</v>
      </c>
      <c r="C703">
        <f t="shared" si="41"/>
        <v>6</v>
      </c>
      <c r="D703" t="str">
        <f t="shared" si="42"/>
        <v xml:space="preserve">2016-11-19 </v>
      </c>
      <c r="E703" t="str">
        <f>TEXT(Demand_Data___Hourly_OverviewSearch_1_csv[[#This Row],[Day]],"dddd")</f>
        <v>Friday</v>
      </c>
      <c r="F703">
        <v>5</v>
      </c>
      <c r="G703">
        <v>38</v>
      </c>
      <c r="H703">
        <v>88</v>
      </c>
      <c r="I703">
        <f>VLOOKUP(Demand_Data___Hourly_OverviewSearch_1_csv[[#This Row],[Date]],Supply_Data___Hourly_DriverActivity_1_csv__3[#All],2,FALSE)</f>
        <v>77</v>
      </c>
      <c r="J703">
        <f>VLOOKUP(Demand_Data___Hourly_OverviewSearch_1_csv[[#This Row],[Date]],Supply_Data___Hourly_DriverActivity_1_csv__3[#All],3,FALSE)</f>
        <v>28</v>
      </c>
      <c r="K703">
        <f>VLOOKUP(Demand_Data___Hourly_OverviewSearch_1_csv[[#This Row],[Date]],Supply_Data___Hourly_DriverActivity_1_csv__3[#All],4,FALSE)</f>
        <v>4</v>
      </c>
      <c r="L703">
        <f>VLOOKUP(Demand_Data___Hourly_OverviewSearch_1_csv[[#This Row],[Date]],Supply_Data___Hourly_DriverActivity_1_csv__3[#All],5,FALSE)</f>
        <v>24</v>
      </c>
      <c r="M703">
        <f>VLOOKUP(Demand_Data___Hourly_OverviewSearch_1_csv[[#This Row],[Date]],Supply_Data___Hourly_DriverActivity_1_csv__3[#All],6,FALSE)</f>
        <v>0.4</v>
      </c>
      <c r="N703">
        <f>VLOOKUP(Demand_Data___Hourly_OverviewSearch_1_csv[[#This Row],[Date]],Supply_Data___Hourly_DriverActivity_1_csv__3[#All],7,FALSE)</f>
        <v>0.39</v>
      </c>
      <c r="O703">
        <f>VLOOKUP(Demand_Data___Hourly_OverviewSearch_1_csv[[#This Row],[Date]],Supply_Data___Hourly_DriverActivity_1_csv__3[#All],8,FALSE)</f>
        <v>11</v>
      </c>
      <c r="P703">
        <f>(Demand_Data___Hourly_OverviewSearch_1_csv[[#This Row],[People saw 0 cars (unique)]]+Demand_Data___Hourly_OverviewSearch_1_csv[[#This Row],[People saw +1 cars (unique)]])</f>
        <v>43</v>
      </c>
      <c r="Q703" s="143">
        <f t="shared" si="43"/>
        <v>24</v>
      </c>
    </row>
    <row r="704" spans="1:17" x14ac:dyDescent="0.3">
      <c r="A704" t="s">
        <v>711</v>
      </c>
      <c r="B704" t="str">
        <f t="shared" si="40"/>
        <v xml:space="preserve"> 16</v>
      </c>
      <c r="C704">
        <f t="shared" si="41"/>
        <v>6</v>
      </c>
      <c r="D704" t="str">
        <f t="shared" si="42"/>
        <v xml:space="preserve">2016-11-19 </v>
      </c>
      <c r="E704" t="str">
        <f>TEXT(Demand_Data___Hourly_OverviewSearch_1_csv[[#This Row],[Day]],"dddd")</f>
        <v>Friday</v>
      </c>
      <c r="F704">
        <v>7</v>
      </c>
      <c r="G704">
        <v>36</v>
      </c>
      <c r="H704">
        <v>84</v>
      </c>
      <c r="I704">
        <f>VLOOKUP(Demand_Data___Hourly_OverviewSearch_1_csv[[#This Row],[Date]],Supply_Data___Hourly_DriverActivity_1_csv__3[#All],2,FALSE)</f>
        <v>67</v>
      </c>
      <c r="J704">
        <f>VLOOKUP(Demand_Data___Hourly_OverviewSearch_1_csv[[#This Row],[Date]],Supply_Data___Hourly_DriverActivity_1_csv__3[#All],3,FALSE)</f>
        <v>22</v>
      </c>
      <c r="K704">
        <f>VLOOKUP(Demand_Data___Hourly_OverviewSearch_1_csv[[#This Row],[Date]],Supply_Data___Hourly_DriverActivity_1_csv__3[#All],4,FALSE)</f>
        <v>3</v>
      </c>
      <c r="L704">
        <f>VLOOKUP(Demand_Data___Hourly_OverviewSearch_1_csv[[#This Row],[Date]],Supply_Data___Hourly_DriverActivity_1_csv__3[#All],5,FALSE)</f>
        <v>19</v>
      </c>
      <c r="M704">
        <f>VLOOKUP(Demand_Data___Hourly_OverviewSearch_1_csv[[#This Row],[Date]],Supply_Data___Hourly_DriverActivity_1_csv__3[#All],6,FALSE)</f>
        <v>0.3</v>
      </c>
      <c r="N704">
        <f>VLOOKUP(Demand_Data___Hourly_OverviewSearch_1_csv[[#This Row],[Date]],Supply_Data___Hourly_DriverActivity_1_csv__3[#All],7,FALSE)</f>
        <v>0.32</v>
      </c>
      <c r="O704">
        <f>VLOOKUP(Demand_Data___Hourly_OverviewSearch_1_csv[[#This Row],[Date]],Supply_Data___Hourly_DriverActivity_1_csv__3[#All],8,FALSE)</f>
        <v>7</v>
      </c>
      <c r="P704">
        <f>(Demand_Data___Hourly_OverviewSearch_1_csv[[#This Row],[People saw 0 cars (unique)]]+Demand_Data___Hourly_OverviewSearch_1_csv[[#This Row],[People saw +1 cars (unique)]])</f>
        <v>43</v>
      </c>
      <c r="Q704" s="143">
        <f t="shared" si="43"/>
        <v>19</v>
      </c>
    </row>
    <row r="705" spans="1:17" x14ac:dyDescent="0.3">
      <c r="A705" t="s">
        <v>712</v>
      </c>
      <c r="B705" t="str">
        <f t="shared" si="40"/>
        <v xml:space="preserve"> 15</v>
      </c>
      <c r="C705">
        <f t="shared" si="41"/>
        <v>6</v>
      </c>
      <c r="D705" t="str">
        <f t="shared" si="42"/>
        <v xml:space="preserve">2016-11-19 </v>
      </c>
      <c r="E705" t="str">
        <f>TEXT(Demand_Data___Hourly_OverviewSearch_1_csv[[#This Row],[Day]],"dddd")</f>
        <v>Friday</v>
      </c>
      <c r="F705">
        <v>7</v>
      </c>
      <c r="G705">
        <v>33</v>
      </c>
      <c r="H705">
        <v>83</v>
      </c>
      <c r="I705">
        <f>VLOOKUP(Demand_Data___Hourly_OverviewSearch_1_csv[[#This Row],[Date]],Supply_Data___Hourly_DriverActivity_1_csv__3[#All],2,FALSE)</f>
        <v>69</v>
      </c>
      <c r="J705">
        <f>VLOOKUP(Demand_Data___Hourly_OverviewSearch_1_csv[[#This Row],[Date]],Supply_Data___Hourly_DriverActivity_1_csv__3[#All],3,FALSE)</f>
        <v>23</v>
      </c>
      <c r="K705">
        <f>VLOOKUP(Demand_Data___Hourly_OverviewSearch_1_csv[[#This Row],[Date]],Supply_Data___Hourly_DriverActivity_1_csv__3[#All],4,FALSE)</f>
        <v>3</v>
      </c>
      <c r="L705">
        <f>VLOOKUP(Demand_Data___Hourly_OverviewSearch_1_csv[[#This Row],[Date]],Supply_Data___Hourly_DriverActivity_1_csv__3[#All],5,FALSE)</f>
        <v>20</v>
      </c>
      <c r="M705">
        <f>VLOOKUP(Demand_Data___Hourly_OverviewSearch_1_csv[[#This Row],[Date]],Supply_Data___Hourly_DriverActivity_1_csv__3[#All],6,FALSE)</f>
        <v>0.3</v>
      </c>
      <c r="N705">
        <f>VLOOKUP(Demand_Data___Hourly_OverviewSearch_1_csv[[#This Row],[Date]],Supply_Data___Hourly_DriverActivity_1_csv__3[#All],7,FALSE)</f>
        <v>0.26</v>
      </c>
      <c r="O705">
        <f>VLOOKUP(Demand_Data___Hourly_OverviewSearch_1_csv[[#This Row],[Date]],Supply_Data___Hourly_DriverActivity_1_csv__3[#All],8,FALSE)</f>
        <v>6</v>
      </c>
      <c r="P705">
        <f>(Demand_Data___Hourly_OverviewSearch_1_csv[[#This Row],[People saw 0 cars (unique)]]+Demand_Data___Hourly_OverviewSearch_1_csv[[#This Row],[People saw +1 cars (unique)]])</f>
        <v>40</v>
      </c>
      <c r="Q705" s="143">
        <f t="shared" si="43"/>
        <v>20</v>
      </c>
    </row>
    <row r="706" spans="1:17" x14ac:dyDescent="0.3">
      <c r="A706" t="s">
        <v>713</v>
      </c>
      <c r="B706" t="str">
        <f t="shared" ref="B706:B769" si="44">RIGHT(A706,3)</f>
        <v xml:space="preserve"> 14</v>
      </c>
      <c r="C706">
        <f t="shared" ref="C706:C769" si="45">WEEKDAY(DATEVALUE(LEFT(A706,FIND(" ",A706))),2)</f>
        <v>6</v>
      </c>
      <c r="D706" t="str">
        <f t="shared" ref="D706:D769" si="46">LEFT(A706,11)</f>
        <v xml:space="preserve">2016-11-19 </v>
      </c>
      <c r="E706" t="str">
        <f>TEXT(Demand_Data___Hourly_OverviewSearch_1_csv[[#This Row],[Day]],"dddd")</f>
        <v>Friday</v>
      </c>
      <c r="F706">
        <v>5</v>
      </c>
      <c r="G706">
        <v>32</v>
      </c>
      <c r="H706">
        <v>86</v>
      </c>
      <c r="I706">
        <f>VLOOKUP(Demand_Data___Hourly_OverviewSearch_1_csv[[#This Row],[Date]],Supply_Data___Hourly_DriverActivity_1_csv__3[#All],2,FALSE)</f>
        <v>52</v>
      </c>
      <c r="J706">
        <f>VLOOKUP(Demand_Data___Hourly_OverviewSearch_1_csv[[#This Row],[Date]],Supply_Data___Hourly_DriverActivity_1_csv__3[#All],3,FALSE)</f>
        <v>21</v>
      </c>
      <c r="K706">
        <f>VLOOKUP(Demand_Data___Hourly_OverviewSearch_1_csv[[#This Row],[Date]],Supply_Data___Hourly_DriverActivity_1_csv__3[#All],4,FALSE)</f>
        <v>5</v>
      </c>
      <c r="L706">
        <f>VLOOKUP(Demand_Data___Hourly_OverviewSearch_1_csv[[#This Row],[Date]],Supply_Data___Hourly_DriverActivity_1_csv__3[#All],5,FALSE)</f>
        <v>16</v>
      </c>
      <c r="M706">
        <f>VLOOKUP(Demand_Data___Hourly_OverviewSearch_1_csv[[#This Row],[Date]],Supply_Data___Hourly_DriverActivity_1_csv__3[#All],6,FALSE)</f>
        <v>0.4</v>
      </c>
      <c r="N706">
        <f>VLOOKUP(Demand_Data___Hourly_OverviewSearch_1_csv[[#This Row],[Date]],Supply_Data___Hourly_DriverActivity_1_csv__3[#All],7,FALSE)</f>
        <v>0.38</v>
      </c>
      <c r="O706">
        <f>VLOOKUP(Demand_Data___Hourly_OverviewSearch_1_csv[[#This Row],[Date]],Supply_Data___Hourly_DriverActivity_1_csv__3[#All],8,FALSE)</f>
        <v>8</v>
      </c>
      <c r="P706">
        <f>(Demand_Data___Hourly_OverviewSearch_1_csv[[#This Row],[People saw 0 cars (unique)]]+Demand_Data___Hourly_OverviewSearch_1_csv[[#This Row],[People saw +1 cars (unique)]])</f>
        <v>37</v>
      </c>
      <c r="Q706" s="143">
        <f t="shared" ref="Q706:Q769" si="47">(J706-K706)</f>
        <v>16</v>
      </c>
    </row>
    <row r="707" spans="1:17" x14ac:dyDescent="0.3">
      <c r="A707" t="s">
        <v>714</v>
      </c>
      <c r="B707" t="str">
        <f t="shared" si="44"/>
        <v xml:space="preserve"> 13</v>
      </c>
      <c r="C707">
        <f t="shared" si="45"/>
        <v>6</v>
      </c>
      <c r="D707" t="str">
        <f t="shared" si="46"/>
        <v xml:space="preserve">2016-11-19 </v>
      </c>
      <c r="E707" t="str">
        <f>TEXT(Demand_Data___Hourly_OverviewSearch_1_csv[[#This Row],[Day]],"dddd")</f>
        <v>Friday</v>
      </c>
      <c r="F707">
        <v>6</v>
      </c>
      <c r="G707">
        <v>28</v>
      </c>
      <c r="H707">
        <v>82</v>
      </c>
      <c r="I707">
        <f>VLOOKUP(Demand_Data___Hourly_OverviewSearch_1_csv[[#This Row],[Date]],Supply_Data___Hourly_DriverActivity_1_csv__3[#All],2,FALSE)</f>
        <v>53</v>
      </c>
      <c r="J707">
        <f>VLOOKUP(Demand_Data___Hourly_OverviewSearch_1_csv[[#This Row],[Date]],Supply_Data___Hourly_DriverActivity_1_csv__3[#All],3,FALSE)</f>
        <v>18</v>
      </c>
      <c r="K707">
        <f>VLOOKUP(Demand_Data___Hourly_OverviewSearch_1_csv[[#This Row],[Date]],Supply_Data___Hourly_DriverActivity_1_csv__3[#All],4,FALSE)</f>
        <v>4</v>
      </c>
      <c r="L707">
        <f>VLOOKUP(Demand_Data___Hourly_OverviewSearch_1_csv[[#This Row],[Date]],Supply_Data___Hourly_DriverActivity_1_csv__3[#All],5,FALSE)</f>
        <v>14</v>
      </c>
      <c r="M707">
        <f>VLOOKUP(Demand_Data___Hourly_OverviewSearch_1_csv[[#This Row],[Date]],Supply_Data___Hourly_DriverActivity_1_csv__3[#All],6,FALSE)</f>
        <v>0.3</v>
      </c>
      <c r="N707">
        <f>VLOOKUP(Demand_Data___Hourly_OverviewSearch_1_csv[[#This Row],[Date]],Supply_Data___Hourly_DriverActivity_1_csv__3[#All],7,FALSE)</f>
        <v>0.56000000000000005</v>
      </c>
      <c r="O707">
        <f>VLOOKUP(Demand_Data___Hourly_OverviewSearch_1_csv[[#This Row],[Date]],Supply_Data___Hourly_DriverActivity_1_csv__3[#All],8,FALSE)</f>
        <v>10</v>
      </c>
      <c r="P707">
        <f>(Demand_Data___Hourly_OverviewSearch_1_csv[[#This Row],[People saw 0 cars (unique)]]+Demand_Data___Hourly_OverviewSearch_1_csv[[#This Row],[People saw +1 cars (unique)]])</f>
        <v>34</v>
      </c>
      <c r="Q707" s="143">
        <f t="shared" si="47"/>
        <v>14</v>
      </c>
    </row>
    <row r="708" spans="1:17" x14ac:dyDescent="0.3">
      <c r="A708" t="s">
        <v>715</v>
      </c>
      <c r="B708" t="str">
        <f t="shared" si="44"/>
        <v xml:space="preserve"> 12</v>
      </c>
      <c r="C708">
        <f t="shared" si="45"/>
        <v>6</v>
      </c>
      <c r="D708" t="str">
        <f t="shared" si="46"/>
        <v xml:space="preserve">2016-11-19 </v>
      </c>
      <c r="E708" t="str">
        <f>TEXT(Demand_Data___Hourly_OverviewSearch_1_csv[[#This Row],[Day]],"dddd")</f>
        <v>Friday</v>
      </c>
      <c r="F708">
        <v>7</v>
      </c>
      <c r="G708">
        <v>28</v>
      </c>
      <c r="H708">
        <v>80</v>
      </c>
      <c r="I708">
        <f>VLOOKUP(Demand_Data___Hourly_OverviewSearch_1_csv[[#This Row],[Date]],Supply_Data___Hourly_DriverActivity_1_csv__3[#All],2,FALSE)</f>
        <v>51</v>
      </c>
      <c r="J708">
        <f>VLOOKUP(Demand_Data___Hourly_OverviewSearch_1_csv[[#This Row],[Date]],Supply_Data___Hourly_DriverActivity_1_csv__3[#All],3,FALSE)</f>
        <v>17</v>
      </c>
      <c r="K708">
        <f>VLOOKUP(Demand_Data___Hourly_OverviewSearch_1_csv[[#This Row],[Date]],Supply_Data___Hourly_DriverActivity_1_csv__3[#All],4,FALSE)</f>
        <v>2</v>
      </c>
      <c r="L708">
        <f>VLOOKUP(Demand_Data___Hourly_OverviewSearch_1_csv[[#This Row],[Date]],Supply_Data___Hourly_DriverActivity_1_csv__3[#All],5,FALSE)</f>
        <v>15</v>
      </c>
      <c r="M708">
        <f>VLOOKUP(Demand_Data___Hourly_OverviewSearch_1_csv[[#This Row],[Date]],Supply_Data___Hourly_DriverActivity_1_csv__3[#All],6,FALSE)</f>
        <v>0.3</v>
      </c>
      <c r="N708">
        <f>VLOOKUP(Demand_Data___Hourly_OverviewSearch_1_csv[[#This Row],[Date]],Supply_Data___Hourly_DriverActivity_1_csv__3[#All],7,FALSE)</f>
        <v>0.41</v>
      </c>
      <c r="O708">
        <f>VLOOKUP(Demand_Data___Hourly_OverviewSearch_1_csv[[#This Row],[Date]],Supply_Data___Hourly_DriverActivity_1_csv__3[#All],8,FALSE)</f>
        <v>7</v>
      </c>
      <c r="P708">
        <f>(Demand_Data___Hourly_OverviewSearch_1_csv[[#This Row],[People saw 0 cars (unique)]]+Demand_Data___Hourly_OverviewSearch_1_csv[[#This Row],[People saw +1 cars (unique)]])</f>
        <v>35</v>
      </c>
      <c r="Q708" s="143">
        <f t="shared" si="47"/>
        <v>15</v>
      </c>
    </row>
    <row r="709" spans="1:17" x14ac:dyDescent="0.3">
      <c r="A709" t="s">
        <v>716</v>
      </c>
      <c r="B709" t="str">
        <f t="shared" si="44"/>
        <v xml:space="preserve"> 11</v>
      </c>
      <c r="C709">
        <f t="shared" si="45"/>
        <v>6</v>
      </c>
      <c r="D709" t="str">
        <f t="shared" si="46"/>
        <v xml:space="preserve">2016-11-19 </v>
      </c>
      <c r="E709" t="str">
        <f>TEXT(Demand_Data___Hourly_OverviewSearch_1_csv[[#This Row],[Day]],"dddd")</f>
        <v>Friday</v>
      </c>
      <c r="F709">
        <v>12</v>
      </c>
      <c r="G709">
        <v>28</v>
      </c>
      <c r="H709">
        <v>70</v>
      </c>
      <c r="I709">
        <f>VLOOKUP(Demand_Data___Hourly_OverviewSearch_1_csv[[#This Row],[Date]],Supply_Data___Hourly_DriverActivity_1_csv__3[#All],2,FALSE)</f>
        <v>43</v>
      </c>
      <c r="J709">
        <f>VLOOKUP(Demand_Data___Hourly_OverviewSearch_1_csv[[#This Row],[Date]],Supply_Data___Hourly_DriverActivity_1_csv__3[#All],3,FALSE)</f>
        <v>18</v>
      </c>
      <c r="K709">
        <f>VLOOKUP(Demand_Data___Hourly_OverviewSearch_1_csv[[#This Row],[Date]],Supply_Data___Hourly_DriverActivity_1_csv__3[#All],4,FALSE)</f>
        <v>5</v>
      </c>
      <c r="L709">
        <f>VLOOKUP(Demand_Data___Hourly_OverviewSearch_1_csv[[#This Row],[Date]],Supply_Data___Hourly_DriverActivity_1_csv__3[#All],5,FALSE)</f>
        <v>12</v>
      </c>
      <c r="M709">
        <f>VLOOKUP(Demand_Data___Hourly_OverviewSearch_1_csv[[#This Row],[Date]],Supply_Data___Hourly_DriverActivity_1_csv__3[#All],6,FALSE)</f>
        <v>0.4</v>
      </c>
      <c r="N709">
        <f>VLOOKUP(Demand_Data___Hourly_OverviewSearch_1_csv[[#This Row],[Date]],Supply_Data___Hourly_DriverActivity_1_csv__3[#All],7,FALSE)</f>
        <v>0.44</v>
      </c>
      <c r="O709">
        <f>VLOOKUP(Demand_Data___Hourly_OverviewSearch_1_csv[[#This Row],[Date]],Supply_Data___Hourly_DriverActivity_1_csv__3[#All],8,FALSE)</f>
        <v>8</v>
      </c>
      <c r="P709">
        <f>(Demand_Data___Hourly_OverviewSearch_1_csv[[#This Row],[People saw 0 cars (unique)]]+Demand_Data___Hourly_OverviewSearch_1_csv[[#This Row],[People saw +1 cars (unique)]])</f>
        <v>40</v>
      </c>
      <c r="Q709" s="143">
        <f t="shared" si="47"/>
        <v>13</v>
      </c>
    </row>
    <row r="710" spans="1:17" x14ac:dyDescent="0.3">
      <c r="A710" t="s">
        <v>717</v>
      </c>
      <c r="B710" t="str">
        <f t="shared" si="44"/>
        <v xml:space="preserve"> 10</v>
      </c>
      <c r="C710">
        <f t="shared" si="45"/>
        <v>6</v>
      </c>
      <c r="D710" t="str">
        <f t="shared" si="46"/>
        <v xml:space="preserve">2016-11-19 </v>
      </c>
      <c r="E710" t="str">
        <f>TEXT(Demand_Data___Hourly_OverviewSearch_1_csv[[#This Row],[Day]],"dddd")</f>
        <v>Friday</v>
      </c>
      <c r="F710">
        <v>10</v>
      </c>
      <c r="G710">
        <v>29</v>
      </c>
      <c r="H710">
        <v>74</v>
      </c>
      <c r="I710">
        <f>VLOOKUP(Demand_Data___Hourly_OverviewSearch_1_csv[[#This Row],[Date]],Supply_Data___Hourly_DriverActivity_1_csv__3[#All],2,FALSE)</f>
        <v>41</v>
      </c>
      <c r="J710">
        <f>VLOOKUP(Demand_Data___Hourly_OverviewSearch_1_csv[[#This Row],[Date]],Supply_Data___Hourly_DriverActivity_1_csv__3[#All],3,FALSE)</f>
        <v>16</v>
      </c>
      <c r="K710">
        <f>VLOOKUP(Demand_Data___Hourly_OverviewSearch_1_csv[[#This Row],[Date]],Supply_Data___Hourly_DriverActivity_1_csv__3[#All],4,FALSE)</f>
        <v>4</v>
      </c>
      <c r="L710">
        <f>VLOOKUP(Demand_Data___Hourly_OverviewSearch_1_csv[[#This Row],[Date]],Supply_Data___Hourly_DriverActivity_1_csv__3[#All],5,FALSE)</f>
        <v>12</v>
      </c>
      <c r="M710">
        <f>VLOOKUP(Demand_Data___Hourly_OverviewSearch_1_csv[[#This Row],[Date]],Supply_Data___Hourly_DriverActivity_1_csv__3[#All],6,FALSE)</f>
        <v>0.4</v>
      </c>
      <c r="N710">
        <f>VLOOKUP(Demand_Data___Hourly_OverviewSearch_1_csv[[#This Row],[Date]],Supply_Data___Hourly_DriverActivity_1_csv__3[#All],7,FALSE)</f>
        <v>0.81</v>
      </c>
      <c r="O710">
        <f>VLOOKUP(Demand_Data___Hourly_OverviewSearch_1_csv[[#This Row],[Date]],Supply_Data___Hourly_DriverActivity_1_csv__3[#All],8,FALSE)</f>
        <v>13</v>
      </c>
      <c r="P710">
        <f>(Demand_Data___Hourly_OverviewSearch_1_csv[[#This Row],[People saw 0 cars (unique)]]+Demand_Data___Hourly_OverviewSearch_1_csv[[#This Row],[People saw +1 cars (unique)]])</f>
        <v>39</v>
      </c>
      <c r="Q710" s="143">
        <f t="shared" si="47"/>
        <v>12</v>
      </c>
    </row>
    <row r="711" spans="1:17" x14ac:dyDescent="0.3">
      <c r="A711" t="s">
        <v>718</v>
      </c>
      <c r="B711" t="str">
        <f t="shared" si="44"/>
        <v xml:space="preserve"> 09</v>
      </c>
      <c r="C711">
        <f t="shared" si="45"/>
        <v>6</v>
      </c>
      <c r="D711" t="str">
        <f t="shared" si="46"/>
        <v xml:space="preserve">2016-11-19 </v>
      </c>
      <c r="E711" t="str">
        <f>TEXT(Demand_Data___Hourly_OverviewSearch_1_csv[[#This Row],[Day]],"dddd")</f>
        <v>Friday</v>
      </c>
      <c r="F711">
        <v>16</v>
      </c>
      <c r="G711">
        <v>18</v>
      </c>
      <c r="H711">
        <v>53</v>
      </c>
      <c r="I711">
        <f>VLOOKUP(Demand_Data___Hourly_OverviewSearch_1_csv[[#This Row],[Date]],Supply_Data___Hourly_DriverActivity_1_csv__3[#All],2,FALSE)</f>
        <v>37</v>
      </c>
      <c r="J711">
        <f>VLOOKUP(Demand_Data___Hourly_OverviewSearch_1_csv[[#This Row],[Date]],Supply_Data___Hourly_DriverActivity_1_csv__3[#All],3,FALSE)</f>
        <v>12</v>
      </c>
      <c r="K711">
        <f>VLOOKUP(Demand_Data___Hourly_OverviewSearch_1_csv[[#This Row],[Date]],Supply_Data___Hourly_DriverActivity_1_csv__3[#All],4,FALSE)</f>
        <v>3</v>
      </c>
      <c r="L711">
        <f>VLOOKUP(Demand_Data___Hourly_OverviewSearch_1_csv[[#This Row],[Date]],Supply_Data___Hourly_DriverActivity_1_csv__3[#All],5,FALSE)</f>
        <v>9</v>
      </c>
      <c r="M711">
        <f>VLOOKUP(Demand_Data___Hourly_OverviewSearch_1_csv[[#This Row],[Date]],Supply_Data___Hourly_DriverActivity_1_csv__3[#All],6,FALSE)</f>
        <v>0.3</v>
      </c>
      <c r="N711">
        <f>VLOOKUP(Demand_Data___Hourly_OverviewSearch_1_csv[[#This Row],[Date]],Supply_Data___Hourly_DriverActivity_1_csv__3[#All],7,FALSE)</f>
        <v>0.67</v>
      </c>
      <c r="O711">
        <f>VLOOKUP(Demand_Data___Hourly_OverviewSearch_1_csv[[#This Row],[Date]],Supply_Data___Hourly_DriverActivity_1_csv__3[#All],8,FALSE)</f>
        <v>8</v>
      </c>
      <c r="P711">
        <f>(Demand_Data___Hourly_OverviewSearch_1_csv[[#This Row],[People saw 0 cars (unique)]]+Demand_Data___Hourly_OverviewSearch_1_csv[[#This Row],[People saw +1 cars (unique)]])</f>
        <v>34</v>
      </c>
      <c r="Q711" s="143">
        <f t="shared" si="47"/>
        <v>9</v>
      </c>
    </row>
    <row r="712" spans="1:17" x14ac:dyDescent="0.3">
      <c r="A712" t="s">
        <v>719</v>
      </c>
      <c r="B712" t="str">
        <f t="shared" si="44"/>
        <v xml:space="preserve"> 08</v>
      </c>
      <c r="C712">
        <f t="shared" si="45"/>
        <v>6</v>
      </c>
      <c r="D712" t="str">
        <f t="shared" si="46"/>
        <v xml:space="preserve">2016-11-19 </v>
      </c>
      <c r="E712" t="str">
        <f>TEXT(Demand_Data___Hourly_OverviewSearch_1_csv[[#This Row],[Day]],"dddd")</f>
        <v>Friday</v>
      </c>
      <c r="F712">
        <v>12</v>
      </c>
      <c r="G712">
        <v>10</v>
      </c>
      <c r="H712">
        <v>45</v>
      </c>
      <c r="I712">
        <f>VLOOKUP(Demand_Data___Hourly_OverviewSearch_1_csv[[#This Row],[Date]],Supply_Data___Hourly_DriverActivity_1_csv__3[#All],2,FALSE)</f>
        <v>27</v>
      </c>
      <c r="J712">
        <f>VLOOKUP(Demand_Data___Hourly_OverviewSearch_1_csv[[#This Row],[Date]],Supply_Data___Hourly_DriverActivity_1_csv__3[#All],3,FALSE)</f>
        <v>7</v>
      </c>
      <c r="K712">
        <f>VLOOKUP(Demand_Data___Hourly_OverviewSearch_1_csv[[#This Row],[Date]],Supply_Data___Hourly_DriverActivity_1_csv__3[#All],4,FALSE)</f>
        <v>2</v>
      </c>
      <c r="L712">
        <f>VLOOKUP(Demand_Data___Hourly_OverviewSearch_1_csv[[#This Row],[Date]],Supply_Data___Hourly_DriverActivity_1_csv__3[#All],5,FALSE)</f>
        <v>5</v>
      </c>
      <c r="M712">
        <f>VLOOKUP(Demand_Data___Hourly_OverviewSearch_1_csv[[#This Row],[Date]],Supply_Data___Hourly_DriverActivity_1_csv__3[#All],6,FALSE)</f>
        <v>0.3</v>
      </c>
      <c r="N712">
        <f>VLOOKUP(Demand_Data___Hourly_OverviewSearch_1_csv[[#This Row],[Date]],Supply_Data___Hourly_DriverActivity_1_csv__3[#All],7,FALSE)</f>
        <v>0.56999999999999995</v>
      </c>
      <c r="O712">
        <f>VLOOKUP(Demand_Data___Hourly_OverviewSearch_1_csv[[#This Row],[Date]],Supply_Data___Hourly_DriverActivity_1_csv__3[#All],8,FALSE)</f>
        <v>4</v>
      </c>
      <c r="P712">
        <f>(Demand_Data___Hourly_OverviewSearch_1_csv[[#This Row],[People saw 0 cars (unique)]]+Demand_Data___Hourly_OverviewSearch_1_csv[[#This Row],[People saw +1 cars (unique)]])</f>
        <v>22</v>
      </c>
      <c r="Q712" s="143">
        <f t="shared" si="47"/>
        <v>5</v>
      </c>
    </row>
    <row r="713" spans="1:17" x14ac:dyDescent="0.3">
      <c r="A713" t="s">
        <v>720</v>
      </c>
      <c r="B713" t="str">
        <f t="shared" si="44"/>
        <v xml:space="preserve"> 07</v>
      </c>
      <c r="C713">
        <f t="shared" si="45"/>
        <v>6</v>
      </c>
      <c r="D713" t="str">
        <f t="shared" si="46"/>
        <v xml:space="preserve">2016-11-19 </v>
      </c>
      <c r="E713" t="str">
        <f>TEXT(Demand_Data___Hourly_OverviewSearch_1_csv[[#This Row],[Day]],"dddd")</f>
        <v>Friday</v>
      </c>
      <c r="F713">
        <v>20</v>
      </c>
      <c r="G713">
        <v>10</v>
      </c>
      <c r="H713">
        <v>33</v>
      </c>
      <c r="I713">
        <f>VLOOKUP(Demand_Data___Hourly_OverviewSearch_1_csv[[#This Row],[Date]],Supply_Data___Hourly_DriverActivity_1_csv__3[#All],2,FALSE)</f>
        <v>18</v>
      </c>
      <c r="J713">
        <f>VLOOKUP(Demand_Data___Hourly_OverviewSearch_1_csv[[#This Row],[Date]],Supply_Data___Hourly_DriverActivity_1_csv__3[#All],3,FALSE)</f>
        <v>5</v>
      </c>
      <c r="K713">
        <f>VLOOKUP(Demand_Data___Hourly_OverviewSearch_1_csv[[#This Row],[Date]],Supply_Data___Hourly_DriverActivity_1_csv__3[#All],4,FALSE)</f>
        <v>1</v>
      </c>
      <c r="L713">
        <f>VLOOKUP(Demand_Data___Hourly_OverviewSearch_1_csv[[#This Row],[Date]],Supply_Data___Hourly_DriverActivity_1_csv__3[#All],5,FALSE)</f>
        <v>5</v>
      </c>
      <c r="M713">
        <f>VLOOKUP(Demand_Data___Hourly_OverviewSearch_1_csv[[#This Row],[Date]],Supply_Data___Hourly_DriverActivity_1_csv__3[#All],6,FALSE)</f>
        <v>0.3</v>
      </c>
      <c r="N713">
        <f>VLOOKUP(Demand_Data___Hourly_OverviewSearch_1_csv[[#This Row],[Date]],Supply_Data___Hourly_DriverActivity_1_csv__3[#All],7,FALSE)</f>
        <v>0.4</v>
      </c>
      <c r="O713">
        <f>VLOOKUP(Demand_Data___Hourly_OverviewSearch_1_csv[[#This Row],[Date]],Supply_Data___Hourly_DriverActivity_1_csv__3[#All],8,FALSE)</f>
        <v>2</v>
      </c>
      <c r="P713">
        <f>(Demand_Data___Hourly_OverviewSearch_1_csv[[#This Row],[People saw 0 cars (unique)]]+Demand_Data___Hourly_OverviewSearch_1_csv[[#This Row],[People saw +1 cars (unique)]])</f>
        <v>30</v>
      </c>
      <c r="Q713" s="143">
        <f t="shared" si="47"/>
        <v>4</v>
      </c>
    </row>
    <row r="714" spans="1:17" x14ac:dyDescent="0.3">
      <c r="A714" t="s">
        <v>721</v>
      </c>
      <c r="B714" t="str">
        <f t="shared" si="44"/>
        <v xml:space="preserve"> 06</v>
      </c>
      <c r="C714">
        <f t="shared" si="45"/>
        <v>6</v>
      </c>
      <c r="D714" t="str">
        <f t="shared" si="46"/>
        <v xml:space="preserve">2016-11-19 </v>
      </c>
      <c r="E714" t="str">
        <f>TEXT(Demand_Data___Hourly_OverviewSearch_1_csv[[#This Row],[Day]],"dddd")</f>
        <v>Friday</v>
      </c>
      <c r="F714">
        <v>3</v>
      </c>
      <c r="G714">
        <v>5</v>
      </c>
      <c r="H714">
        <v>63</v>
      </c>
      <c r="I714">
        <f>VLOOKUP(Demand_Data___Hourly_OverviewSearch_1_csv[[#This Row],[Date]],Supply_Data___Hourly_DriverActivity_1_csv__3[#All],2,FALSE)</f>
        <v>24</v>
      </c>
      <c r="J714">
        <f>VLOOKUP(Demand_Data___Hourly_OverviewSearch_1_csv[[#This Row],[Date]],Supply_Data___Hourly_DriverActivity_1_csv__3[#All],3,FALSE)</f>
        <v>9</v>
      </c>
      <c r="K714">
        <f>VLOOKUP(Demand_Data___Hourly_OverviewSearch_1_csv[[#This Row],[Date]],Supply_Data___Hourly_DriverActivity_1_csv__3[#All],4,FALSE)</f>
        <v>1</v>
      </c>
      <c r="L714">
        <f>VLOOKUP(Demand_Data___Hourly_OverviewSearch_1_csv[[#This Row],[Date]],Supply_Data___Hourly_DriverActivity_1_csv__3[#All],5,FALSE)</f>
        <v>7</v>
      </c>
      <c r="M714">
        <f>VLOOKUP(Demand_Data___Hourly_OverviewSearch_1_csv[[#This Row],[Date]],Supply_Data___Hourly_DriverActivity_1_csv__3[#All],6,FALSE)</f>
        <v>0.4</v>
      </c>
      <c r="N714">
        <f>VLOOKUP(Demand_Data___Hourly_OverviewSearch_1_csv[[#This Row],[Date]],Supply_Data___Hourly_DriverActivity_1_csv__3[#All],7,FALSE)</f>
        <v>0.33</v>
      </c>
      <c r="O714">
        <f>VLOOKUP(Demand_Data___Hourly_OverviewSearch_1_csv[[#This Row],[Date]],Supply_Data___Hourly_DriverActivity_1_csv__3[#All],8,FALSE)</f>
        <v>3</v>
      </c>
      <c r="P714">
        <f>(Demand_Data___Hourly_OverviewSearch_1_csv[[#This Row],[People saw 0 cars (unique)]]+Demand_Data___Hourly_OverviewSearch_1_csv[[#This Row],[People saw +1 cars (unique)]])</f>
        <v>8</v>
      </c>
      <c r="Q714" s="143">
        <f t="shared" si="47"/>
        <v>8</v>
      </c>
    </row>
    <row r="715" spans="1:17" x14ac:dyDescent="0.3">
      <c r="A715" t="s">
        <v>722</v>
      </c>
      <c r="B715" t="str">
        <f t="shared" si="44"/>
        <v xml:space="preserve"> 05</v>
      </c>
      <c r="C715">
        <f t="shared" si="45"/>
        <v>6</v>
      </c>
      <c r="D715" t="str">
        <f t="shared" si="46"/>
        <v xml:space="preserve">2016-11-19 </v>
      </c>
      <c r="E715" t="str">
        <f>TEXT(Demand_Data___Hourly_OverviewSearch_1_csv[[#This Row],[Day]],"dddd")</f>
        <v>Friday</v>
      </c>
      <c r="F715">
        <v>2</v>
      </c>
      <c r="G715">
        <v>13</v>
      </c>
      <c r="H715">
        <v>87</v>
      </c>
      <c r="I715">
        <f>VLOOKUP(Demand_Data___Hourly_OverviewSearch_1_csv[[#This Row],[Date]],Supply_Data___Hourly_DriverActivity_1_csv__3[#All],2,FALSE)</f>
        <v>34</v>
      </c>
      <c r="J715">
        <f>VLOOKUP(Demand_Data___Hourly_OverviewSearch_1_csv[[#This Row],[Date]],Supply_Data___Hourly_DriverActivity_1_csv__3[#All],3,FALSE)</f>
        <v>14</v>
      </c>
      <c r="K715">
        <f>VLOOKUP(Demand_Data___Hourly_OverviewSearch_1_csv[[#This Row],[Date]],Supply_Data___Hourly_DriverActivity_1_csv__3[#All],4,FALSE)</f>
        <v>4</v>
      </c>
      <c r="L715">
        <f>VLOOKUP(Demand_Data___Hourly_OverviewSearch_1_csv[[#This Row],[Date]],Supply_Data___Hourly_DriverActivity_1_csv__3[#All],5,FALSE)</f>
        <v>11</v>
      </c>
      <c r="M715">
        <f>VLOOKUP(Demand_Data___Hourly_OverviewSearch_1_csv[[#This Row],[Date]],Supply_Data___Hourly_DriverActivity_1_csv__3[#All],6,FALSE)</f>
        <v>0.4</v>
      </c>
      <c r="N715">
        <f>VLOOKUP(Demand_Data___Hourly_OverviewSearch_1_csv[[#This Row],[Date]],Supply_Data___Hourly_DriverActivity_1_csv__3[#All],7,FALSE)</f>
        <v>0.71</v>
      </c>
      <c r="O715">
        <f>VLOOKUP(Demand_Data___Hourly_OverviewSearch_1_csv[[#This Row],[Date]],Supply_Data___Hourly_DriverActivity_1_csv__3[#All],8,FALSE)</f>
        <v>10</v>
      </c>
      <c r="P715">
        <f>(Demand_Data___Hourly_OverviewSearch_1_csv[[#This Row],[People saw 0 cars (unique)]]+Demand_Data___Hourly_OverviewSearch_1_csv[[#This Row],[People saw +1 cars (unique)]])</f>
        <v>15</v>
      </c>
      <c r="Q715" s="143">
        <f t="shared" si="47"/>
        <v>10</v>
      </c>
    </row>
    <row r="716" spans="1:17" x14ac:dyDescent="0.3">
      <c r="A716" t="s">
        <v>723</v>
      </c>
      <c r="B716" t="str">
        <f t="shared" si="44"/>
        <v xml:space="preserve"> 04</v>
      </c>
      <c r="C716">
        <f t="shared" si="45"/>
        <v>6</v>
      </c>
      <c r="D716" t="str">
        <f t="shared" si="46"/>
        <v xml:space="preserve">2016-11-19 </v>
      </c>
      <c r="E716" t="str">
        <f>TEXT(Demand_Data___Hourly_OverviewSearch_1_csv[[#This Row],[Day]],"dddd")</f>
        <v>Friday</v>
      </c>
      <c r="F716">
        <v>8</v>
      </c>
      <c r="G716">
        <v>22</v>
      </c>
      <c r="H716">
        <v>73</v>
      </c>
      <c r="I716">
        <f>VLOOKUP(Demand_Data___Hourly_OverviewSearch_1_csv[[#This Row],[Date]],Supply_Data___Hourly_DriverActivity_1_csv__3[#All],2,FALSE)</f>
        <v>40</v>
      </c>
      <c r="J716">
        <f>VLOOKUP(Demand_Data___Hourly_OverviewSearch_1_csv[[#This Row],[Date]],Supply_Data___Hourly_DriverActivity_1_csv__3[#All],3,FALSE)</f>
        <v>19</v>
      </c>
      <c r="K716">
        <f>VLOOKUP(Demand_Data___Hourly_OverviewSearch_1_csv[[#This Row],[Date]],Supply_Data___Hourly_DriverActivity_1_csv__3[#All],4,FALSE)</f>
        <v>5</v>
      </c>
      <c r="L716">
        <f>VLOOKUP(Demand_Data___Hourly_OverviewSearch_1_csv[[#This Row],[Date]],Supply_Data___Hourly_DriverActivity_1_csv__3[#All],5,FALSE)</f>
        <v>13</v>
      </c>
      <c r="M716">
        <f>VLOOKUP(Demand_Data___Hourly_OverviewSearch_1_csv[[#This Row],[Date]],Supply_Data___Hourly_DriverActivity_1_csv__3[#All],6,FALSE)</f>
        <v>0.5</v>
      </c>
      <c r="N716">
        <f>VLOOKUP(Demand_Data___Hourly_OverviewSearch_1_csv[[#This Row],[Date]],Supply_Data___Hourly_DriverActivity_1_csv__3[#All],7,FALSE)</f>
        <v>0.68</v>
      </c>
      <c r="O716">
        <f>VLOOKUP(Demand_Data___Hourly_OverviewSearch_1_csv[[#This Row],[Date]],Supply_Data___Hourly_DriverActivity_1_csv__3[#All],8,FALSE)</f>
        <v>13</v>
      </c>
      <c r="P716">
        <f>(Demand_Data___Hourly_OverviewSearch_1_csv[[#This Row],[People saw 0 cars (unique)]]+Demand_Data___Hourly_OverviewSearch_1_csv[[#This Row],[People saw +1 cars (unique)]])</f>
        <v>30</v>
      </c>
      <c r="Q716" s="143">
        <f t="shared" si="47"/>
        <v>14</v>
      </c>
    </row>
    <row r="717" spans="1:17" x14ac:dyDescent="0.3">
      <c r="A717" t="s">
        <v>724</v>
      </c>
      <c r="B717" t="str">
        <f t="shared" si="44"/>
        <v xml:space="preserve"> 03</v>
      </c>
      <c r="C717">
        <f t="shared" si="45"/>
        <v>6</v>
      </c>
      <c r="D717" t="str">
        <f t="shared" si="46"/>
        <v xml:space="preserve">2016-11-19 </v>
      </c>
      <c r="E717" t="str">
        <f>TEXT(Demand_Data___Hourly_OverviewSearch_1_csv[[#This Row],[Day]],"dddd")</f>
        <v>Friday</v>
      </c>
      <c r="F717">
        <v>4</v>
      </c>
      <c r="G717">
        <v>38</v>
      </c>
      <c r="H717">
        <v>90</v>
      </c>
      <c r="I717">
        <f>VLOOKUP(Demand_Data___Hourly_OverviewSearch_1_csv[[#This Row],[Date]],Supply_Data___Hourly_DriverActivity_1_csv__3[#All],2,FALSE)</f>
        <v>47</v>
      </c>
      <c r="J717">
        <f>VLOOKUP(Demand_Data___Hourly_OverviewSearch_1_csv[[#This Row],[Date]],Supply_Data___Hourly_DriverActivity_1_csv__3[#All],3,FALSE)</f>
        <v>24</v>
      </c>
      <c r="K717">
        <f>VLOOKUP(Demand_Data___Hourly_OverviewSearch_1_csv[[#This Row],[Date]],Supply_Data___Hourly_DriverActivity_1_csv__3[#All],4,FALSE)</f>
        <v>7</v>
      </c>
      <c r="L717">
        <f>VLOOKUP(Demand_Data___Hourly_OverviewSearch_1_csv[[#This Row],[Date]],Supply_Data___Hourly_DriverActivity_1_csv__3[#All],5,FALSE)</f>
        <v>17</v>
      </c>
      <c r="M717">
        <f>VLOOKUP(Demand_Data___Hourly_OverviewSearch_1_csv[[#This Row],[Date]],Supply_Data___Hourly_DriverActivity_1_csv__3[#All],6,FALSE)</f>
        <v>0.5</v>
      </c>
      <c r="N717">
        <f>VLOOKUP(Demand_Data___Hourly_OverviewSearch_1_csv[[#This Row],[Date]],Supply_Data___Hourly_DriverActivity_1_csv__3[#All],7,FALSE)</f>
        <v>0.79</v>
      </c>
      <c r="O717">
        <f>VLOOKUP(Demand_Data___Hourly_OverviewSearch_1_csv[[#This Row],[Date]],Supply_Data___Hourly_DriverActivity_1_csv__3[#All],8,FALSE)</f>
        <v>19</v>
      </c>
      <c r="P717">
        <f>(Demand_Data___Hourly_OverviewSearch_1_csv[[#This Row],[People saw 0 cars (unique)]]+Demand_Data___Hourly_OverviewSearch_1_csv[[#This Row],[People saw +1 cars (unique)]])</f>
        <v>42</v>
      </c>
      <c r="Q717" s="143">
        <f t="shared" si="47"/>
        <v>17</v>
      </c>
    </row>
    <row r="718" spans="1:17" x14ac:dyDescent="0.3">
      <c r="A718" t="s">
        <v>725</v>
      </c>
      <c r="B718" t="str">
        <f t="shared" si="44"/>
        <v xml:space="preserve"> 02</v>
      </c>
      <c r="C718">
        <f t="shared" si="45"/>
        <v>6</v>
      </c>
      <c r="D718" t="str">
        <f t="shared" si="46"/>
        <v xml:space="preserve">2016-11-19 </v>
      </c>
      <c r="E718" t="str">
        <f>TEXT(Demand_Data___Hourly_OverviewSearch_1_csv[[#This Row],[Day]],"dddd")</f>
        <v>Friday</v>
      </c>
      <c r="F718">
        <v>2</v>
      </c>
      <c r="G718">
        <v>33</v>
      </c>
      <c r="H718">
        <v>94</v>
      </c>
      <c r="I718">
        <f>VLOOKUP(Demand_Data___Hourly_OverviewSearch_1_csv[[#This Row],[Date]],Supply_Data___Hourly_DriverActivity_1_csv__3[#All],2,FALSE)</f>
        <v>59</v>
      </c>
      <c r="J718">
        <f>VLOOKUP(Demand_Data___Hourly_OverviewSearch_1_csv[[#This Row],[Date]],Supply_Data___Hourly_DriverActivity_1_csv__3[#All],3,FALSE)</f>
        <v>26</v>
      </c>
      <c r="K718">
        <f>VLOOKUP(Demand_Data___Hourly_OverviewSearch_1_csv[[#This Row],[Date]],Supply_Data___Hourly_DriverActivity_1_csv__3[#All],4,FALSE)</f>
        <v>5</v>
      </c>
      <c r="L718">
        <f>VLOOKUP(Demand_Data___Hourly_OverviewSearch_1_csv[[#This Row],[Date]],Supply_Data___Hourly_DriverActivity_1_csv__3[#All],5,FALSE)</f>
        <v>21</v>
      </c>
      <c r="M718">
        <f>VLOOKUP(Demand_Data___Hourly_OverviewSearch_1_csv[[#This Row],[Date]],Supply_Data___Hourly_DriverActivity_1_csv__3[#All],6,FALSE)</f>
        <v>0.4</v>
      </c>
      <c r="N718">
        <f>VLOOKUP(Demand_Data___Hourly_OverviewSearch_1_csv[[#This Row],[Date]],Supply_Data___Hourly_DriverActivity_1_csv__3[#All],7,FALSE)</f>
        <v>0.57999999999999996</v>
      </c>
      <c r="O718">
        <f>VLOOKUP(Demand_Data___Hourly_OverviewSearch_1_csv[[#This Row],[Date]],Supply_Data___Hourly_DriverActivity_1_csv__3[#All],8,FALSE)</f>
        <v>15</v>
      </c>
      <c r="P718">
        <f>(Demand_Data___Hourly_OverviewSearch_1_csv[[#This Row],[People saw 0 cars (unique)]]+Demand_Data___Hourly_OverviewSearch_1_csv[[#This Row],[People saw +1 cars (unique)]])</f>
        <v>35</v>
      </c>
      <c r="Q718" s="143">
        <f t="shared" si="47"/>
        <v>21</v>
      </c>
    </row>
    <row r="719" spans="1:17" x14ac:dyDescent="0.3">
      <c r="A719" t="s">
        <v>726</v>
      </c>
      <c r="B719" t="str">
        <f t="shared" si="44"/>
        <v xml:space="preserve"> 01</v>
      </c>
      <c r="C719">
        <f t="shared" si="45"/>
        <v>6</v>
      </c>
      <c r="D719" t="str">
        <f t="shared" si="46"/>
        <v xml:space="preserve">2016-11-19 </v>
      </c>
      <c r="E719" t="str">
        <f>TEXT(Demand_Data___Hourly_OverviewSearch_1_csv[[#This Row],[Day]],"dddd")</f>
        <v>Friday</v>
      </c>
      <c r="F719">
        <v>3</v>
      </c>
      <c r="G719">
        <v>41</v>
      </c>
      <c r="H719">
        <v>93</v>
      </c>
      <c r="I719">
        <f>VLOOKUP(Demand_Data___Hourly_OverviewSearch_1_csv[[#This Row],[Date]],Supply_Data___Hourly_DriverActivity_1_csv__3[#All],2,FALSE)</f>
        <v>74</v>
      </c>
      <c r="J719">
        <f>VLOOKUP(Demand_Data___Hourly_OverviewSearch_1_csv[[#This Row],[Date]],Supply_Data___Hourly_DriverActivity_1_csv__3[#All],3,FALSE)</f>
        <v>30</v>
      </c>
      <c r="K719">
        <f>VLOOKUP(Demand_Data___Hourly_OverviewSearch_1_csv[[#This Row],[Date]],Supply_Data___Hourly_DriverActivity_1_csv__3[#All],4,FALSE)</f>
        <v>8</v>
      </c>
      <c r="L719">
        <f>VLOOKUP(Demand_Data___Hourly_OverviewSearch_1_csv[[#This Row],[Date]],Supply_Data___Hourly_DriverActivity_1_csv__3[#All],5,FALSE)</f>
        <v>22</v>
      </c>
      <c r="M719">
        <f>VLOOKUP(Demand_Data___Hourly_OverviewSearch_1_csv[[#This Row],[Date]],Supply_Data___Hourly_DriverActivity_1_csv__3[#All],6,FALSE)</f>
        <v>0.4</v>
      </c>
      <c r="N719">
        <f>VLOOKUP(Demand_Data___Hourly_OverviewSearch_1_csv[[#This Row],[Date]],Supply_Data___Hourly_DriverActivity_1_csv__3[#All],7,FALSE)</f>
        <v>0.7</v>
      </c>
      <c r="O719">
        <f>VLOOKUP(Demand_Data___Hourly_OverviewSearch_1_csv[[#This Row],[Date]],Supply_Data___Hourly_DriverActivity_1_csv__3[#All],8,FALSE)</f>
        <v>21</v>
      </c>
      <c r="P719">
        <f>(Demand_Data___Hourly_OverviewSearch_1_csv[[#This Row],[People saw 0 cars (unique)]]+Demand_Data___Hourly_OverviewSearch_1_csv[[#This Row],[People saw +1 cars (unique)]])</f>
        <v>44</v>
      </c>
      <c r="Q719" s="143">
        <f t="shared" si="47"/>
        <v>22</v>
      </c>
    </row>
    <row r="720" spans="1:17" x14ac:dyDescent="0.3">
      <c r="A720" t="s">
        <v>727</v>
      </c>
      <c r="B720" t="str">
        <f t="shared" si="44"/>
        <v xml:space="preserve"> 00</v>
      </c>
      <c r="C720">
        <f t="shared" si="45"/>
        <v>6</v>
      </c>
      <c r="D720" t="str">
        <f t="shared" si="46"/>
        <v xml:space="preserve">2016-11-19 </v>
      </c>
      <c r="E720" t="str">
        <f>TEXT(Demand_Data___Hourly_OverviewSearch_1_csv[[#This Row],[Day]],"dddd")</f>
        <v>Friday</v>
      </c>
      <c r="F720">
        <v>3</v>
      </c>
      <c r="G720">
        <v>59</v>
      </c>
      <c r="H720">
        <v>95</v>
      </c>
      <c r="I720">
        <f>VLOOKUP(Demand_Data___Hourly_OverviewSearch_1_csv[[#This Row],[Date]],Supply_Data___Hourly_DriverActivity_1_csv__3[#All],2,FALSE)</f>
        <v>88</v>
      </c>
      <c r="J720">
        <f>VLOOKUP(Demand_Data___Hourly_OverviewSearch_1_csv[[#This Row],[Date]],Supply_Data___Hourly_DriverActivity_1_csv__3[#All],3,FALSE)</f>
        <v>35</v>
      </c>
      <c r="K720">
        <f>VLOOKUP(Demand_Data___Hourly_OverviewSearch_1_csv[[#This Row],[Date]],Supply_Data___Hourly_DriverActivity_1_csv__3[#All],4,FALSE)</f>
        <v>10</v>
      </c>
      <c r="L720">
        <f>VLOOKUP(Demand_Data___Hourly_OverviewSearch_1_csv[[#This Row],[Date]],Supply_Data___Hourly_DriverActivity_1_csv__3[#All],5,FALSE)</f>
        <v>25</v>
      </c>
      <c r="M720">
        <f>VLOOKUP(Demand_Data___Hourly_OverviewSearch_1_csv[[#This Row],[Date]],Supply_Data___Hourly_DriverActivity_1_csv__3[#All],6,FALSE)</f>
        <v>0.4</v>
      </c>
      <c r="N720">
        <f>VLOOKUP(Demand_Data___Hourly_OverviewSearch_1_csv[[#This Row],[Date]],Supply_Data___Hourly_DriverActivity_1_csv__3[#All],7,FALSE)</f>
        <v>0.77</v>
      </c>
      <c r="O720">
        <f>VLOOKUP(Demand_Data___Hourly_OverviewSearch_1_csv[[#This Row],[Date]],Supply_Data___Hourly_DriverActivity_1_csv__3[#All],8,FALSE)</f>
        <v>27</v>
      </c>
      <c r="P720">
        <f>(Demand_Data___Hourly_OverviewSearch_1_csv[[#This Row],[People saw 0 cars (unique)]]+Demand_Data___Hourly_OverviewSearch_1_csv[[#This Row],[People saw +1 cars (unique)]])</f>
        <v>62</v>
      </c>
      <c r="Q720" s="143">
        <f t="shared" si="47"/>
        <v>25</v>
      </c>
    </row>
    <row r="721" spans="1:17" x14ac:dyDescent="0.3">
      <c r="A721" t="s">
        <v>728</v>
      </c>
      <c r="B721" t="str">
        <f t="shared" si="44"/>
        <v xml:space="preserve"> 23</v>
      </c>
      <c r="C721">
        <f t="shared" si="45"/>
        <v>5</v>
      </c>
      <c r="D721" t="str">
        <f t="shared" si="46"/>
        <v xml:space="preserve">2016-11-18 </v>
      </c>
      <c r="E721" t="str">
        <f>TEXT(Demand_Data___Hourly_OverviewSearch_1_csv[[#This Row],[Day]],"dddd")</f>
        <v>Thursday</v>
      </c>
      <c r="F721">
        <v>6</v>
      </c>
      <c r="G721">
        <v>59</v>
      </c>
      <c r="H721">
        <v>91</v>
      </c>
      <c r="I721">
        <f>VLOOKUP(Demand_Data___Hourly_OverviewSearch_1_csv[[#This Row],[Date]],Supply_Data___Hourly_DriverActivity_1_csv__3[#All],2,FALSE)</f>
        <v>95</v>
      </c>
      <c r="J721">
        <f>VLOOKUP(Demand_Data___Hourly_OverviewSearch_1_csv[[#This Row],[Date]],Supply_Data___Hourly_DriverActivity_1_csv__3[#All],3,FALSE)</f>
        <v>40</v>
      </c>
      <c r="K721">
        <f>VLOOKUP(Demand_Data___Hourly_OverviewSearch_1_csv[[#This Row],[Date]],Supply_Data___Hourly_DriverActivity_1_csv__3[#All],4,FALSE)</f>
        <v>9</v>
      </c>
      <c r="L721">
        <f>VLOOKUP(Demand_Data___Hourly_OverviewSearch_1_csv[[#This Row],[Date]],Supply_Data___Hourly_DriverActivity_1_csv__3[#All],5,FALSE)</f>
        <v>31</v>
      </c>
      <c r="M721">
        <f>VLOOKUP(Demand_Data___Hourly_OverviewSearch_1_csv[[#This Row],[Date]],Supply_Data___Hourly_DriverActivity_1_csv__3[#All],6,FALSE)</f>
        <v>0.4</v>
      </c>
      <c r="N721">
        <f>VLOOKUP(Demand_Data___Hourly_OverviewSearch_1_csv[[#This Row],[Date]],Supply_Data___Hourly_DriverActivity_1_csv__3[#All],7,FALSE)</f>
        <v>0.7</v>
      </c>
      <c r="O721">
        <f>VLOOKUP(Demand_Data___Hourly_OverviewSearch_1_csv[[#This Row],[Date]],Supply_Data___Hourly_DriverActivity_1_csv__3[#All],8,FALSE)</f>
        <v>28</v>
      </c>
      <c r="P721">
        <f>(Demand_Data___Hourly_OverviewSearch_1_csv[[#This Row],[People saw 0 cars (unique)]]+Demand_Data___Hourly_OverviewSearch_1_csv[[#This Row],[People saw +1 cars (unique)]])</f>
        <v>65</v>
      </c>
      <c r="Q721" s="143">
        <f t="shared" si="47"/>
        <v>31</v>
      </c>
    </row>
    <row r="722" spans="1:17" x14ac:dyDescent="0.3">
      <c r="A722" t="s">
        <v>729</v>
      </c>
      <c r="B722" t="str">
        <f t="shared" si="44"/>
        <v xml:space="preserve"> 22</v>
      </c>
      <c r="C722">
        <f t="shared" si="45"/>
        <v>5</v>
      </c>
      <c r="D722" t="str">
        <f t="shared" si="46"/>
        <v xml:space="preserve">2016-11-18 </v>
      </c>
      <c r="E722" t="str">
        <f>TEXT(Demand_Data___Hourly_OverviewSearch_1_csv[[#This Row],[Day]],"dddd")</f>
        <v>Thursday</v>
      </c>
      <c r="F722">
        <v>6</v>
      </c>
      <c r="G722">
        <v>40</v>
      </c>
      <c r="H722">
        <v>87</v>
      </c>
      <c r="I722">
        <f>VLOOKUP(Demand_Data___Hourly_OverviewSearch_1_csv[[#This Row],[Date]],Supply_Data___Hourly_DriverActivity_1_csv__3[#All],2,FALSE)</f>
        <v>106</v>
      </c>
      <c r="J722">
        <f>VLOOKUP(Demand_Data___Hourly_OverviewSearch_1_csv[[#This Row],[Date]],Supply_Data___Hourly_DriverActivity_1_csv__3[#All],3,FALSE)</f>
        <v>46</v>
      </c>
      <c r="K722">
        <f>VLOOKUP(Demand_Data___Hourly_OverviewSearch_1_csv[[#This Row],[Date]],Supply_Data___Hourly_DriverActivity_1_csv__3[#All],4,FALSE)</f>
        <v>4</v>
      </c>
      <c r="L722">
        <f>VLOOKUP(Demand_Data___Hourly_OverviewSearch_1_csv[[#This Row],[Date]],Supply_Data___Hourly_DriverActivity_1_csv__3[#All],5,FALSE)</f>
        <v>42</v>
      </c>
      <c r="M722">
        <f>VLOOKUP(Demand_Data___Hourly_OverviewSearch_1_csv[[#This Row],[Date]],Supply_Data___Hourly_DriverActivity_1_csv__3[#All],6,FALSE)</f>
        <v>0.4</v>
      </c>
      <c r="N722">
        <f>VLOOKUP(Demand_Data___Hourly_OverviewSearch_1_csv[[#This Row],[Date]],Supply_Data___Hourly_DriverActivity_1_csv__3[#All],7,FALSE)</f>
        <v>0.28000000000000003</v>
      </c>
      <c r="O722">
        <f>VLOOKUP(Demand_Data___Hourly_OverviewSearch_1_csv[[#This Row],[Date]],Supply_Data___Hourly_DriverActivity_1_csv__3[#All],8,FALSE)</f>
        <v>13</v>
      </c>
      <c r="P722">
        <f>(Demand_Data___Hourly_OverviewSearch_1_csv[[#This Row],[People saw 0 cars (unique)]]+Demand_Data___Hourly_OverviewSearch_1_csv[[#This Row],[People saw +1 cars (unique)]])</f>
        <v>46</v>
      </c>
      <c r="Q722" s="143">
        <f t="shared" si="47"/>
        <v>42</v>
      </c>
    </row>
    <row r="723" spans="1:17" x14ac:dyDescent="0.3">
      <c r="A723" t="s">
        <v>730</v>
      </c>
      <c r="B723" t="str">
        <f t="shared" si="44"/>
        <v xml:space="preserve"> 21</v>
      </c>
      <c r="C723">
        <f t="shared" si="45"/>
        <v>5</v>
      </c>
      <c r="D723" t="str">
        <f t="shared" si="46"/>
        <v xml:space="preserve">2016-11-18 </v>
      </c>
      <c r="E723" t="str">
        <f>TEXT(Demand_Data___Hourly_OverviewSearch_1_csv[[#This Row],[Day]],"dddd")</f>
        <v>Thursday</v>
      </c>
      <c r="F723">
        <v>6</v>
      </c>
      <c r="G723">
        <v>49</v>
      </c>
      <c r="H723">
        <v>89</v>
      </c>
      <c r="I723">
        <f>VLOOKUP(Demand_Data___Hourly_OverviewSearch_1_csv[[#This Row],[Date]],Supply_Data___Hourly_DriverActivity_1_csv__3[#All],2,FALSE)</f>
        <v>108</v>
      </c>
      <c r="J723">
        <f>VLOOKUP(Demand_Data___Hourly_OverviewSearch_1_csv[[#This Row],[Date]],Supply_Data___Hourly_DriverActivity_1_csv__3[#All],3,FALSE)</f>
        <v>44</v>
      </c>
      <c r="K723">
        <f>VLOOKUP(Demand_Data___Hourly_OverviewSearch_1_csv[[#This Row],[Date]],Supply_Data___Hourly_DriverActivity_1_csv__3[#All],4,FALSE)</f>
        <v>7</v>
      </c>
      <c r="L723">
        <f>VLOOKUP(Demand_Data___Hourly_OverviewSearch_1_csv[[#This Row],[Date]],Supply_Data___Hourly_DriverActivity_1_csv__3[#All],5,FALSE)</f>
        <v>36</v>
      </c>
      <c r="M723">
        <f>VLOOKUP(Demand_Data___Hourly_OverviewSearch_1_csv[[#This Row],[Date]],Supply_Data___Hourly_DriverActivity_1_csv__3[#All],6,FALSE)</f>
        <v>0.4</v>
      </c>
      <c r="N723">
        <f>VLOOKUP(Demand_Data___Hourly_OverviewSearch_1_csv[[#This Row],[Date]],Supply_Data___Hourly_DriverActivity_1_csv__3[#All],7,FALSE)</f>
        <v>0.41</v>
      </c>
      <c r="O723">
        <f>VLOOKUP(Demand_Data___Hourly_OverviewSearch_1_csv[[#This Row],[Date]],Supply_Data___Hourly_DriverActivity_1_csv__3[#All],8,FALSE)</f>
        <v>18</v>
      </c>
      <c r="P723">
        <f>(Demand_Data___Hourly_OverviewSearch_1_csv[[#This Row],[People saw 0 cars (unique)]]+Demand_Data___Hourly_OverviewSearch_1_csv[[#This Row],[People saw +1 cars (unique)]])</f>
        <v>55</v>
      </c>
      <c r="Q723" s="143">
        <f t="shared" si="47"/>
        <v>37</v>
      </c>
    </row>
    <row r="724" spans="1:17" x14ac:dyDescent="0.3">
      <c r="A724" t="s">
        <v>731</v>
      </c>
      <c r="B724" t="str">
        <f t="shared" si="44"/>
        <v xml:space="preserve"> 20</v>
      </c>
      <c r="C724">
        <f t="shared" si="45"/>
        <v>5</v>
      </c>
      <c r="D724" t="str">
        <f t="shared" si="46"/>
        <v xml:space="preserve">2016-11-18 </v>
      </c>
      <c r="E724" t="str">
        <f>TEXT(Demand_Data___Hourly_OverviewSearch_1_csv[[#This Row],[Day]],"dddd")</f>
        <v>Thursday</v>
      </c>
      <c r="F724">
        <v>7</v>
      </c>
      <c r="G724">
        <v>52</v>
      </c>
      <c r="H724">
        <v>88</v>
      </c>
      <c r="I724">
        <f>VLOOKUP(Demand_Data___Hourly_OverviewSearch_1_csv[[#This Row],[Date]],Supply_Data___Hourly_DriverActivity_1_csv__3[#All],2,FALSE)</f>
        <v>108</v>
      </c>
      <c r="J724">
        <f>VLOOKUP(Demand_Data___Hourly_OverviewSearch_1_csv[[#This Row],[Date]],Supply_Data___Hourly_DriverActivity_1_csv__3[#All],3,FALSE)</f>
        <v>42</v>
      </c>
      <c r="K724">
        <f>VLOOKUP(Demand_Data___Hourly_OverviewSearch_1_csv[[#This Row],[Date]],Supply_Data___Hourly_DriverActivity_1_csv__3[#All],4,FALSE)</f>
        <v>12</v>
      </c>
      <c r="L724">
        <f>VLOOKUP(Demand_Data___Hourly_OverviewSearch_1_csv[[#This Row],[Date]],Supply_Data___Hourly_DriverActivity_1_csv__3[#All],5,FALSE)</f>
        <v>31</v>
      </c>
      <c r="M724">
        <f>VLOOKUP(Demand_Data___Hourly_OverviewSearch_1_csv[[#This Row],[Date]],Supply_Data___Hourly_DriverActivity_1_csv__3[#All],6,FALSE)</f>
        <v>0.4</v>
      </c>
      <c r="N724">
        <f>VLOOKUP(Demand_Data___Hourly_OverviewSearch_1_csv[[#This Row],[Date]],Supply_Data___Hourly_DriverActivity_1_csv__3[#All],7,FALSE)</f>
        <v>0.55000000000000004</v>
      </c>
      <c r="O724">
        <f>VLOOKUP(Demand_Data___Hourly_OverviewSearch_1_csv[[#This Row],[Date]],Supply_Data___Hourly_DriverActivity_1_csv__3[#All],8,FALSE)</f>
        <v>23</v>
      </c>
      <c r="P724">
        <f>(Demand_Data___Hourly_OverviewSearch_1_csv[[#This Row],[People saw 0 cars (unique)]]+Demand_Data___Hourly_OverviewSearch_1_csv[[#This Row],[People saw +1 cars (unique)]])</f>
        <v>59</v>
      </c>
      <c r="Q724" s="143">
        <f t="shared" si="47"/>
        <v>30</v>
      </c>
    </row>
    <row r="725" spans="1:17" x14ac:dyDescent="0.3">
      <c r="A725" t="s">
        <v>732</v>
      </c>
      <c r="B725" t="str">
        <f t="shared" si="44"/>
        <v xml:space="preserve"> 19</v>
      </c>
      <c r="C725">
        <f t="shared" si="45"/>
        <v>5</v>
      </c>
      <c r="D725" t="str">
        <f t="shared" si="46"/>
        <v xml:space="preserve">2016-11-18 </v>
      </c>
      <c r="E725" t="str">
        <f>TEXT(Demand_Data___Hourly_OverviewSearch_1_csv[[#This Row],[Day]],"dddd")</f>
        <v>Thursday</v>
      </c>
      <c r="F725">
        <v>10</v>
      </c>
      <c r="G725">
        <v>76</v>
      </c>
      <c r="H725">
        <v>88</v>
      </c>
      <c r="I725">
        <f>VLOOKUP(Demand_Data___Hourly_OverviewSearch_1_csv[[#This Row],[Date]],Supply_Data___Hourly_DriverActivity_1_csv__3[#All],2,FALSE)</f>
        <v>102</v>
      </c>
      <c r="J725">
        <f>VLOOKUP(Demand_Data___Hourly_OverviewSearch_1_csv[[#This Row],[Date]],Supply_Data___Hourly_DriverActivity_1_csv__3[#All],3,FALSE)</f>
        <v>40</v>
      </c>
      <c r="K725">
        <f>VLOOKUP(Demand_Data___Hourly_OverviewSearch_1_csv[[#This Row],[Date]],Supply_Data___Hourly_DriverActivity_1_csv__3[#All],4,FALSE)</f>
        <v>15</v>
      </c>
      <c r="L725">
        <f>VLOOKUP(Demand_Data___Hourly_OverviewSearch_1_csv[[#This Row],[Date]],Supply_Data___Hourly_DriverActivity_1_csv__3[#All],5,FALSE)</f>
        <v>24</v>
      </c>
      <c r="M725">
        <f>VLOOKUP(Demand_Data___Hourly_OverviewSearch_1_csv[[#This Row],[Date]],Supply_Data___Hourly_DriverActivity_1_csv__3[#All],6,FALSE)</f>
        <v>0.4</v>
      </c>
      <c r="N725">
        <f>VLOOKUP(Demand_Data___Hourly_OverviewSearch_1_csv[[#This Row],[Date]],Supply_Data___Hourly_DriverActivity_1_csv__3[#All],7,FALSE)</f>
        <v>0.68</v>
      </c>
      <c r="O725">
        <f>VLOOKUP(Demand_Data___Hourly_OverviewSearch_1_csv[[#This Row],[Date]],Supply_Data___Hourly_DriverActivity_1_csv__3[#All],8,FALSE)</f>
        <v>27</v>
      </c>
      <c r="P725">
        <f>(Demand_Data___Hourly_OverviewSearch_1_csv[[#This Row],[People saw 0 cars (unique)]]+Demand_Data___Hourly_OverviewSearch_1_csv[[#This Row],[People saw +1 cars (unique)]])</f>
        <v>86</v>
      </c>
      <c r="Q725" s="143">
        <f t="shared" si="47"/>
        <v>25</v>
      </c>
    </row>
    <row r="726" spans="1:17" x14ac:dyDescent="0.3">
      <c r="A726" t="s">
        <v>733</v>
      </c>
      <c r="B726" t="str">
        <f t="shared" si="44"/>
        <v xml:space="preserve"> 18</v>
      </c>
      <c r="C726">
        <f t="shared" si="45"/>
        <v>5</v>
      </c>
      <c r="D726" t="str">
        <f t="shared" si="46"/>
        <v xml:space="preserve">2016-11-18 </v>
      </c>
      <c r="E726" t="str">
        <f>TEXT(Demand_Data___Hourly_OverviewSearch_1_csv[[#This Row],[Day]],"dddd")</f>
        <v>Thursday</v>
      </c>
      <c r="F726">
        <v>16</v>
      </c>
      <c r="G726">
        <v>66</v>
      </c>
      <c r="H726">
        <v>80</v>
      </c>
      <c r="I726">
        <f>VLOOKUP(Demand_Data___Hourly_OverviewSearch_1_csv[[#This Row],[Date]],Supply_Data___Hourly_DriverActivity_1_csv__3[#All],2,FALSE)</f>
        <v>83</v>
      </c>
      <c r="J726">
        <f>VLOOKUP(Demand_Data___Hourly_OverviewSearch_1_csv[[#This Row],[Date]],Supply_Data___Hourly_DriverActivity_1_csv__3[#All],3,FALSE)</f>
        <v>37</v>
      </c>
      <c r="K726">
        <f>VLOOKUP(Demand_Data___Hourly_OverviewSearch_1_csv[[#This Row],[Date]],Supply_Data___Hourly_DriverActivity_1_csv__3[#All],4,FALSE)</f>
        <v>22</v>
      </c>
      <c r="L726">
        <f>VLOOKUP(Demand_Data___Hourly_OverviewSearch_1_csv[[#This Row],[Date]],Supply_Data___Hourly_DriverActivity_1_csv__3[#All],5,FALSE)</f>
        <v>15</v>
      </c>
      <c r="M726">
        <f>VLOOKUP(Demand_Data___Hourly_OverviewSearch_1_csv[[#This Row],[Date]],Supply_Data___Hourly_DriverActivity_1_csv__3[#All],6,FALSE)</f>
        <v>0.4</v>
      </c>
      <c r="N726">
        <f>VLOOKUP(Demand_Data___Hourly_OverviewSearch_1_csv[[#This Row],[Date]],Supply_Data___Hourly_DriverActivity_1_csv__3[#All],7,FALSE)</f>
        <v>0.78</v>
      </c>
      <c r="O726">
        <f>VLOOKUP(Demand_Data___Hourly_OverviewSearch_1_csv[[#This Row],[Date]],Supply_Data___Hourly_DriverActivity_1_csv__3[#All],8,FALSE)</f>
        <v>29</v>
      </c>
      <c r="P726">
        <f>(Demand_Data___Hourly_OverviewSearch_1_csv[[#This Row],[People saw 0 cars (unique)]]+Demand_Data___Hourly_OverviewSearch_1_csv[[#This Row],[People saw +1 cars (unique)]])</f>
        <v>82</v>
      </c>
      <c r="Q726" s="143">
        <f t="shared" si="47"/>
        <v>15</v>
      </c>
    </row>
    <row r="727" spans="1:17" x14ac:dyDescent="0.3">
      <c r="A727" t="s">
        <v>734</v>
      </c>
      <c r="B727" t="str">
        <f t="shared" si="44"/>
        <v xml:space="preserve"> 17</v>
      </c>
      <c r="C727">
        <f t="shared" si="45"/>
        <v>5</v>
      </c>
      <c r="D727" t="str">
        <f t="shared" si="46"/>
        <v xml:space="preserve">2016-11-18 </v>
      </c>
      <c r="E727" t="str">
        <f>TEXT(Demand_Data___Hourly_OverviewSearch_1_csv[[#This Row],[Day]],"dddd")</f>
        <v>Thursday</v>
      </c>
      <c r="F727">
        <v>11</v>
      </c>
      <c r="G727">
        <v>51</v>
      </c>
      <c r="H727">
        <v>82</v>
      </c>
      <c r="I727">
        <f>VLOOKUP(Demand_Data___Hourly_OverviewSearch_1_csv[[#This Row],[Date]],Supply_Data___Hourly_DriverActivity_1_csv__3[#All],2,FALSE)</f>
        <v>82</v>
      </c>
      <c r="J727">
        <f>VLOOKUP(Demand_Data___Hourly_OverviewSearch_1_csv[[#This Row],[Date]],Supply_Data___Hourly_DriverActivity_1_csv__3[#All],3,FALSE)</f>
        <v>25</v>
      </c>
      <c r="K727">
        <f>VLOOKUP(Demand_Data___Hourly_OverviewSearch_1_csv[[#This Row],[Date]],Supply_Data___Hourly_DriverActivity_1_csv__3[#All],4,FALSE)</f>
        <v>11</v>
      </c>
      <c r="L727">
        <f>VLOOKUP(Demand_Data___Hourly_OverviewSearch_1_csv[[#This Row],[Date]],Supply_Data___Hourly_DriverActivity_1_csv__3[#All],5,FALSE)</f>
        <v>14</v>
      </c>
      <c r="M727">
        <f>VLOOKUP(Demand_Data___Hourly_OverviewSearch_1_csv[[#This Row],[Date]],Supply_Data___Hourly_DriverActivity_1_csv__3[#All],6,FALSE)</f>
        <v>0.3</v>
      </c>
      <c r="N727">
        <f>VLOOKUP(Demand_Data___Hourly_OverviewSearch_1_csv[[#This Row],[Date]],Supply_Data___Hourly_DriverActivity_1_csv__3[#All],7,FALSE)</f>
        <v>1</v>
      </c>
      <c r="O727">
        <f>VLOOKUP(Demand_Data___Hourly_OverviewSearch_1_csv[[#This Row],[Date]],Supply_Data___Hourly_DriverActivity_1_csv__3[#All],8,FALSE)</f>
        <v>25</v>
      </c>
      <c r="P727">
        <f>(Demand_Data___Hourly_OverviewSearch_1_csv[[#This Row],[People saw 0 cars (unique)]]+Demand_Data___Hourly_OverviewSearch_1_csv[[#This Row],[People saw +1 cars (unique)]])</f>
        <v>62</v>
      </c>
      <c r="Q727" s="143">
        <f t="shared" si="47"/>
        <v>14</v>
      </c>
    </row>
    <row r="728" spans="1:17" x14ac:dyDescent="0.3">
      <c r="A728" t="s">
        <v>735</v>
      </c>
      <c r="B728" t="str">
        <f t="shared" si="44"/>
        <v xml:space="preserve"> 16</v>
      </c>
      <c r="C728">
        <f t="shared" si="45"/>
        <v>5</v>
      </c>
      <c r="D728" t="str">
        <f t="shared" si="46"/>
        <v xml:space="preserve">2016-11-18 </v>
      </c>
      <c r="E728" t="str">
        <f>TEXT(Demand_Data___Hourly_OverviewSearch_1_csv[[#This Row],[Day]],"dddd")</f>
        <v>Thursday</v>
      </c>
      <c r="F728">
        <v>17</v>
      </c>
      <c r="G728">
        <v>32</v>
      </c>
      <c r="H728">
        <v>65</v>
      </c>
      <c r="I728">
        <f>VLOOKUP(Demand_Data___Hourly_OverviewSearch_1_csv[[#This Row],[Date]],Supply_Data___Hourly_DriverActivity_1_csv__3[#All],2,FALSE)</f>
        <v>63</v>
      </c>
      <c r="J728">
        <f>VLOOKUP(Demand_Data___Hourly_OverviewSearch_1_csv[[#This Row],[Date]],Supply_Data___Hourly_DriverActivity_1_csv__3[#All],3,FALSE)</f>
        <v>22</v>
      </c>
      <c r="K728">
        <f>VLOOKUP(Demand_Data___Hourly_OverviewSearch_1_csv[[#This Row],[Date]],Supply_Data___Hourly_DriverActivity_1_csv__3[#All],4,FALSE)</f>
        <v>10</v>
      </c>
      <c r="L728">
        <f>VLOOKUP(Demand_Data___Hourly_OverviewSearch_1_csv[[#This Row],[Date]],Supply_Data___Hourly_DriverActivity_1_csv__3[#All],5,FALSE)</f>
        <v>11</v>
      </c>
      <c r="M728">
        <f>VLOOKUP(Demand_Data___Hourly_OverviewSearch_1_csv[[#This Row],[Date]],Supply_Data___Hourly_DriverActivity_1_csv__3[#All],6,FALSE)</f>
        <v>0.3</v>
      </c>
      <c r="N728">
        <f>VLOOKUP(Demand_Data___Hourly_OverviewSearch_1_csv[[#This Row],[Date]],Supply_Data___Hourly_DriverActivity_1_csv__3[#All],7,FALSE)</f>
        <v>0.68</v>
      </c>
      <c r="O728">
        <f>VLOOKUP(Demand_Data___Hourly_OverviewSearch_1_csv[[#This Row],[Date]],Supply_Data___Hourly_DriverActivity_1_csv__3[#All],8,FALSE)</f>
        <v>15</v>
      </c>
      <c r="P728">
        <f>(Demand_Data___Hourly_OverviewSearch_1_csv[[#This Row],[People saw 0 cars (unique)]]+Demand_Data___Hourly_OverviewSearch_1_csv[[#This Row],[People saw +1 cars (unique)]])</f>
        <v>49</v>
      </c>
      <c r="Q728" s="143">
        <f t="shared" si="47"/>
        <v>12</v>
      </c>
    </row>
    <row r="729" spans="1:17" x14ac:dyDescent="0.3">
      <c r="A729" t="s">
        <v>736</v>
      </c>
      <c r="B729" t="str">
        <f t="shared" si="44"/>
        <v xml:space="preserve"> 15</v>
      </c>
      <c r="C729">
        <f t="shared" si="45"/>
        <v>5</v>
      </c>
      <c r="D729" t="str">
        <f t="shared" si="46"/>
        <v xml:space="preserve">2016-11-18 </v>
      </c>
      <c r="E729" t="str">
        <f>TEXT(Demand_Data___Hourly_OverviewSearch_1_csv[[#This Row],[Day]],"dddd")</f>
        <v>Thursday</v>
      </c>
      <c r="F729">
        <v>38</v>
      </c>
      <c r="G729">
        <v>46</v>
      </c>
      <c r="H729">
        <v>55</v>
      </c>
      <c r="I729">
        <f>VLOOKUP(Demand_Data___Hourly_OverviewSearch_1_csv[[#This Row],[Date]],Supply_Data___Hourly_DriverActivity_1_csv__3[#All],2,FALSE)</f>
        <v>62</v>
      </c>
      <c r="J729">
        <f>VLOOKUP(Demand_Data___Hourly_OverviewSearch_1_csv[[#This Row],[Date]],Supply_Data___Hourly_DriverActivity_1_csv__3[#All],3,FALSE)</f>
        <v>22</v>
      </c>
      <c r="K729">
        <f>VLOOKUP(Demand_Data___Hourly_OverviewSearch_1_csv[[#This Row],[Date]],Supply_Data___Hourly_DriverActivity_1_csv__3[#All],4,FALSE)</f>
        <v>10</v>
      </c>
      <c r="L729">
        <f>VLOOKUP(Demand_Data___Hourly_OverviewSearch_1_csv[[#This Row],[Date]],Supply_Data___Hourly_DriverActivity_1_csv__3[#All],5,FALSE)</f>
        <v>11</v>
      </c>
      <c r="M729">
        <f>VLOOKUP(Demand_Data___Hourly_OverviewSearch_1_csv[[#This Row],[Date]],Supply_Data___Hourly_DriverActivity_1_csv__3[#All],6,FALSE)</f>
        <v>0.4</v>
      </c>
      <c r="N729">
        <f>VLOOKUP(Demand_Data___Hourly_OverviewSearch_1_csv[[#This Row],[Date]],Supply_Data___Hourly_DriverActivity_1_csv__3[#All],7,FALSE)</f>
        <v>0.86</v>
      </c>
      <c r="O729">
        <f>VLOOKUP(Demand_Data___Hourly_OverviewSearch_1_csv[[#This Row],[Date]],Supply_Data___Hourly_DriverActivity_1_csv__3[#All],8,FALSE)</f>
        <v>19</v>
      </c>
      <c r="P729">
        <f>(Demand_Data___Hourly_OverviewSearch_1_csv[[#This Row],[People saw 0 cars (unique)]]+Demand_Data___Hourly_OverviewSearch_1_csv[[#This Row],[People saw +1 cars (unique)]])</f>
        <v>84</v>
      </c>
      <c r="Q729" s="143">
        <f t="shared" si="47"/>
        <v>12</v>
      </c>
    </row>
    <row r="730" spans="1:17" x14ac:dyDescent="0.3">
      <c r="A730" t="s">
        <v>737</v>
      </c>
      <c r="B730" t="str">
        <f t="shared" si="44"/>
        <v xml:space="preserve"> 14</v>
      </c>
      <c r="C730">
        <f t="shared" si="45"/>
        <v>5</v>
      </c>
      <c r="D730" t="str">
        <f t="shared" si="46"/>
        <v xml:space="preserve">2016-11-18 </v>
      </c>
      <c r="E730" t="str">
        <f>TEXT(Demand_Data___Hourly_OverviewSearch_1_csv[[#This Row],[Day]],"dddd")</f>
        <v>Thursday</v>
      </c>
      <c r="F730">
        <v>12</v>
      </c>
      <c r="G730">
        <v>38</v>
      </c>
      <c r="H730">
        <v>76</v>
      </c>
      <c r="I730">
        <f>VLOOKUP(Demand_Data___Hourly_OverviewSearch_1_csv[[#This Row],[Date]],Supply_Data___Hourly_DriverActivity_1_csv__3[#All],2,FALSE)</f>
        <v>65</v>
      </c>
      <c r="J730">
        <f>VLOOKUP(Demand_Data___Hourly_OverviewSearch_1_csv[[#This Row],[Date]],Supply_Data___Hourly_DriverActivity_1_csv__3[#All],3,FALSE)</f>
        <v>21</v>
      </c>
      <c r="K730">
        <f>VLOOKUP(Demand_Data___Hourly_OverviewSearch_1_csv[[#This Row],[Date]],Supply_Data___Hourly_DriverActivity_1_csv__3[#All],4,FALSE)</f>
        <v>6</v>
      </c>
      <c r="L730">
        <f>VLOOKUP(Demand_Data___Hourly_OverviewSearch_1_csv[[#This Row],[Date]],Supply_Data___Hourly_DriverActivity_1_csv__3[#All],5,FALSE)</f>
        <v>15</v>
      </c>
      <c r="M730">
        <f>VLOOKUP(Demand_Data___Hourly_OverviewSearch_1_csv[[#This Row],[Date]],Supply_Data___Hourly_DriverActivity_1_csv__3[#All],6,FALSE)</f>
        <v>0.3</v>
      </c>
      <c r="N730">
        <f>VLOOKUP(Demand_Data___Hourly_OverviewSearch_1_csv[[#This Row],[Date]],Supply_Data___Hourly_DriverActivity_1_csv__3[#All],7,FALSE)</f>
        <v>0.56999999999999995</v>
      </c>
      <c r="O730">
        <f>VLOOKUP(Demand_Data___Hourly_OverviewSearch_1_csv[[#This Row],[Date]],Supply_Data___Hourly_DriverActivity_1_csv__3[#All],8,FALSE)</f>
        <v>12</v>
      </c>
      <c r="P730">
        <f>(Demand_Data___Hourly_OverviewSearch_1_csv[[#This Row],[People saw 0 cars (unique)]]+Demand_Data___Hourly_OverviewSearch_1_csv[[#This Row],[People saw +1 cars (unique)]])</f>
        <v>50</v>
      </c>
      <c r="Q730" s="143">
        <f t="shared" si="47"/>
        <v>15</v>
      </c>
    </row>
    <row r="731" spans="1:17" x14ac:dyDescent="0.3">
      <c r="A731" t="s">
        <v>738</v>
      </c>
      <c r="B731" t="str">
        <f t="shared" si="44"/>
        <v xml:space="preserve"> 13</v>
      </c>
      <c r="C731">
        <f t="shared" si="45"/>
        <v>5</v>
      </c>
      <c r="D731" t="str">
        <f t="shared" si="46"/>
        <v xml:space="preserve">2016-11-18 </v>
      </c>
      <c r="E731" t="str">
        <f>TEXT(Demand_Data___Hourly_OverviewSearch_1_csv[[#This Row],[Day]],"dddd")</f>
        <v>Thursday</v>
      </c>
      <c r="F731">
        <v>10</v>
      </c>
      <c r="G731">
        <v>34</v>
      </c>
      <c r="H731">
        <v>77</v>
      </c>
      <c r="I731">
        <f>VLOOKUP(Demand_Data___Hourly_OverviewSearch_1_csv[[#This Row],[Date]],Supply_Data___Hourly_DriverActivity_1_csv__3[#All],2,FALSE)</f>
        <v>65</v>
      </c>
      <c r="J731">
        <f>VLOOKUP(Demand_Data___Hourly_OverviewSearch_1_csv[[#This Row],[Date]],Supply_Data___Hourly_DriverActivity_1_csv__3[#All],3,FALSE)</f>
        <v>23</v>
      </c>
      <c r="K731">
        <f>VLOOKUP(Demand_Data___Hourly_OverviewSearch_1_csv[[#This Row],[Date]],Supply_Data___Hourly_DriverActivity_1_csv__3[#All],4,FALSE)</f>
        <v>4</v>
      </c>
      <c r="L731">
        <f>VLOOKUP(Demand_Data___Hourly_OverviewSearch_1_csv[[#This Row],[Date]],Supply_Data___Hourly_DriverActivity_1_csv__3[#All],5,FALSE)</f>
        <v>18</v>
      </c>
      <c r="M731">
        <f>VLOOKUP(Demand_Data___Hourly_OverviewSearch_1_csv[[#This Row],[Date]],Supply_Data___Hourly_DriverActivity_1_csv__3[#All],6,FALSE)</f>
        <v>0.4</v>
      </c>
      <c r="N731">
        <f>VLOOKUP(Demand_Data___Hourly_OverviewSearch_1_csv[[#This Row],[Date]],Supply_Data___Hourly_DriverActivity_1_csv__3[#All],7,FALSE)</f>
        <v>0.39</v>
      </c>
      <c r="O731">
        <f>VLOOKUP(Demand_Data___Hourly_OverviewSearch_1_csv[[#This Row],[Date]],Supply_Data___Hourly_DriverActivity_1_csv__3[#All],8,FALSE)</f>
        <v>9</v>
      </c>
      <c r="P731">
        <f>(Demand_Data___Hourly_OverviewSearch_1_csv[[#This Row],[People saw 0 cars (unique)]]+Demand_Data___Hourly_OverviewSearch_1_csv[[#This Row],[People saw +1 cars (unique)]])</f>
        <v>44</v>
      </c>
      <c r="Q731" s="143">
        <f t="shared" si="47"/>
        <v>19</v>
      </c>
    </row>
    <row r="732" spans="1:17" x14ac:dyDescent="0.3">
      <c r="A732" t="s">
        <v>739</v>
      </c>
      <c r="B732" t="str">
        <f t="shared" si="44"/>
        <v xml:space="preserve"> 12</v>
      </c>
      <c r="C732">
        <f t="shared" si="45"/>
        <v>5</v>
      </c>
      <c r="D732" t="str">
        <f t="shared" si="46"/>
        <v xml:space="preserve">2016-11-18 </v>
      </c>
      <c r="E732" t="str">
        <f>TEXT(Demand_Data___Hourly_OverviewSearch_1_csv[[#This Row],[Day]],"dddd")</f>
        <v>Thursday</v>
      </c>
      <c r="F732">
        <v>15</v>
      </c>
      <c r="G732">
        <v>30</v>
      </c>
      <c r="H732">
        <v>67</v>
      </c>
      <c r="I732">
        <f>VLOOKUP(Demand_Data___Hourly_OverviewSearch_1_csv[[#This Row],[Date]],Supply_Data___Hourly_DriverActivity_1_csv__3[#All],2,FALSE)</f>
        <v>58</v>
      </c>
      <c r="J732">
        <f>VLOOKUP(Demand_Data___Hourly_OverviewSearch_1_csv[[#This Row],[Date]],Supply_Data___Hourly_DriverActivity_1_csv__3[#All],3,FALSE)</f>
        <v>22</v>
      </c>
      <c r="K732">
        <f>VLOOKUP(Demand_Data___Hourly_OverviewSearch_1_csv[[#This Row],[Date]],Supply_Data___Hourly_DriverActivity_1_csv__3[#All],4,FALSE)</f>
        <v>6</v>
      </c>
      <c r="L732">
        <f>VLOOKUP(Demand_Data___Hourly_OverviewSearch_1_csv[[#This Row],[Date]],Supply_Data___Hourly_DriverActivity_1_csv__3[#All],5,FALSE)</f>
        <v>16</v>
      </c>
      <c r="M732">
        <f>VLOOKUP(Demand_Data___Hourly_OverviewSearch_1_csv[[#This Row],[Date]],Supply_Data___Hourly_DriverActivity_1_csv__3[#All],6,FALSE)</f>
        <v>0.4</v>
      </c>
      <c r="N732">
        <f>VLOOKUP(Demand_Data___Hourly_OverviewSearch_1_csv[[#This Row],[Date]],Supply_Data___Hourly_DriverActivity_1_csv__3[#All],7,FALSE)</f>
        <v>0.45</v>
      </c>
      <c r="O732">
        <f>VLOOKUP(Demand_Data___Hourly_OverviewSearch_1_csv[[#This Row],[Date]],Supply_Data___Hourly_DriverActivity_1_csv__3[#All],8,FALSE)</f>
        <v>10</v>
      </c>
      <c r="P732">
        <f>(Demand_Data___Hourly_OverviewSearch_1_csv[[#This Row],[People saw 0 cars (unique)]]+Demand_Data___Hourly_OverviewSearch_1_csv[[#This Row],[People saw +1 cars (unique)]])</f>
        <v>45</v>
      </c>
      <c r="Q732" s="143">
        <f t="shared" si="47"/>
        <v>16</v>
      </c>
    </row>
    <row r="733" spans="1:17" x14ac:dyDescent="0.3">
      <c r="A733" t="s">
        <v>740</v>
      </c>
      <c r="B733" t="str">
        <f t="shared" si="44"/>
        <v xml:space="preserve"> 11</v>
      </c>
      <c r="C733">
        <f t="shared" si="45"/>
        <v>5</v>
      </c>
      <c r="D733" t="str">
        <f t="shared" si="46"/>
        <v xml:space="preserve">2016-11-18 </v>
      </c>
      <c r="E733" t="str">
        <f>TEXT(Demand_Data___Hourly_OverviewSearch_1_csv[[#This Row],[Day]],"dddd")</f>
        <v>Thursday</v>
      </c>
      <c r="F733">
        <v>9</v>
      </c>
      <c r="G733">
        <v>30</v>
      </c>
      <c r="H733">
        <v>77</v>
      </c>
      <c r="I733">
        <f>VLOOKUP(Demand_Data___Hourly_OverviewSearch_1_csv[[#This Row],[Date]],Supply_Data___Hourly_DriverActivity_1_csv__3[#All],2,FALSE)</f>
        <v>56</v>
      </c>
      <c r="J733">
        <f>VLOOKUP(Demand_Data___Hourly_OverviewSearch_1_csv[[#This Row],[Date]],Supply_Data___Hourly_DriverActivity_1_csv__3[#All],3,FALSE)</f>
        <v>23</v>
      </c>
      <c r="K733">
        <f>VLOOKUP(Demand_Data___Hourly_OverviewSearch_1_csv[[#This Row],[Date]],Supply_Data___Hourly_DriverActivity_1_csv__3[#All],4,FALSE)</f>
        <v>5</v>
      </c>
      <c r="L733">
        <f>VLOOKUP(Demand_Data___Hourly_OverviewSearch_1_csv[[#This Row],[Date]],Supply_Data___Hourly_DriverActivity_1_csv__3[#All],5,FALSE)</f>
        <v>18</v>
      </c>
      <c r="M733">
        <f>VLOOKUP(Demand_Data___Hourly_OverviewSearch_1_csv[[#This Row],[Date]],Supply_Data___Hourly_DriverActivity_1_csv__3[#All],6,FALSE)</f>
        <v>0.4</v>
      </c>
      <c r="N733">
        <f>VLOOKUP(Demand_Data___Hourly_OverviewSearch_1_csv[[#This Row],[Date]],Supply_Data___Hourly_DriverActivity_1_csv__3[#All],7,FALSE)</f>
        <v>0.39</v>
      </c>
      <c r="O733">
        <f>VLOOKUP(Demand_Data___Hourly_OverviewSearch_1_csv[[#This Row],[Date]],Supply_Data___Hourly_DriverActivity_1_csv__3[#All],8,FALSE)</f>
        <v>9</v>
      </c>
      <c r="P733">
        <f>(Demand_Data___Hourly_OverviewSearch_1_csv[[#This Row],[People saw 0 cars (unique)]]+Demand_Data___Hourly_OverviewSearch_1_csv[[#This Row],[People saw +1 cars (unique)]])</f>
        <v>39</v>
      </c>
      <c r="Q733" s="143">
        <f t="shared" si="47"/>
        <v>18</v>
      </c>
    </row>
    <row r="734" spans="1:17" x14ac:dyDescent="0.3">
      <c r="A734" t="s">
        <v>741</v>
      </c>
      <c r="B734" t="str">
        <f t="shared" si="44"/>
        <v xml:space="preserve"> 10</v>
      </c>
      <c r="C734">
        <f t="shared" si="45"/>
        <v>5</v>
      </c>
      <c r="D734" t="str">
        <f t="shared" si="46"/>
        <v xml:space="preserve">2016-11-18 </v>
      </c>
      <c r="E734" t="str">
        <f>TEXT(Demand_Data___Hourly_OverviewSearch_1_csv[[#This Row],[Day]],"dddd")</f>
        <v>Thursday</v>
      </c>
      <c r="F734">
        <v>14</v>
      </c>
      <c r="G734">
        <v>50</v>
      </c>
      <c r="H734">
        <v>78</v>
      </c>
      <c r="I734">
        <f>VLOOKUP(Demand_Data___Hourly_OverviewSearch_1_csv[[#This Row],[Date]],Supply_Data___Hourly_DriverActivity_1_csv__3[#All],2,FALSE)</f>
        <v>67</v>
      </c>
      <c r="J734">
        <f>VLOOKUP(Demand_Data___Hourly_OverviewSearch_1_csv[[#This Row],[Date]],Supply_Data___Hourly_DriverActivity_1_csv__3[#All],3,FALSE)</f>
        <v>27</v>
      </c>
      <c r="K734">
        <f>VLOOKUP(Demand_Data___Hourly_OverviewSearch_1_csv[[#This Row],[Date]],Supply_Data___Hourly_DriverActivity_1_csv__3[#All],4,FALSE)</f>
        <v>10</v>
      </c>
      <c r="L734">
        <f>VLOOKUP(Demand_Data___Hourly_OverviewSearch_1_csv[[#This Row],[Date]],Supply_Data___Hourly_DriverActivity_1_csv__3[#All],5,FALSE)</f>
        <v>17</v>
      </c>
      <c r="M734">
        <f>VLOOKUP(Demand_Data___Hourly_OverviewSearch_1_csv[[#This Row],[Date]],Supply_Data___Hourly_DriverActivity_1_csv__3[#All],6,FALSE)</f>
        <v>0.4</v>
      </c>
      <c r="N734">
        <f>VLOOKUP(Demand_Data___Hourly_OverviewSearch_1_csv[[#This Row],[Date]],Supply_Data___Hourly_DriverActivity_1_csv__3[#All],7,FALSE)</f>
        <v>0.67</v>
      </c>
      <c r="O734">
        <f>VLOOKUP(Demand_Data___Hourly_OverviewSearch_1_csv[[#This Row],[Date]],Supply_Data___Hourly_DriverActivity_1_csv__3[#All],8,FALSE)</f>
        <v>18</v>
      </c>
      <c r="P734">
        <f>(Demand_Data___Hourly_OverviewSearch_1_csv[[#This Row],[People saw 0 cars (unique)]]+Demand_Data___Hourly_OverviewSearch_1_csv[[#This Row],[People saw +1 cars (unique)]])</f>
        <v>64</v>
      </c>
      <c r="Q734" s="143">
        <f t="shared" si="47"/>
        <v>17</v>
      </c>
    </row>
    <row r="735" spans="1:17" x14ac:dyDescent="0.3">
      <c r="A735" t="s">
        <v>742</v>
      </c>
      <c r="B735" t="str">
        <f t="shared" si="44"/>
        <v xml:space="preserve"> 09</v>
      </c>
      <c r="C735">
        <f t="shared" si="45"/>
        <v>5</v>
      </c>
      <c r="D735" t="str">
        <f t="shared" si="46"/>
        <v xml:space="preserve">2016-11-18 </v>
      </c>
      <c r="E735" t="str">
        <f>TEXT(Demand_Data___Hourly_OverviewSearch_1_csv[[#This Row],[Day]],"dddd")</f>
        <v>Thursday</v>
      </c>
      <c r="F735">
        <v>25</v>
      </c>
      <c r="G735">
        <v>48</v>
      </c>
      <c r="H735">
        <v>66</v>
      </c>
      <c r="I735">
        <f>VLOOKUP(Demand_Data___Hourly_OverviewSearch_1_csv[[#This Row],[Date]],Supply_Data___Hourly_DriverActivity_1_csv__3[#All],2,FALSE)</f>
        <v>58</v>
      </c>
      <c r="J735">
        <f>VLOOKUP(Demand_Data___Hourly_OverviewSearch_1_csv[[#This Row],[Date]],Supply_Data___Hourly_DriverActivity_1_csv__3[#All],3,FALSE)</f>
        <v>24</v>
      </c>
      <c r="K735">
        <f>VLOOKUP(Demand_Data___Hourly_OverviewSearch_1_csv[[#This Row],[Date]],Supply_Data___Hourly_DriverActivity_1_csv__3[#All],4,FALSE)</f>
        <v>12</v>
      </c>
      <c r="L735">
        <f>VLOOKUP(Demand_Data___Hourly_OverviewSearch_1_csv[[#This Row],[Date]],Supply_Data___Hourly_DriverActivity_1_csv__3[#All],5,FALSE)</f>
        <v>12</v>
      </c>
      <c r="M735">
        <f>VLOOKUP(Demand_Data___Hourly_OverviewSearch_1_csv[[#This Row],[Date]],Supply_Data___Hourly_DriverActivity_1_csv__3[#All],6,FALSE)</f>
        <v>0.4</v>
      </c>
      <c r="N735">
        <f>VLOOKUP(Demand_Data___Hourly_OverviewSearch_1_csv[[#This Row],[Date]],Supply_Data___Hourly_DriverActivity_1_csv__3[#All],7,FALSE)</f>
        <v>1.04</v>
      </c>
      <c r="O735">
        <f>VLOOKUP(Demand_Data___Hourly_OverviewSearch_1_csv[[#This Row],[Date]],Supply_Data___Hourly_DriverActivity_1_csv__3[#All],8,FALSE)</f>
        <v>25</v>
      </c>
      <c r="P735">
        <f>(Demand_Data___Hourly_OverviewSearch_1_csv[[#This Row],[People saw 0 cars (unique)]]+Demand_Data___Hourly_OverviewSearch_1_csv[[#This Row],[People saw +1 cars (unique)]])</f>
        <v>73</v>
      </c>
      <c r="Q735" s="143">
        <f t="shared" si="47"/>
        <v>12</v>
      </c>
    </row>
    <row r="736" spans="1:17" x14ac:dyDescent="0.3">
      <c r="A736" t="s">
        <v>743</v>
      </c>
      <c r="B736" t="str">
        <f t="shared" si="44"/>
        <v xml:space="preserve"> 08</v>
      </c>
      <c r="C736">
        <f t="shared" si="45"/>
        <v>5</v>
      </c>
      <c r="D736" t="str">
        <f t="shared" si="46"/>
        <v xml:space="preserve">2016-11-18 </v>
      </c>
      <c r="E736" t="str">
        <f>TEXT(Demand_Data___Hourly_OverviewSearch_1_csv[[#This Row],[Day]],"dddd")</f>
        <v>Thursday</v>
      </c>
      <c r="F736">
        <v>26</v>
      </c>
      <c r="G736">
        <v>34</v>
      </c>
      <c r="H736">
        <v>57</v>
      </c>
      <c r="I736">
        <f>VLOOKUP(Demand_Data___Hourly_OverviewSearch_1_csv[[#This Row],[Date]],Supply_Data___Hourly_DriverActivity_1_csv__3[#All],2,FALSE)</f>
        <v>48</v>
      </c>
      <c r="J736">
        <f>VLOOKUP(Demand_Data___Hourly_OverviewSearch_1_csv[[#This Row],[Date]],Supply_Data___Hourly_DriverActivity_1_csv__3[#All],3,FALSE)</f>
        <v>16</v>
      </c>
      <c r="K736">
        <f>VLOOKUP(Demand_Data___Hourly_OverviewSearch_1_csv[[#This Row],[Date]],Supply_Data___Hourly_DriverActivity_1_csv__3[#All],4,FALSE)</f>
        <v>8</v>
      </c>
      <c r="L736">
        <f>VLOOKUP(Demand_Data___Hourly_OverviewSearch_1_csv[[#This Row],[Date]],Supply_Data___Hourly_DriverActivity_1_csv__3[#All],5,FALSE)</f>
        <v>8</v>
      </c>
      <c r="M736">
        <f>VLOOKUP(Demand_Data___Hourly_OverviewSearch_1_csv[[#This Row],[Date]],Supply_Data___Hourly_DriverActivity_1_csv__3[#All],6,FALSE)</f>
        <v>0.3</v>
      </c>
      <c r="N736">
        <f>VLOOKUP(Demand_Data___Hourly_OverviewSearch_1_csv[[#This Row],[Date]],Supply_Data___Hourly_DriverActivity_1_csv__3[#All],7,FALSE)</f>
        <v>1</v>
      </c>
      <c r="O736">
        <f>VLOOKUP(Demand_Data___Hourly_OverviewSearch_1_csv[[#This Row],[Date]],Supply_Data___Hourly_DriverActivity_1_csv__3[#All],8,FALSE)</f>
        <v>16</v>
      </c>
      <c r="P736">
        <f>(Demand_Data___Hourly_OverviewSearch_1_csv[[#This Row],[People saw 0 cars (unique)]]+Demand_Data___Hourly_OverviewSearch_1_csv[[#This Row],[People saw +1 cars (unique)]])</f>
        <v>60</v>
      </c>
      <c r="Q736" s="143">
        <f t="shared" si="47"/>
        <v>8</v>
      </c>
    </row>
    <row r="737" spans="1:17" x14ac:dyDescent="0.3">
      <c r="A737" t="s">
        <v>744</v>
      </c>
      <c r="B737" t="str">
        <f t="shared" si="44"/>
        <v xml:space="preserve"> 07</v>
      </c>
      <c r="C737">
        <f t="shared" si="45"/>
        <v>5</v>
      </c>
      <c r="D737" t="str">
        <f t="shared" si="46"/>
        <v xml:space="preserve">2016-11-18 </v>
      </c>
      <c r="E737" t="str">
        <f>TEXT(Demand_Data___Hourly_OverviewSearch_1_csv[[#This Row],[Day]],"dddd")</f>
        <v>Thursday</v>
      </c>
      <c r="F737">
        <v>18</v>
      </c>
      <c r="G737">
        <v>26</v>
      </c>
      <c r="H737">
        <v>59</v>
      </c>
      <c r="I737">
        <f>VLOOKUP(Demand_Data___Hourly_OverviewSearch_1_csv[[#This Row],[Date]],Supply_Data___Hourly_DriverActivity_1_csv__3[#All],2,FALSE)</f>
        <v>38</v>
      </c>
      <c r="J737">
        <f>VLOOKUP(Demand_Data___Hourly_OverviewSearch_1_csv[[#This Row],[Date]],Supply_Data___Hourly_DriverActivity_1_csv__3[#All],3,FALSE)</f>
        <v>9</v>
      </c>
      <c r="K737">
        <f>VLOOKUP(Demand_Data___Hourly_OverviewSearch_1_csv[[#This Row],[Date]],Supply_Data___Hourly_DriverActivity_1_csv__3[#All],4,FALSE)</f>
        <v>3</v>
      </c>
      <c r="L737">
        <f>VLOOKUP(Demand_Data___Hourly_OverviewSearch_1_csv[[#This Row],[Date]],Supply_Data___Hourly_DriverActivity_1_csv__3[#All],5,FALSE)</f>
        <v>6</v>
      </c>
      <c r="M737">
        <f>VLOOKUP(Demand_Data___Hourly_OverviewSearch_1_csv[[#This Row],[Date]],Supply_Data___Hourly_DriverActivity_1_csv__3[#All],6,FALSE)</f>
        <v>0.2</v>
      </c>
      <c r="N737">
        <f>VLOOKUP(Demand_Data___Hourly_OverviewSearch_1_csv[[#This Row],[Date]],Supply_Data___Hourly_DriverActivity_1_csv__3[#All],7,FALSE)</f>
        <v>1.22</v>
      </c>
      <c r="O737">
        <f>VLOOKUP(Demand_Data___Hourly_OverviewSearch_1_csv[[#This Row],[Date]],Supply_Data___Hourly_DriverActivity_1_csv__3[#All],8,FALSE)</f>
        <v>11</v>
      </c>
      <c r="P737">
        <f>(Demand_Data___Hourly_OverviewSearch_1_csv[[#This Row],[People saw 0 cars (unique)]]+Demand_Data___Hourly_OverviewSearch_1_csv[[#This Row],[People saw +1 cars (unique)]])</f>
        <v>44</v>
      </c>
      <c r="Q737" s="143">
        <f t="shared" si="47"/>
        <v>6</v>
      </c>
    </row>
    <row r="738" spans="1:17" x14ac:dyDescent="0.3">
      <c r="A738" t="s">
        <v>745</v>
      </c>
      <c r="B738" t="str">
        <f t="shared" si="44"/>
        <v xml:space="preserve"> 06</v>
      </c>
      <c r="C738">
        <f t="shared" si="45"/>
        <v>5</v>
      </c>
      <c r="D738" t="str">
        <f t="shared" si="46"/>
        <v xml:space="preserve">2016-11-18 </v>
      </c>
      <c r="E738" t="str">
        <f>TEXT(Demand_Data___Hourly_OverviewSearch_1_csv[[#This Row],[Day]],"dddd")</f>
        <v>Thursday</v>
      </c>
      <c r="F738">
        <v>7</v>
      </c>
      <c r="G738">
        <v>2</v>
      </c>
      <c r="H738">
        <v>22</v>
      </c>
      <c r="I738">
        <f>VLOOKUP(Demand_Data___Hourly_OverviewSearch_1_csv[[#This Row],[Date]],Supply_Data___Hourly_DriverActivity_1_csv__3[#All],2,FALSE)</f>
        <v>19</v>
      </c>
      <c r="J738">
        <f>VLOOKUP(Demand_Data___Hourly_OverviewSearch_1_csv[[#This Row],[Date]],Supply_Data___Hourly_DriverActivity_1_csv__3[#All],3,FALSE)</f>
        <v>5</v>
      </c>
      <c r="K738">
        <f>VLOOKUP(Demand_Data___Hourly_OverviewSearch_1_csv[[#This Row],[Date]],Supply_Data___Hourly_DriverActivity_1_csv__3[#All],4,FALSE)</f>
        <v>1</v>
      </c>
      <c r="L738">
        <f>VLOOKUP(Demand_Data___Hourly_OverviewSearch_1_csv[[#This Row],[Date]],Supply_Data___Hourly_DriverActivity_1_csv__3[#All],5,FALSE)</f>
        <v>4</v>
      </c>
      <c r="M738">
        <f>VLOOKUP(Demand_Data___Hourly_OverviewSearch_1_csv[[#This Row],[Date]],Supply_Data___Hourly_DriverActivity_1_csv__3[#All],6,FALSE)</f>
        <v>0.3</v>
      </c>
      <c r="N738">
        <f>VLOOKUP(Demand_Data___Hourly_OverviewSearch_1_csv[[#This Row],[Date]],Supply_Data___Hourly_DriverActivity_1_csv__3[#All],7,FALSE)</f>
        <v>0.2</v>
      </c>
      <c r="O738">
        <f>VLOOKUP(Demand_Data___Hourly_OverviewSearch_1_csv[[#This Row],[Date]],Supply_Data___Hourly_DriverActivity_1_csv__3[#All],8,FALSE)</f>
        <v>1</v>
      </c>
      <c r="P738">
        <f>(Demand_Data___Hourly_OverviewSearch_1_csv[[#This Row],[People saw 0 cars (unique)]]+Demand_Data___Hourly_OverviewSearch_1_csv[[#This Row],[People saw +1 cars (unique)]])</f>
        <v>9</v>
      </c>
      <c r="Q738" s="143">
        <f t="shared" si="47"/>
        <v>4</v>
      </c>
    </row>
    <row r="739" spans="1:17" x14ac:dyDescent="0.3">
      <c r="A739" t="s">
        <v>746</v>
      </c>
      <c r="B739" t="str">
        <f t="shared" si="44"/>
        <v xml:space="preserve"> 05</v>
      </c>
      <c r="C739">
        <f t="shared" si="45"/>
        <v>5</v>
      </c>
      <c r="D739" t="str">
        <f t="shared" si="46"/>
        <v xml:space="preserve">2016-11-18 </v>
      </c>
      <c r="E739" t="str">
        <f>TEXT(Demand_Data___Hourly_OverviewSearch_1_csv[[#This Row],[Day]],"dddd")</f>
        <v>Thursday</v>
      </c>
      <c r="F739">
        <v>9</v>
      </c>
      <c r="G739">
        <v>3</v>
      </c>
      <c r="H739">
        <v>25</v>
      </c>
      <c r="I739">
        <f>VLOOKUP(Demand_Data___Hourly_OverviewSearch_1_csv[[#This Row],[Date]],Supply_Data___Hourly_DriverActivity_1_csv__3[#All],2,FALSE)</f>
        <v>20</v>
      </c>
      <c r="J739">
        <f>VLOOKUP(Demand_Data___Hourly_OverviewSearch_1_csv[[#This Row],[Date]],Supply_Data___Hourly_DriverActivity_1_csv__3[#All],3,FALSE)</f>
        <v>7</v>
      </c>
      <c r="K739">
        <f>VLOOKUP(Demand_Data___Hourly_OverviewSearch_1_csv[[#This Row],[Date]],Supply_Data___Hourly_DriverActivity_1_csv__3[#All],4,FALSE)</f>
        <v>1</v>
      </c>
      <c r="L739">
        <f>VLOOKUP(Demand_Data___Hourly_OverviewSearch_1_csv[[#This Row],[Date]],Supply_Data___Hourly_DriverActivity_1_csv__3[#All],5,FALSE)</f>
        <v>5</v>
      </c>
      <c r="M739">
        <f>VLOOKUP(Demand_Data___Hourly_OverviewSearch_1_csv[[#This Row],[Date]],Supply_Data___Hourly_DriverActivity_1_csv__3[#All],6,FALSE)</f>
        <v>0.3</v>
      </c>
      <c r="N739">
        <f>VLOOKUP(Demand_Data___Hourly_OverviewSearch_1_csv[[#This Row],[Date]],Supply_Data___Hourly_DriverActivity_1_csv__3[#All],7,FALSE)</f>
        <v>0.28999999999999998</v>
      </c>
      <c r="O739">
        <f>VLOOKUP(Demand_Data___Hourly_OverviewSearch_1_csv[[#This Row],[Date]],Supply_Data___Hourly_DriverActivity_1_csv__3[#All],8,FALSE)</f>
        <v>2</v>
      </c>
      <c r="P739">
        <f>(Demand_Data___Hourly_OverviewSearch_1_csv[[#This Row],[People saw 0 cars (unique)]]+Demand_Data___Hourly_OverviewSearch_1_csv[[#This Row],[People saw +1 cars (unique)]])</f>
        <v>12</v>
      </c>
      <c r="Q739" s="143">
        <f t="shared" si="47"/>
        <v>6</v>
      </c>
    </row>
    <row r="740" spans="1:17" x14ac:dyDescent="0.3">
      <c r="A740" t="s">
        <v>747</v>
      </c>
      <c r="B740" t="str">
        <f t="shared" si="44"/>
        <v xml:space="preserve"> 04</v>
      </c>
      <c r="C740">
        <f t="shared" si="45"/>
        <v>5</v>
      </c>
      <c r="D740" t="str">
        <f t="shared" si="46"/>
        <v xml:space="preserve">2016-11-18 </v>
      </c>
      <c r="E740" t="str">
        <f>TEXT(Demand_Data___Hourly_OverviewSearch_1_csv[[#This Row],[Day]],"dddd")</f>
        <v>Thursday</v>
      </c>
      <c r="F740">
        <v>12</v>
      </c>
      <c r="G740">
        <v>20</v>
      </c>
      <c r="H740">
        <v>63</v>
      </c>
      <c r="I740">
        <f>VLOOKUP(Demand_Data___Hourly_OverviewSearch_1_csv[[#This Row],[Date]],Supply_Data___Hourly_DriverActivity_1_csv__3[#All],2,FALSE)</f>
        <v>27</v>
      </c>
      <c r="J740">
        <f>VLOOKUP(Demand_Data___Hourly_OverviewSearch_1_csv[[#This Row],[Date]],Supply_Data___Hourly_DriverActivity_1_csv__3[#All],3,FALSE)</f>
        <v>12</v>
      </c>
      <c r="K740">
        <f>VLOOKUP(Demand_Data___Hourly_OverviewSearch_1_csv[[#This Row],[Date]],Supply_Data___Hourly_DriverActivity_1_csv__3[#All],4,FALSE)</f>
        <v>4</v>
      </c>
      <c r="L740">
        <f>VLOOKUP(Demand_Data___Hourly_OverviewSearch_1_csv[[#This Row],[Date]],Supply_Data___Hourly_DriverActivity_1_csv__3[#All],5,FALSE)</f>
        <v>8</v>
      </c>
      <c r="M740">
        <f>VLOOKUP(Demand_Data___Hourly_OverviewSearch_1_csv[[#This Row],[Date]],Supply_Data___Hourly_DriverActivity_1_csv__3[#All],6,FALSE)</f>
        <v>0.4</v>
      </c>
      <c r="N740">
        <f>VLOOKUP(Demand_Data___Hourly_OverviewSearch_1_csv[[#This Row],[Date]],Supply_Data___Hourly_DriverActivity_1_csv__3[#All],7,FALSE)</f>
        <v>0.75</v>
      </c>
      <c r="O740">
        <f>VLOOKUP(Demand_Data___Hourly_OverviewSearch_1_csv[[#This Row],[Date]],Supply_Data___Hourly_DriverActivity_1_csv__3[#All],8,FALSE)</f>
        <v>9</v>
      </c>
      <c r="P740">
        <f>(Demand_Data___Hourly_OverviewSearch_1_csv[[#This Row],[People saw 0 cars (unique)]]+Demand_Data___Hourly_OverviewSearch_1_csv[[#This Row],[People saw +1 cars (unique)]])</f>
        <v>32</v>
      </c>
      <c r="Q740" s="143">
        <f t="shared" si="47"/>
        <v>8</v>
      </c>
    </row>
    <row r="741" spans="1:17" x14ac:dyDescent="0.3">
      <c r="A741" t="s">
        <v>748</v>
      </c>
      <c r="B741" t="str">
        <f t="shared" si="44"/>
        <v xml:space="preserve"> 03</v>
      </c>
      <c r="C741">
        <f t="shared" si="45"/>
        <v>5</v>
      </c>
      <c r="D741" t="str">
        <f t="shared" si="46"/>
        <v xml:space="preserve">2016-11-18 </v>
      </c>
      <c r="E741" t="str">
        <f>TEXT(Demand_Data___Hourly_OverviewSearch_1_csv[[#This Row],[Day]],"dddd")</f>
        <v>Thursday</v>
      </c>
      <c r="F741">
        <v>7</v>
      </c>
      <c r="G741">
        <v>30</v>
      </c>
      <c r="H741">
        <v>81</v>
      </c>
      <c r="I741">
        <f>VLOOKUP(Demand_Data___Hourly_OverviewSearch_1_csv[[#This Row],[Date]],Supply_Data___Hourly_DriverActivity_1_csv__3[#All],2,FALSE)</f>
        <v>40</v>
      </c>
      <c r="J741">
        <f>VLOOKUP(Demand_Data___Hourly_OverviewSearch_1_csv[[#This Row],[Date]],Supply_Data___Hourly_DriverActivity_1_csv__3[#All],3,FALSE)</f>
        <v>20</v>
      </c>
      <c r="K741">
        <f>VLOOKUP(Demand_Data___Hourly_OverviewSearch_1_csv[[#This Row],[Date]],Supply_Data___Hourly_DriverActivity_1_csv__3[#All],4,FALSE)</f>
        <v>4</v>
      </c>
      <c r="L741">
        <f>VLOOKUP(Demand_Data___Hourly_OverviewSearch_1_csv[[#This Row],[Date]],Supply_Data___Hourly_DriverActivity_1_csv__3[#All],5,FALSE)</f>
        <v>16</v>
      </c>
      <c r="M741">
        <f>VLOOKUP(Demand_Data___Hourly_OverviewSearch_1_csv[[#This Row],[Date]],Supply_Data___Hourly_DriverActivity_1_csv__3[#All],6,FALSE)</f>
        <v>0.5</v>
      </c>
      <c r="N741">
        <f>VLOOKUP(Demand_Data___Hourly_OverviewSearch_1_csv[[#This Row],[Date]],Supply_Data___Hourly_DriverActivity_1_csv__3[#All],7,FALSE)</f>
        <v>0.6</v>
      </c>
      <c r="O741">
        <f>VLOOKUP(Demand_Data___Hourly_OverviewSearch_1_csv[[#This Row],[Date]],Supply_Data___Hourly_DriverActivity_1_csv__3[#All],8,FALSE)</f>
        <v>12</v>
      </c>
      <c r="P741">
        <f>(Demand_Data___Hourly_OverviewSearch_1_csv[[#This Row],[People saw 0 cars (unique)]]+Demand_Data___Hourly_OverviewSearch_1_csv[[#This Row],[People saw +1 cars (unique)]])</f>
        <v>37</v>
      </c>
      <c r="Q741" s="143">
        <f t="shared" si="47"/>
        <v>16</v>
      </c>
    </row>
    <row r="742" spans="1:17" x14ac:dyDescent="0.3">
      <c r="A742" t="s">
        <v>749</v>
      </c>
      <c r="B742" t="str">
        <f t="shared" si="44"/>
        <v xml:space="preserve"> 02</v>
      </c>
      <c r="C742">
        <f t="shared" si="45"/>
        <v>5</v>
      </c>
      <c r="D742" t="str">
        <f t="shared" si="46"/>
        <v xml:space="preserve">2016-11-18 </v>
      </c>
      <c r="E742" t="str">
        <f>TEXT(Demand_Data___Hourly_OverviewSearch_1_csv[[#This Row],[Day]],"dddd")</f>
        <v>Thursday</v>
      </c>
      <c r="F742">
        <v>1</v>
      </c>
      <c r="G742">
        <v>19</v>
      </c>
      <c r="H742">
        <v>95</v>
      </c>
      <c r="I742">
        <f>VLOOKUP(Demand_Data___Hourly_OverviewSearch_1_csv[[#This Row],[Date]],Supply_Data___Hourly_DriverActivity_1_csv__3[#All],2,FALSE)</f>
        <v>45</v>
      </c>
      <c r="J742">
        <f>VLOOKUP(Demand_Data___Hourly_OverviewSearch_1_csv[[#This Row],[Date]],Supply_Data___Hourly_DriverActivity_1_csv__3[#All],3,FALSE)</f>
        <v>24</v>
      </c>
      <c r="K742">
        <f>VLOOKUP(Demand_Data___Hourly_OverviewSearch_1_csv[[#This Row],[Date]],Supply_Data___Hourly_DriverActivity_1_csv__3[#All],4,FALSE)</f>
        <v>1</v>
      </c>
      <c r="L742">
        <f>VLOOKUP(Demand_Data___Hourly_OverviewSearch_1_csv[[#This Row],[Date]],Supply_Data___Hourly_DriverActivity_1_csv__3[#All],5,FALSE)</f>
        <v>23</v>
      </c>
      <c r="M742">
        <f>VLOOKUP(Demand_Data___Hourly_OverviewSearch_1_csv[[#This Row],[Date]],Supply_Data___Hourly_DriverActivity_1_csv__3[#All],6,FALSE)</f>
        <v>0.5</v>
      </c>
      <c r="N742">
        <f>VLOOKUP(Demand_Data___Hourly_OverviewSearch_1_csv[[#This Row],[Date]],Supply_Data___Hourly_DriverActivity_1_csv__3[#All],7,FALSE)</f>
        <v>0.17</v>
      </c>
      <c r="O742">
        <f>VLOOKUP(Demand_Data___Hourly_OverviewSearch_1_csv[[#This Row],[Date]],Supply_Data___Hourly_DriverActivity_1_csv__3[#All],8,FALSE)</f>
        <v>4</v>
      </c>
      <c r="P742">
        <f>(Demand_Data___Hourly_OverviewSearch_1_csv[[#This Row],[People saw 0 cars (unique)]]+Demand_Data___Hourly_OverviewSearch_1_csv[[#This Row],[People saw +1 cars (unique)]])</f>
        <v>20</v>
      </c>
      <c r="Q742" s="143">
        <f t="shared" si="47"/>
        <v>23</v>
      </c>
    </row>
    <row r="743" spans="1:17" x14ac:dyDescent="0.3">
      <c r="A743" t="s">
        <v>750</v>
      </c>
      <c r="B743" t="str">
        <f t="shared" si="44"/>
        <v xml:space="preserve"> 01</v>
      </c>
      <c r="C743">
        <f t="shared" si="45"/>
        <v>5</v>
      </c>
      <c r="D743" t="str">
        <f t="shared" si="46"/>
        <v xml:space="preserve">2016-11-18 </v>
      </c>
      <c r="E743" t="str">
        <f>TEXT(Demand_Data___Hourly_OverviewSearch_1_csv[[#This Row],[Day]],"dddd")</f>
        <v>Thursday</v>
      </c>
      <c r="F743">
        <v>3</v>
      </c>
      <c r="G743">
        <v>31</v>
      </c>
      <c r="H743">
        <v>91</v>
      </c>
      <c r="I743">
        <f>VLOOKUP(Demand_Data___Hourly_OverviewSearch_1_csv[[#This Row],[Date]],Supply_Data___Hourly_DriverActivity_1_csv__3[#All],2,FALSE)</f>
        <v>61</v>
      </c>
      <c r="J743">
        <f>VLOOKUP(Demand_Data___Hourly_OverviewSearch_1_csv[[#This Row],[Date]],Supply_Data___Hourly_DriverActivity_1_csv__3[#All],3,FALSE)</f>
        <v>28</v>
      </c>
      <c r="K743">
        <f>VLOOKUP(Demand_Data___Hourly_OverviewSearch_1_csv[[#This Row],[Date]],Supply_Data___Hourly_DriverActivity_1_csv__3[#All],4,FALSE)</f>
        <v>5</v>
      </c>
      <c r="L743">
        <f>VLOOKUP(Demand_Data___Hourly_OverviewSearch_1_csv[[#This Row],[Date]],Supply_Data___Hourly_DriverActivity_1_csv__3[#All],5,FALSE)</f>
        <v>23</v>
      </c>
      <c r="M743">
        <f>VLOOKUP(Demand_Data___Hourly_OverviewSearch_1_csv[[#This Row],[Date]],Supply_Data___Hourly_DriverActivity_1_csv__3[#All],6,FALSE)</f>
        <v>0.5</v>
      </c>
      <c r="N743">
        <f>VLOOKUP(Demand_Data___Hourly_OverviewSearch_1_csv[[#This Row],[Date]],Supply_Data___Hourly_DriverActivity_1_csv__3[#All],7,FALSE)</f>
        <v>0.56999999999999995</v>
      </c>
      <c r="O743">
        <f>VLOOKUP(Demand_Data___Hourly_OverviewSearch_1_csv[[#This Row],[Date]],Supply_Data___Hourly_DriverActivity_1_csv__3[#All],8,FALSE)</f>
        <v>16</v>
      </c>
      <c r="P743">
        <f>(Demand_Data___Hourly_OverviewSearch_1_csv[[#This Row],[People saw 0 cars (unique)]]+Demand_Data___Hourly_OverviewSearch_1_csv[[#This Row],[People saw +1 cars (unique)]])</f>
        <v>34</v>
      </c>
      <c r="Q743" s="143">
        <f t="shared" si="47"/>
        <v>23</v>
      </c>
    </row>
    <row r="744" spans="1:17" x14ac:dyDescent="0.3">
      <c r="A744" t="s">
        <v>751</v>
      </c>
      <c r="B744" t="str">
        <f t="shared" si="44"/>
        <v xml:space="preserve"> 00</v>
      </c>
      <c r="C744">
        <f t="shared" si="45"/>
        <v>5</v>
      </c>
      <c r="D744" t="str">
        <f t="shared" si="46"/>
        <v xml:space="preserve">2016-11-18 </v>
      </c>
      <c r="E744" t="str">
        <f>TEXT(Demand_Data___Hourly_OverviewSearch_1_csv[[#This Row],[Day]],"dddd")</f>
        <v>Thursday</v>
      </c>
      <c r="F744">
        <v>5</v>
      </c>
      <c r="G744">
        <v>44</v>
      </c>
      <c r="H744">
        <v>90</v>
      </c>
      <c r="I744">
        <f>VLOOKUP(Demand_Data___Hourly_OverviewSearch_1_csv[[#This Row],[Date]],Supply_Data___Hourly_DriverActivity_1_csv__3[#All],2,FALSE)</f>
        <v>62</v>
      </c>
      <c r="J744">
        <f>VLOOKUP(Demand_Data___Hourly_OverviewSearch_1_csv[[#This Row],[Date]],Supply_Data___Hourly_DriverActivity_1_csv__3[#All],3,FALSE)</f>
        <v>30</v>
      </c>
      <c r="K744">
        <f>VLOOKUP(Demand_Data___Hourly_OverviewSearch_1_csv[[#This Row],[Date]],Supply_Data___Hourly_DriverActivity_1_csv__3[#All],4,FALSE)</f>
        <v>8</v>
      </c>
      <c r="L744">
        <f>VLOOKUP(Demand_Data___Hourly_OverviewSearch_1_csv[[#This Row],[Date]],Supply_Data___Hourly_DriverActivity_1_csv__3[#All],5,FALSE)</f>
        <v>22</v>
      </c>
      <c r="M744">
        <f>VLOOKUP(Demand_Data___Hourly_OverviewSearch_1_csv[[#This Row],[Date]],Supply_Data___Hourly_DriverActivity_1_csv__3[#All],6,FALSE)</f>
        <v>0.5</v>
      </c>
      <c r="N744">
        <f>VLOOKUP(Demand_Data___Hourly_OverviewSearch_1_csv[[#This Row],[Date]],Supply_Data___Hourly_DriverActivity_1_csv__3[#All],7,FALSE)</f>
        <v>0.8</v>
      </c>
      <c r="O744">
        <f>VLOOKUP(Demand_Data___Hourly_OverviewSearch_1_csv[[#This Row],[Date]],Supply_Data___Hourly_DriverActivity_1_csv__3[#All],8,FALSE)</f>
        <v>24</v>
      </c>
      <c r="P744">
        <f>(Demand_Data___Hourly_OverviewSearch_1_csv[[#This Row],[People saw 0 cars (unique)]]+Demand_Data___Hourly_OverviewSearch_1_csv[[#This Row],[People saw +1 cars (unique)]])</f>
        <v>49</v>
      </c>
      <c r="Q744" s="143">
        <f t="shared" si="47"/>
        <v>22</v>
      </c>
    </row>
    <row r="745" spans="1:17" x14ac:dyDescent="0.3">
      <c r="A745" t="s">
        <v>752</v>
      </c>
      <c r="B745" t="str">
        <f t="shared" si="44"/>
        <v xml:space="preserve"> 23</v>
      </c>
      <c r="C745">
        <f t="shared" si="45"/>
        <v>4</v>
      </c>
      <c r="D745" t="str">
        <f t="shared" si="46"/>
        <v xml:space="preserve">2016-11-17 </v>
      </c>
      <c r="E745" t="str">
        <f>TEXT(Demand_Data___Hourly_OverviewSearch_1_csv[[#This Row],[Day]],"dddd")</f>
        <v>Wednesday</v>
      </c>
      <c r="F745">
        <v>11</v>
      </c>
      <c r="G745">
        <v>66</v>
      </c>
      <c r="H745">
        <v>86</v>
      </c>
      <c r="I745">
        <f>VLOOKUP(Demand_Data___Hourly_OverviewSearch_1_csv[[#This Row],[Date]],Supply_Data___Hourly_DriverActivity_1_csv__3[#All],2,FALSE)</f>
        <v>68</v>
      </c>
      <c r="J745">
        <f>VLOOKUP(Demand_Data___Hourly_OverviewSearch_1_csv[[#This Row],[Date]],Supply_Data___Hourly_DriverActivity_1_csv__3[#All],3,FALSE)</f>
        <v>30</v>
      </c>
      <c r="K745">
        <f>VLOOKUP(Demand_Data___Hourly_OverviewSearch_1_csv[[#This Row],[Date]],Supply_Data___Hourly_DriverActivity_1_csv__3[#All],4,FALSE)</f>
        <v>11</v>
      </c>
      <c r="L745">
        <f>VLOOKUP(Demand_Data___Hourly_OverviewSearch_1_csv[[#This Row],[Date]],Supply_Data___Hourly_DriverActivity_1_csv__3[#All],5,FALSE)</f>
        <v>19</v>
      </c>
      <c r="M745">
        <f>VLOOKUP(Demand_Data___Hourly_OverviewSearch_1_csv[[#This Row],[Date]],Supply_Data___Hourly_DriverActivity_1_csv__3[#All],6,FALSE)</f>
        <v>0.4</v>
      </c>
      <c r="N745">
        <f>VLOOKUP(Demand_Data___Hourly_OverviewSearch_1_csv[[#This Row],[Date]],Supply_Data___Hourly_DriverActivity_1_csv__3[#All],7,FALSE)</f>
        <v>0.83</v>
      </c>
      <c r="O745">
        <f>VLOOKUP(Demand_Data___Hourly_OverviewSearch_1_csv[[#This Row],[Date]],Supply_Data___Hourly_DriverActivity_1_csv__3[#All],8,FALSE)</f>
        <v>25</v>
      </c>
      <c r="P745">
        <f>(Demand_Data___Hourly_OverviewSearch_1_csv[[#This Row],[People saw 0 cars (unique)]]+Demand_Data___Hourly_OverviewSearch_1_csv[[#This Row],[People saw +1 cars (unique)]])</f>
        <v>77</v>
      </c>
      <c r="Q745" s="143">
        <f t="shared" si="47"/>
        <v>19</v>
      </c>
    </row>
    <row r="746" spans="1:17" x14ac:dyDescent="0.3">
      <c r="A746" t="s">
        <v>753</v>
      </c>
      <c r="B746" t="str">
        <f t="shared" si="44"/>
        <v xml:space="preserve"> 22</v>
      </c>
      <c r="C746">
        <f t="shared" si="45"/>
        <v>4</v>
      </c>
      <c r="D746" t="str">
        <f t="shared" si="46"/>
        <v xml:space="preserve">2016-11-17 </v>
      </c>
      <c r="E746" t="str">
        <f>TEXT(Demand_Data___Hourly_OverviewSearch_1_csv[[#This Row],[Day]],"dddd")</f>
        <v>Wednesday</v>
      </c>
      <c r="F746">
        <v>5</v>
      </c>
      <c r="G746">
        <v>78</v>
      </c>
      <c r="H746">
        <v>94</v>
      </c>
      <c r="I746">
        <f>VLOOKUP(Demand_Data___Hourly_OverviewSearch_1_csv[[#This Row],[Date]],Supply_Data___Hourly_DriverActivity_1_csv__3[#All],2,FALSE)</f>
        <v>77</v>
      </c>
      <c r="J746">
        <f>VLOOKUP(Demand_Data___Hourly_OverviewSearch_1_csv[[#This Row],[Date]],Supply_Data___Hourly_DriverActivity_1_csv__3[#All],3,FALSE)</f>
        <v>34</v>
      </c>
      <c r="K746">
        <f>VLOOKUP(Demand_Data___Hourly_OverviewSearch_1_csv[[#This Row],[Date]],Supply_Data___Hourly_DriverActivity_1_csv__3[#All],4,FALSE)</f>
        <v>13</v>
      </c>
      <c r="L746">
        <f>VLOOKUP(Demand_Data___Hourly_OverviewSearch_1_csv[[#This Row],[Date]],Supply_Data___Hourly_DriverActivity_1_csv__3[#All],5,FALSE)</f>
        <v>21</v>
      </c>
      <c r="M746">
        <f>VLOOKUP(Demand_Data___Hourly_OverviewSearch_1_csv[[#This Row],[Date]],Supply_Data___Hourly_DriverActivity_1_csv__3[#All],6,FALSE)</f>
        <v>0.4</v>
      </c>
      <c r="N746">
        <f>VLOOKUP(Demand_Data___Hourly_OverviewSearch_1_csv[[#This Row],[Date]],Supply_Data___Hourly_DriverActivity_1_csv__3[#All],7,FALSE)</f>
        <v>1.1200000000000001</v>
      </c>
      <c r="O746">
        <f>VLOOKUP(Demand_Data___Hourly_OverviewSearch_1_csv[[#This Row],[Date]],Supply_Data___Hourly_DriverActivity_1_csv__3[#All],8,FALSE)</f>
        <v>38</v>
      </c>
      <c r="P746">
        <f>(Demand_Data___Hourly_OverviewSearch_1_csv[[#This Row],[People saw 0 cars (unique)]]+Demand_Data___Hourly_OverviewSearch_1_csv[[#This Row],[People saw +1 cars (unique)]])</f>
        <v>83</v>
      </c>
      <c r="Q746" s="143">
        <f t="shared" si="47"/>
        <v>21</v>
      </c>
    </row>
    <row r="747" spans="1:17" x14ac:dyDescent="0.3">
      <c r="A747" t="s">
        <v>754</v>
      </c>
      <c r="B747" t="str">
        <f t="shared" si="44"/>
        <v xml:space="preserve"> 21</v>
      </c>
      <c r="C747">
        <f t="shared" si="45"/>
        <v>4</v>
      </c>
      <c r="D747" t="str">
        <f t="shared" si="46"/>
        <v xml:space="preserve">2016-11-17 </v>
      </c>
      <c r="E747" t="str">
        <f>TEXT(Demand_Data___Hourly_OverviewSearch_1_csv[[#This Row],[Day]],"dddd")</f>
        <v>Wednesday</v>
      </c>
      <c r="F747">
        <v>6</v>
      </c>
      <c r="G747">
        <v>77</v>
      </c>
      <c r="H747">
        <v>93</v>
      </c>
      <c r="I747">
        <f>VLOOKUP(Demand_Data___Hourly_OverviewSearch_1_csv[[#This Row],[Date]],Supply_Data___Hourly_DriverActivity_1_csv__3[#All],2,FALSE)</f>
        <v>95</v>
      </c>
      <c r="J747">
        <f>VLOOKUP(Demand_Data___Hourly_OverviewSearch_1_csv[[#This Row],[Date]],Supply_Data___Hourly_DriverActivity_1_csv__3[#All],3,FALSE)</f>
        <v>38</v>
      </c>
      <c r="K747">
        <f>VLOOKUP(Demand_Data___Hourly_OverviewSearch_1_csv[[#This Row],[Date]],Supply_Data___Hourly_DriverActivity_1_csv__3[#All],4,FALSE)</f>
        <v>11</v>
      </c>
      <c r="L747">
        <f>VLOOKUP(Demand_Data___Hourly_OverviewSearch_1_csv[[#This Row],[Date]],Supply_Data___Hourly_DriverActivity_1_csv__3[#All],5,FALSE)</f>
        <v>27</v>
      </c>
      <c r="M747">
        <f>VLOOKUP(Demand_Data___Hourly_OverviewSearch_1_csv[[#This Row],[Date]],Supply_Data___Hourly_DriverActivity_1_csv__3[#All],6,FALSE)</f>
        <v>0.4</v>
      </c>
      <c r="N747">
        <f>VLOOKUP(Demand_Data___Hourly_OverviewSearch_1_csv[[#This Row],[Date]],Supply_Data___Hourly_DriverActivity_1_csv__3[#All],7,FALSE)</f>
        <v>0.76</v>
      </c>
      <c r="O747">
        <f>VLOOKUP(Demand_Data___Hourly_OverviewSearch_1_csv[[#This Row],[Date]],Supply_Data___Hourly_DriverActivity_1_csv__3[#All],8,FALSE)</f>
        <v>29</v>
      </c>
      <c r="P747">
        <f>(Demand_Data___Hourly_OverviewSearch_1_csv[[#This Row],[People saw 0 cars (unique)]]+Demand_Data___Hourly_OverviewSearch_1_csv[[#This Row],[People saw +1 cars (unique)]])</f>
        <v>83</v>
      </c>
      <c r="Q747" s="143">
        <f t="shared" si="47"/>
        <v>27</v>
      </c>
    </row>
    <row r="748" spans="1:17" x14ac:dyDescent="0.3">
      <c r="A748" t="s">
        <v>755</v>
      </c>
      <c r="B748" t="str">
        <f t="shared" si="44"/>
        <v xml:space="preserve"> 20</v>
      </c>
      <c r="C748">
        <f t="shared" si="45"/>
        <v>4</v>
      </c>
      <c r="D748" t="str">
        <f t="shared" si="46"/>
        <v xml:space="preserve">2016-11-17 </v>
      </c>
      <c r="E748" t="str">
        <f>TEXT(Demand_Data___Hourly_OverviewSearch_1_csv[[#This Row],[Day]],"dddd")</f>
        <v>Wednesday</v>
      </c>
      <c r="F748">
        <v>8</v>
      </c>
      <c r="G748">
        <v>70</v>
      </c>
      <c r="H748">
        <v>90</v>
      </c>
      <c r="I748">
        <f>VLOOKUP(Demand_Data___Hourly_OverviewSearch_1_csv[[#This Row],[Date]],Supply_Data___Hourly_DriverActivity_1_csv__3[#All],2,FALSE)</f>
        <v>97</v>
      </c>
      <c r="J748">
        <f>VLOOKUP(Demand_Data___Hourly_OverviewSearch_1_csv[[#This Row],[Date]],Supply_Data___Hourly_DriverActivity_1_csv__3[#All],3,FALSE)</f>
        <v>42</v>
      </c>
      <c r="K748">
        <f>VLOOKUP(Demand_Data___Hourly_OverviewSearch_1_csv[[#This Row],[Date]],Supply_Data___Hourly_DriverActivity_1_csv__3[#All],4,FALSE)</f>
        <v>9</v>
      </c>
      <c r="L748">
        <f>VLOOKUP(Demand_Data___Hourly_OverviewSearch_1_csv[[#This Row],[Date]],Supply_Data___Hourly_DriverActivity_1_csv__3[#All],5,FALSE)</f>
        <v>33</v>
      </c>
      <c r="M748">
        <f>VLOOKUP(Demand_Data___Hourly_OverviewSearch_1_csv[[#This Row],[Date]],Supply_Data___Hourly_DriverActivity_1_csv__3[#All],6,FALSE)</f>
        <v>0.4</v>
      </c>
      <c r="N748">
        <f>VLOOKUP(Demand_Data___Hourly_OverviewSearch_1_csv[[#This Row],[Date]],Supply_Data___Hourly_DriverActivity_1_csv__3[#All],7,FALSE)</f>
        <v>0.55000000000000004</v>
      </c>
      <c r="O748">
        <f>VLOOKUP(Demand_Data___Hourly_OverviewSearch_1_csv[[#This Row],[Date]],Supply_Data___Hourly_DriverActivity_1_csv__3[#All],8,FALSE)</f>
        <v>23</v>
      </c>
      <c r="P748">
        <f>(Demand_Data___Hourly_OverviewSearch_1_csv[[#This Row],[People saw 0 cars (unique)]]+Demand_Data___Hourly_OverviewSearch_1_csv[[#This Row],[People saw +1 cars (unique)]])</f>
        <v>78</v>
      </c>
      <c r="Q748" s="143">
        <f t="shared" si="47"/>
        <v>33</v>
      </c>
    </row>
    <row r="749" spans="1:17" x14ac:dyDescent="0.3">
      <c r="A749" t="s">
        <v>756</v>
      </c>
      <c r="B749" t="str">
        <f t="shared" si="44"/>
        <v xml:space="preserve"> 19</v>
      </c>
      <c r="C749">
        <f t="shared" si="45"/>
        <v>4</v>
      </c>
      <c r="D749" t="str">
        <f t="shared" si="46"/>
        <v xml:space="preserve">2016-11-17 </v>
      </c>
      <c r="E749" t="str">
        <f>TEXT(Demand_Data___Hourly_OverviewSearch_1_csv[[#This Row],[Day]],"dddd")</f>
        <v>Wednesday</v>
      </c>
      <c r="F749">
        <v>15</v>
      </c>
      <c r="G749">
        <v>76</v>
      </c>
      <c r="H749">
        <v>84</v>
      </c>
      <c r="I749">
        <f>VLOOKUP(Demand_Data___Hourly_OverviewSearch_1_csv[[#This Row],[Date]],Supply_Data___Hourly_DriverActivity_1_csv__3[#All],2,FALSE)</f>
        <v>87</v>
      </c>
      <c r="J749">
        <f>VLOOKUP(Demand_Data___Hourly_OverviewSearch_1_csv[[#This Row],[Date]],Supply_Data___Hourly_DriverActivity_1_csv__3[#All],3,FALSE)</f>
        <v>38</v>
      </c>
      <c r="K749">
        <f>VLOOKUP(Demand_Data___Hourly_OverviewSearch_1_csv[[#This Row],[Date]],Supply_Data___Hourly_DriverActivity_1_csv__3[#All],4,FALSE)</f>
        <v>14</v>
      </c>
      <c r="L749">
        <f>VLOOKUP(Demand_Data___Hourly_OverviewSearch_1_csv[[#This Row],[Date]],Supply_Data___Hourly_DriverActivity_1_csv__3[#All],5,FALSE)</f>
        <v>24</v>
      </c>
      <c r="M749">
        <f>VLOOKUP(Demand_Data___Hourly_OverviewSearch_1_csv[[#This Row],[Date]],Supply_Data___Hourly_DriverActivity_1_csv__3[#All],6,FALSE)</f>
        <v>0.4</v>
      </c>
      <c r="N749">
        <f>VLOOKUP(Demand_Data___Hourly_OverviewSearch_1_csv[[#This Row],[Date]],Supply_Data___Hourly_DriverActivity_1_csv__3[#All],7,FALSE)</f>
        <v>0.45</v>
      </c>
      <c r="O749">
        <f>VLOOKUP(Demand_Data___Hourly_OverviewSearch_1_csv[[#This Row],[Date]],Supply_Data___Hourly_DriverActivity_1_csv__3[#All],8,FALSE)</f>
        <v>17</v>
      </c>
      <c r="P749">
        <f>(Demand_Data___Hourly_OverviewSearch_1_csv[[#This Row],[People saw 0 cars (unique)]]+Demand_Data___Hourly_OverviewSearch_1_csv[[#This Row],[People saw +1 cars (unique)]])</f>
        <v>91</v>
      </c>
      <c r="Q749" s="143">
        <f t="shared" si="47"/>
        <v>24</v>
      </c>
    </row>
    <row r="750" spans="1:17" x14ac:dyDescent="0.3">
      <c r="A750" t="s">
        <v>757</v>
      </c>
      <c r="B750" t="str">
        <f t="shared" si="44"/>
        <v xml:space="preserve"> 18</v>
      </c>
      <c r="C750">
        <f t="shared" si="45"/>
        <v>4</v>
      </c>
      <c r="D750" t="str">
        <f t="shared" si="46"/>
        <v xml:space="preserve">2016-11-17 </v>
      </c>
      <c r="E750" t="str">
        <f>TEXT(Demand_Data___Hourly_OverviewSearch_1_csv[[#This Row],[Day]],"dddd")</f>
        <v>Wednesday</v>
      </c>
      <c r="F750">
        <v>34</v>
      </c>
      <c r="G750">
        <v>93</v>
      </c>
      <c r="H750">
        <v>73</v>
      </c>
      <c r="I750">
        <f>VLOOKUP(Demand_Data___Hourly_OverviewSearch_1_csv[[#This Row],[Date]],Supply_Data___Hourly_DriverActivity_1_csv__3[#All],2,FALSE)</f>
        <v>83</v>
      </c>
      <c r="J750">
        <f>VLOOKUP(Demand_Data___Hourly_OverviewSearch_1_csv[[#This Row],[Date]],Supply_Data___Hourly_DriverActivity_1_csv__3[#All],3,FALSE)</f>
        <v>31</v>
      </c>
      <c r="K750">
        <f>VLOOKUP(Demand_Data___Hourly_OverviewSearch_1_csv[[#This Row],[Date]],Supply_Data___Hourly_DriverActivity_1_csv__3[#All],4,FALSE)</f>
        <v>18</v>
      </c>
      <c r="L750">
        <f>VLOOKUP(Demand_Data___Hourly_OverviewSearch_1_csv[[#This Row],[Date]],Supply_Data___Hourly_DriverActivity_1_csv__3[#All],5,FALSE)</f>
        <v>13</v>
      </c>
      <c r="M750">
        <f>VLOOKUP(Demand_Data___Hourly_OverviewSearch_1_csv[[#This Row],[Date]],Supply_Data___Hourly_DriverActivity_1_csv__3[#All],6,FALSE)</f>
        <v>0.4</v>
      </c>
      <c r="N750">
        <f>VLOOKUP(Demand_Data___Hourly_OverviewSearch_1_csv[[#This Row],[Date]],Supply_Data___Hourly_DriverActivity_1_csv__3[#All],7,FALSE)</f>
        <v>1</v>
      </c>
      <c r="O750">
        <f>VLOOKUP(Demand_Data___Hourly_OverviewSearch_1_csv[[#This Row],[Date]],Supply_Data___Hourly_DriverActivity_1_csv__3[#All],8,FALSE)</f>
        <v>31</v>
      </c>
      <c r="P750">
        <f>(Demand_Data___Hourly_OverviewSearch_1_csv[[#This Row],[People saw 0 cars (unique)]]+Demand_Data___Hourly_OverviewSearch_1_csv[[#This Row],[People saw +1 cars (unique)]])</f>
        <v>127</v>
      </c>
      <c r="Q750" s="143">
        <f t="shared" si="47"/>
        <v>13</v>
      </c>
    </row>
    <row r="751" spans="1:17" x14ac:dyDescent="0.3">
      <c r="A751" t="s">
        <v>758</v>
      </c>
      <c r="B751" t="str">
        <f t="shared" si="44"/>
        <v xml:space="preserve"> 17</v>
      </c>
      <c r="C751">
        <f t="shared" si="45"/>
        <v>4</v>
      </c>
      <c r="D751" t="str">
        <f t="shared" si="46"/>
        <v xml:space="preserve">2016-11-17 </v>
      </c>
      <c r="E751" t="str">
        <f>TEXT(Demand_Data___Hourly_OverviewSearch_1_csv[[#This Row],[Day]],"dddd")</f>
        <v>Wednesday</v>
      </c>
      <c r="F751">
        <v>22</v>
      </c>
      <c r="G751">
        <v>61</v>
      </c>
      <c r="H751">
        <v>73</v>
      </c>
      <c r="I751">
        <f>VLOOKUP(Demand_Data___Hourly_OverviewSearch_1_csv[[#This Row],[Date]],Supply_Data___Hourly_DriverActivity_1_csv__3[#All],2,FALSE)</f>
        <v>82</v>
      </c>
      <c r="J751">
        <f>VLOOKUP(Demand_Data___Hourly_OverviewSearch_1_csv[[#This Row],[Date]],Supply_Data___Hourly_DriverActivity_1_csv__3[#All],3,FALSE)</f>
        <v>26</v>
      </c>
      <c r="K751">
        <f>VLOOKUP(Demand_Data___Hourly_OverviewSearch_1_csv[[#This Row],[Date]],Supply_Data___Hourly_DriverActivity_1_csv__3[#All],4,FALSE)</f>
        <v>9</v>
      </c>
      <c r="L751">
        <f>VLOOKUP(Demand_Data___Hourly_OverviewSearch_1_csv[[#This Row],[Date]],Supply_Data___Hourly_DriverActivity_1_csv__3[#All],5,FALSE)</f>
        <v>17</v>
      </c>
      <c r="M751">
        <f>VLOOKUP(Demand_Data___Hourly_OverviewSearch_1_csv[[#This Row],[Date]],Supply_Data___Hourly_DriverActivity_1_csv__3[#All],6,FALSE)</f>
        <v>0.3</v>
      </c>
      <c r="N751">
        <f>VLOOKUP(Demand_Data___Hourly_OverviewSearch_1_csv[[#This Row],[Date]],Supply_Data___Hourly_DriverActivity_1_csv__3[#All],7,FALSE)</f>
        <v>0.69</v>
      </c>
      <c r="O751">
        <f>VLOOKUP(Demand_Data___Hourly_OverviewSearch_1_csv[[#This Row],[Date]],Supply_Data___Hourly_DriverActivity_1_csv__3[#All],8,FALSE)</f>
        <v>18</v>
      </c>
      <c r="P751">
        <f>(Demand_Data___Hourly_OverviewSearch_1_csv[[#This Row],[People saw 0 cars (unique)]]+Demand_Data___Hourly_OverviewSearch_1_csv[[#This Row],[People saw +1 cars (unique)]])</f>
        <v>83</v>
      </c>
      <c r="Q751" s="143">
        <f t="shared" si="47"/>
        <v>17</v>
      </c>
    </row>
    <row r="752" spans="1:17" x14ac:dyDescent="0.3">
      <c r="A752" t="s">
        <v>759</v>
      </c>
      <c r="B752" t="str">
        <f t="shared" si="44"/>
        <v xml:space="preserve"> 16</v>
      </c>
      <c r="C752">
        <f t="shared" si="45"/>
        <v>4</v>
      </c>
      <c r="D752" t="str">
        <f t="shared" si="46"/>
        <v xml:space="preserve">2016-11-17 </v>
      </c>
      <c r="E752" t="str">
        <f>TEXT(Demand_Data___Hourly_OverviewSearch_1_csv[[#This Row],[Day]],"dddd")</f>
        <v>Wednesday</v>
      </c>
      <c r="F752">
        <v>21</v>
      </c>
      <c r="G752">
        <v>41</v>
      </c>
      <c r="H752">
        <v>66</v>
      </c>
      <c r="I752">
        <f>VLOOKUP(Demand_Data___Hourly_OverviewSearch_1_csv[[#This Row],[Date]],Supply_Data___Hourly_DriverActivity_1_csv__3[#All],2,FALSE)</f>
        <v>71</v>
      </c>
      <c r="J752">
        <f>VLOOKUP(Demand_Data___Hourly_OverviewSearch_1_csv[[#This Row],[Date]],Supply_Data___Hourly_DriverActivity_1_csv__3[#All],3,FALSE)</f>
        <v>22</v>
      </c>
      <c r="K752">
        <f>VLOOKUP(Demand_Data___Hourly_OverviewSearch_1_csv[[#This Row],[Date]],Supply_Data___Hourly_DriverActivity_1_csv__3[#All],4,FALSE)</f>
        <v>6</v>
      </c>
      <c r="L752">
        <f>VLOOKUP(Demand_Data___Hourly_OverviewSearch_1_csv[[#This Row],[Date]],Supply_Data___Hourly_DriverActivity_1_csv__3[#All],5,FALSE)</f>
        <v>17</v>
      </c>
      <c r="M752">
        <f>VLOOKUP(Demand_Data___Hourly_OverviewSearch_1_csv[[#This Row],[Date]],Supply_Data___Hourly_DriverActivity_1_csv__3[#All],6,FALSE)</f>
        <v>0.3</v>
      </c>
      <c r="N752">
        <f>VLOOKUP(Demand_Data___Hourly_OverviewSearch_1_csv[[#This Row],[Date]],Supply_Data___Hourly_DriverActivity_1_csv__3[#All],7,FALSE)</f>
        <v>0.59</v>
      </c>
      <c r="O752">
        <f>VLOOKUP(Demand_Data___Hourly_OverviewSearch_1_csv[[#This Row],[Date]],Supply_Data___Hourly_DriverActivity_1_csv__3[#All],8,FALSE)</f>
        <v>13</v>
      </c>
      <c r="P752">
        <f>(Demand_Data___Hourly_OverviewSearch_1_csv[[#This Row],[People saw 0 cars (unique)]]+Demand_Data___Hourly_OverviewSearch_1_csv[[#This Row],[People saw +1 cars (unique)]])</f>
        <v>62</v>
      </c>
      <c r="Q752" s="143">
        <f t="shared" si="47"/>
        <v>16</v>
      </c>
    </row>
    <row r="753" spans="1:17" x14ac:dyDescent="0.3">
      <c r="A753" t="s">
        <v>760</v>
      </c>
      <c r="B753" t="str">
        <f t="shared" si="44"/>
        <v xml:space="preserve"> 15</v>
      </c>
      <c r="C753">
        <f t="shared" si="45"/>
        <v>4</v>
      </c>
      <c r="D753" t="str">
        <f t="shared" si="46"/>
        <v xml:space="preserve">2016-11-17 </v>
      </c>
      <c r="E753" t="str">
        <f>TEXT(Demand_Data___Hourly_OverviewSearch_1_csv[[#This Row],[Day]],"dddd")</f>
        <v>Wednesday</v>
      </c>
      <c r="F753">
        <v>17</v>
      </c>
      <c r="G753">
        <v>40</v>
      </c>
      <c r="H753">
        <v>70</v>
      </c>
      <c r="I753">
        <f>VLOOKUP(Demand_Data___Hourly_OverviewSearch_1_csv[[#This Row],[Date]],Supply_Data___Hourly_DriverActivity_1_csv__3[#All],2,FALSE)</f>
        <v>63</v>
      </c>
      <c r="J753">
        <f>VLOOKUP(Demand_Data___Hourly_OverviewSearch_1_csv[[#This Row],[Date]],Supply_Data___Hourly_DriverActivity_1_csv__3[#All],3,FALSE)</f>
        <v>19</v>
      </c>
      <c r="K753">
        <f>VLOOKUP(Demand_Data___Hourly_OverviewSearch_1_csv[[#This Row],[Date]],Supply_Data___Hourly_DriverActivity_1_csv__3[#All],4,FALSE)</f>
        <v>4</v>
      </c>
      <c r="L753">
        <f>VLOOKUP(Demand_Data___Hourly_OverviewSearch_1_csv[[#This Row],[Date]],Supply_Data___Hourly_DriverActivity_1_csv__3[#All],5,FALSE)</f>
        <v>15</v>
      </c>
      <c r="M753">
        <f>VLOOKUP(Demand_Data___Hourly_OverviewSearch_1_csv[[#This Row],[Date]],Supply_Data___Hourly_DriverActivity_1_csv__3[#All],6,FALSE)</f>
        <v>0.3</v>
      </c>
      <c r="N753">
        <f>VLOOKUP(Demand_Data___Hourly_OverviewSearch_1_csv[[#This Row],[Date]],Supply_Data___Hourly_DriverActivity_1_csv__3[#All],7,FALSE)</f>
        <v>0.37</v>
      </c>
      <c r="O753">
        <f>VLOOKUP(Demand_Data___Hourly_OverviewSearch_1_csv[[#This Row],[Date]],Supply_Data___Hourly_DriverActivity_1_csv__3[#All],8,FALSE)</f>
        <v>7</v>
      </c>
      <c r="P753">
        <f>(Demand_Data___Hourly_OverviewSearch_1_csv[[#This Row],[People saw 0 cars (unique)]]+Demand_Data___Hourly_OverviewSearch_1_csv[[#This Row],[People saw +1 cars (unique)]])</f>
        <v>57</v>
      </c>
      <c r="Q753" s="143">
        <f t="shared" si="47"/>
        <v>15</v>
      </c>
    </row>
    <row r="754" spans="1:17" x14ac:dyDescent="0.3">
      <c r="A754" t="s">
        <v>761</v>
      </c>
      <c r="B754" t="str">
        <f t="shared" si="44"/>
        <v xml:space="preserve"> 14</v>
      </c>
      <c r="C754">
        <f t="shared" si="45"/>
        <v>4</v>
      </c>
      <c r="D754" t="str">
        <f t="shared" si="46"/>
        <v xml:space="preserve">2016-11-17 </v>
      </c>
      <c r="E754" t="str">
        <f>TEXT(Demand_Data___Hourly_OverviewSearch_1_csv[[#This Row],[Day]],"dddd")</f>
        <v>Wednesday</v>
      </c>
      <c r="F754">
        <v>8</v>
      </c>
      <c r="G754">
        <v>24</v>
      </c>
      <c r="H754">
        <v>75</v>
      </c>
      <c r="I754">
        <f>VLOOKUP(Demand_Data___Hourly_OverviewSearch_1_csv[[#This Row],[Date]],Supply_Data___Hourly_DriverActivity_1_csv__3[#All],2,FALSE)</f>
        <v>60</v>
      </c>
      <c r="J754">
        <f>VLOOKUP(Demand_Data___Hourly_OverviewSearch_1_csv[[#This Row],[Date]],Supply_Data___Hourly_DriverActivity_1_csv__3[#All],3,FALSE)</f>
        <v>21</v>
      </c>
      <c r="K754">
        <f>VLOOKUP(Demand_Data___Hourly_OverviewSearch_1_csv[[#This Row],[Date]],Supply_Data___Hourly_DriverActivity_1_csv__3[#All],4,FALSE)</f>
        <v>2</v>
      </c>
      <c r="L754">
        <f>VLOOKUP(Demand_Data___Hourly_OverviewSearch_1_csv[[#This Row],[Date]],Supply_Data___Hourly_DriverActivity_1_csv__3[#All],5,FALSE)</f>
        <v>19</v>
      </c>
      <c r="M754">
        <f>VLOOKUP(Demand_Data___Hourly_OverviewSearch_1_csv[[#This Row],[Date]],Supply_Data___Hourly_DriverActivity_1_csv__3[#All],6,FALSE)</f>
        <v>0.3</v>
      </c>
      <c r="N754">
        <f>VLOOKUP(Demand_Data___Hourly_OverviewSearch_1_csv[[#This Row],[Date]],Supply_Data___Hourly_DriverActivity_1_csv__3[#All],7,FALSE)</f>
        <v>0.19</v>
      </c>
      <c r="O754">
        <f>VLOOKUP(Demand_Data___Hourly_OverviewSearch_1_csv[[#This Row],[Date]],Supply_Data___Hourly_DriverActivity_1_csv__3[#All],8,FALSE)</f>
        <v>4</v>
      </c>
      <c r="P754">
        <f>(Demand_Data___Hourly_OverviewSearch_1_csv[[#This Row],[People saw 0 cars (unique)]]+Demand_Data___Hourly_OverviewSearch_1_csv[[#This Row],[People saw +1 cars (unique)]])</f>
        <v>32</v>
      </c>
      <c r="Q754" s="143">
        <f t="shared" si="47"/>
        <v>19</v>
      </c>
    </row>
    <row r="755" spans="1:17" x14ac:dyDescent="0.3">
      <c r="A755" t="s">
        <v>762</v>
      </c>
      <c r="B755" t="str">
        <f t="shared" si="44"/>
        <v xml:space="preserve"> 13</v>
      </c>
      <c r="C755">
        <f t="shared" si="45"/>
        <v>4</v>
      </c>
      <c r="D755" t="str">
        <f t="shared" si="46"/>
        <v xml:space="preserve">2016-11-17 </v>
      </c>
      <c r="E755" t="str">
        <f>TEXT(Demand_Data___Hourly_OverviewSearch_1_csv[[#This Row],[Day]],"dddd")</f>
        <v>Wednesday</v>
      </c>
      <c r="F755">
        <v>16</v>
      </c>
      <c r="G755">
        <v>19</v>
      </c>
      <c r="H755">
        <v>54</v>
      </c>
      <c r="I755">
        <f>VLOOKUP(Demand_Data___Hourly_OverviewSearch_1_csv[[#This Row],[Date]],Supply_Data___Hourly_DriverActivity_1_csv__3[#All],2,FALSE)</f>
        <v>51</v>
      </c>
      <c r="J755">
        <f>VLOOKUP(Demand_Data___Hourly_OverviewSearch_1_csv[[#This Row],[Date]],Supply_Data___Hourly_DriverActivity_1_csv__3[#All],3,FALSE)</f>
        <v>19</v>
      </c>
      <c r="K755">
        <f>VLOOKUP(Demand_Data___Hourly_OverviewSearch_1_csv[[#This Row],[Date]],Supply_Data___Hourly_DriverActivity_1_csv__3[#All],4,FALSE)</f>
        <v>4</v>
      </c>
      <c r="L755">
        <f>VLOOKUP(Demand_Data___Hourly_OverviewSearch_1_csv[[#This Row],[Date]],Supply_Data___Hourly_DriverActivity_1_csv__3[#All],5,FALSE)</f>
        <v>15</v>
      </c>
      <c r="M755">
        <f>VLOOKUP(Demand_Data___Hourly_OverviewSearch_1_csv[[#This Row],[Date]],Supply_Data___Hourly_DriverActivity_1_csv__3[#All],6,FALSE)</f>
        <v>0.4</v>
      </c>
      <c r="N755">
        <f>VLOOKUP(Demand_Data___Hourly_OverviewSearch_1_csv[[#This Row],[Date]],Supply_Data___Hourly_DriverActivity_1_csv__3[#All],7,FALSE)</f>
        <v>0.32</v>
      </c>
      <c r="O755">
        <f>VLOOKUP(Demand_Data___Hourly_OverviewSearch_1_csv[[#This Row],[Date]],Supply_Data___Hourly_DriverActivity_1_csv__3[#All],8,FALSE)</f>
        <v>6</v>
      </c>
      <c r="P755">
        <f>(Demand_Data___Hourly_OverviewSearch_1_csv[[#This Row],[People saw 0 cars (unique)]]+Demand_Data___Hourly_OverviewSearch_1_csv[[#This Row],[People saw +1 cars (unique)]])</f>
        <v>35</v>
      </c>
      <c r="Q755" s="143">
        <f t="shared" si="47"/>
        <v>15</v>
      </c>
    </row>
    <row r="756" spans="1:17" x14ac:dyDescent="0.3">
      <c r="A756" t="s">
        <v>763</v>
      </c>
      <c r="B756" t="str">
        <f t="shared" si="44"/>
        <v xml:space="preserve"> 12</v>
      </c>
      <c r="C756">
        <f t="shared" si="45"/>
        <v>4</v>
      </c>
      <c r="D756" t="str">
        <f t="shared" si="46"/>
        <v xml:space="preserve">2016-11-17 </v>
      </c>
      <c r="E756" t="str">
        <f>TEXT(Demand_Data___Hourly_OverviewSearch_1_csv[[#This Row],[Day]],"dddd")</f>
        <v>Wednesday</v>
      </c>
      <c r="F756">
        <v>10</v>
      </c>
      <c r="G756">
        <v>29</v>
      </c>
      <c r="H756">
        <v>74</v>
      </c>
      <c r="I756">
        <f>VLOOKUP(Demand_Data___Hourly_OverviewSearch_1_csv[[#This Row],[Date]],Supply_Data___Hourly_DriverActivity_1_csv__3[#All],2,FALSE)</f>
        <v>71</v>
      </c>
      <c r="J756">
        <f>VLOOKUP(Demand_Data___Hourly_OverviewSearch_1_csv[[#This Row],[Date]],Supply_Data___Hourly_DriverActivity_1_csv__3[#All],3,FALSE)</f>
        <v>24</v>
      </c>
      <c r="K756">
        <f>VLOOKUP(Demand_Data___Hourly_OverviewSearch_1_csv[[#This Row],[Date]],Supply_Data___Hourly_DriverActivity_1_csv__3[#All],4,FALSE)</f>
        <v>4</v>
      </c>
      <c r="L756">
        <f>VLOOKUP(Demand_Data___Hourly_OverviewSearch_1_csv[[#This Row],[Date]],Supply_Data___Hourly_DriverActivity_1_csv__3[#All],5,FALSE)</f>
        <v>21</v>
      </c>
      <c r="M756">
        <f>VLOOKUP(Demand_Data___Hourly_OverviewSearch_1_csv[[#This Row],[Date]],Supply_Data___Hourly_DriverActivity_1_csv__3[#All],6,FALSE)</f>
        <v>0.3</v>
      </c>
      <c r="N756">
        <f>VLOOKUP(Demand_Data___Hourly_OverviewSearch_1_csv[[#This Row],[Date]],Supply_Data___Hourly_DriverActivity_1_csv__3[#All],7,FALSE)</f>
        <v>0.46</v>
      </c>
      <c r="O756">
        <f>VLOOKUP(Demand_Data___Hourly_OverviewSearch_1_csv[[#This Row],[Date]],Supply_Data___Hourly_DriverActivity_1_csv__3[#All],8,FALSE)</f>
        <v>11</v>
      </c>
      <c r="P756">
        <f>(Demand_Data___Hourly_OverviewSearch_1_csv[[#This Row],[People saw 0 cars (unique)]]+Demand_Data___Hourly_OverviewSearch_1_csv[[#This Row],[People saw +1 cars (unique)]])</f>
        <v>39</v>
      </c>
      <c r="Q756" s="143">
        <f t="shared" si="47"/>
        <v>20</v>
      </c>
    </row>
    <row r="757" spans="1:17" x14ac:dyDescent="0.3">
      <c r="A757" t="s">
        <v>764</v>
      </c>
      <c r="B757" t="str">
        <f t="shared" si="44"/>
        <v xml:space="preserve"> 11</v>
      </c>
      <c r="C757">
        <f t="shared" si="45"/>
        <v>4</v>
      </c>
      <c r="D757" t="str">
        <f t="shared" si="46"/>
        <v xml:space="preserve">2016-11-17 </v>
      </c>
      <c r="E757" t="str">
        <f>TEXT(Demand_Data___Hourly_OverviewSearch_1_csv[[#This Row],[Day]],"dddd")</f>
        <v>Wednesday</v>
      </c>
      <c r="F757">
        <v>8</v>
      </c>
      <c r="G757">
        <v>32</v>
      </c>
      <c r="H757">
        <v>80</v>
      </c>
      <c r="I757">
        <f>VLOOKUP(Demand_Data___Hourly_OverviewSearch_1_csv[[#This Row],[Date]],Supply_Data___Hourly_DriverActivity_1_csv__3[#All],2,FALSE)</f>
        <v>74</v>
      </c>
      <c r="J757">
        <f>VLOOKUP(Demand_Data___Hourly_OverviewSearch_1_csv[[#This Row],[Date]],Supply_Data___Hourly_DriverActivity_1_csv__3[#All],3,FALSE)</f>
        <v>26</v>
      </c>
      <c r="K757">
        <f>VLOOKUP(Demand_Data___Hourly_OverviewSearch_1_csv[[#This Row],[Date]],Supply_Data___Hourly_DriverActivity_1_csv__3[#All],4,FALSE)</f>
        <v>4</v>
      </c>
      <c r="L757">
        <f>VLOOKUP(Demand_Data___Hourly_OverviewSearch_1_csv[[#This Row],[Date]],Supply_Data___Hourly_DriverActivity_1_csv__3[#All],5,FALSE)</f>
        <v>22</v>
      </c>
      <c r="M757">
        <f>VLOOKUP(Demand_Data___Hourly_OverviewSearch_1_csv[[#This Row],[Date]],Supply_Data___Hourly_DriverActivity_1_csv__3[#All],6,FALSE)</f>
        <v>0.4</v>
      </c>
      <c r="N757">
        <f>VLOOKUP(Demand_Data___Hourly_OverviewSearch_1_csv[[#This Row],[Date]],Supply_Data___Hourly_DriverActivity_1_csv__3[#All],7,FALSE)</f>
        <v>0.23</v>
      </c>
      <c r="O757">
        <f>VLOOKUP(Demand_Data___Hourly_OverviewSearch_1_csv[[#This Row],[Date]],Supply_Data___Hourly_DriverActivity_1_csv__3[#All],8,FALSE)</f>
        <v>6</v>
      </c>
      <c r="P757">
        <f>(Demand_Data___Hourly_OverviewSearch_1_csv[[#This Row],[People saw 0 cars (unique)]]+Demand_Data___Hourly_OverviewSearch_1_csv[[#This Row],[People saw +1 cars (unique)]])</f>
        <v>40</v>
      </c>
      <c r="Q757" s="143">
        <f t="shared" si="47"/>
        <v>22</v>
      </c>
    </row>
    <row r="758" spans="1:17" x14ac:dyDescent="0.3">
      <c r="A758" t="s">
        <v>765</v>
      </c>
      <c r="B758" t="str">
        <f t="shared" si="44"/>
        <v xml:space="preserve"> 10</v>
      </c>
      <c r="C758">
        <f t="shared" si="45"/>
        <v>4</v>
      </c>
      <c r="D758" t="str">
        <f t="shared" si="46"/>
        <v xml:space="preserve">2016-11-17 </v>
      </c>
      <c r="E758" t="str">
        <f>TEXT(Demand_Data___Hourly_OverviewSearch_1_csv[[#This Row],[Day]],"dddd")</f>
        <v>Wednesday</v>
      </c>
      <c r="F758">
        <v>17</v>
      </c>
      <c r="G758">
        <v>49</v>
      </c>
      <c r="H758">
        <v>74</v>
      </c>
      <c r="I758">
        <f>VLOOKUP(Demand_Data___Hourly_OverviewSearch_1_csv[[#This Row],[Date]],Supply_Data___Hourly_DriverActivity_1_csv__3[#All],2,FALSE)</f>
        <v>78</v>
      </c>
      <c r="J758">
        <f>VLOOKUP(Demand_Data___Hourly_OverviewSearch_1_csv[[#This Row],[Date]],Supply_Data___Hourly_DriverActivity_1_csv__3[#All],3,FALSE)</f>
        <v>35</v>
      </c>
      <c r="K758">
        <f>VLOOKUP(Demand_Data___Hourly_OverviewSearch_1_csv[[#This Row],[Date]],Supply_Data___Hourly_DriverActivity_1_csv__3[#All],4,FALSE)</f>
        <v>12</v>
      </c>
      <c r="L758">
        <f>VLOOKUP(Demand_Data___Hourly_OverviewSearch_1_csv[[#This Row],[Date]],Supply_Data___Hourly_DriverActivity_1_csv__3[#All],5,FALSE)</f>
        <v>23</v>
      </c>
      <c r="M758">
        <f>VLOOKUP(Demand_Data___Hourly_OverviewSearch_1_csv[[#This Row],[Date]],Supply_Data___Hourly_DriverActivity_1_csv__3[#All],6,FALSE)</f>
        <v>0.4</v>
      </c>
      <c r="N758">
        <f>VLOOKUP(Demand_Data___Hourly_OverviewSearch_1_csv[[#This Row],[Date]],Supply_Data___Hourly_DriverActivity_1_csv__3[#All],7,FALSE)</f>
        <v>0.56999999999999995</v>
      </c>
      <c r="O758">
        <f>VLOOKUP(Demand_Data___Hourly_OverviewSearch_1_csv[[#This Row],[Date]],Supply_Data___Hourly_DriverActivity_1_csv__3[#All],8,FALSE)</f>
        <v>20</v>
      </c>
      <c r="P758">
        <f>(Demand_Data___Hourly_OverviewSearch_1_csv[[#This Row],[People saw 0 cars (unique)]]+Demand_Data___Hourly_OverviewSearch_1_csv[[#This Row],[People saw +1 cars (unique)]])</f>
        <v>66</v>
      </c>
      <c r="Q758" s="143">
        <f t="shared" si="47"/>
        <v>23</v>
      </c>
    </row>
    <row r="759" spans="1:17" x14ac:dyDescent="0.3">
      <c r="A759" t="s">
        <v>766</v>
      </c>
      <c r="B759" t="str">
        <f t="shared" si="44"/>
        <v xml:space="preserve"> 09</v>
      </c>
      <c r="C759">
        <f t="shared" si="45"/>
        <v>4</v>
      </c>
      <c r="D759" t="str">
        <f t="shared" si="46"/>
        <v xml:space="preserve">2016-11-17 </v>
      </c>
      <c r="E759" t="str">
        <f>TEXT(Demand_Data___Hourly_OverviewSearch_1_csv[[#This Row],[Day]],"dddd")</f>
        <v>Wednesday</v>
      </c>
      <c r="F759">
        <v>33</v>
      </c>
      <c r="G759">
        <v>56</v>
      </c>
      <c r="H759">
        <v>63</v>
      </c>
      <c r="I759">
        <f>VLOOKUP(Demand_Data___Hourly_OverviewSearch_1_csv[[#This Row],[Date]],Supply_Data___Hourly_DriverActivity_1_csv__3[#All],2,FALSE)</f>
        <v>74</v>
      </c>
      <c r="J759">
        <f>VLOOKUP(Demand_Data___Hourly_OverviewSearch_1_csv[[#This Row],[Date]],Supply_Data___Hourly_DriverActivity_1_csv__3[#All],3,FALSE)</f>
        <v>32</v>
      </c>
      <c r="K759">
        <f>VLOOKUP(Demand_Data___Hourly_OverviewSearch_1_csv[[#This Row],[Date]],Supply_Data___Hourly_DriverActivity_1_csv__3[#All],4,FALSE)</f>
        <v>18</v>
      </c>
      <c r="L759">
        <f>VLOOKUP(Demand_Data___Hourly_OverviewSearch_1_csv[[#This Row],[Date]],Supply_Data___Hourly_DriverActivity_1_csv__3[#All],5,FALSE)</f>
        <v>14</v>
      </c>
      <c r="M759">
        <f>VLOOKUP(Demand_Data___Hourly_OverviewSearch_1_csv[[#This Row],[Date]],Supply_Data___Hourly_DriverActivity_1_csv__3[#All],6,FALSE)</f>
        <v>0.4</v>
      </c>
      <c r="N759">
        <f>VLOOKUP(Demand_Data___Hourly_OverviewSearch_1_csv[[#This Row],[Date]],Supply_Data___Hourly_DriverActivity_1_csv__3[#All],7,FALSE)</f>
        <v>0.94</v>
      </c>
      <c r="O759">
        <f>VLOOKUP(Demand_Data___Hourly_OverviewSearch_1_csv[[#This Row],[Date]],Supply_Data___Hourly_DriverActivity_1_csv__3[#All],8,FALSE)</f>
        <v>30</v>
      </c>
      <c r="P759">
        <f>(Demand_Data___Hourly_OverviewSearch_1_csv[[#This Row],[People saw 0 cars (unique)]]+Demand_Data___Hourly_OverviewSearch_1_csv[[#This Row],[People saw +1 cars (unique)]])</f>
        <v>89</v>
      </c>
      <c r="Q759" s="143">
        <f t="shared" si="47"/>
        <v>14</v>
      </c>
    </row>
    <row r="760" spans="1:17" x14ac:dyDescent="0.3">
      <c r="A760" t="s">
        <v>767</v>
      </c>
      <c r="B760" t="str">
        <f t="shared" si="44"/>
        <v xml:space="preserve"> 08</v>
      </c>
      <c r="C760">
        <f t="shared" si="45"/>
        <v>4</v>
      </c>
      <c r="D760" t="str">
        <f t="shared" si="46"/>
        <v xml:space="preserve">2016-11-17 </v>
      </c>
      <c r="E760" t="str">
        <f>TEXT(Demand_Data___Hourly_OverviewSearch_1_csv[[#This Row],[Day]],"dddd")</f>
        <v>Wednesday</v>
      </c>
      <c r="F760">
        <v>23</v>
      </c>
      <c r="G760">
        <v>45</v>
      </c>
      <c r="H760">
        <v>66</v>
      </c>
      <c r="I760">
        <f>VLOOKUP(Demand_Data___Hourly_OverviewSearch_1_csv[[#This Row],[Date]],Supply_Data___Hourly_DriverActivity_1_csv__3[#All],2,FALSE)</f>
        <v>59</v>
      </c>
      <c r="J760">
        <f>VLOOKUP(Demand_Data___Hourly_OverviewSearch_1_csv[[#This Row],[Date]],Supply_Data___Hourly_DriverActivity_1_csv__3[#All],3,FALSE)</f>
        <v>23</v>
      </c>
      <c r="K760">
        <f>VLOOKUP(Demand_Data___Hourly_OverviewSearch_1_csv[[#This Row],[Date]],Supply_Data___Hourly_DriverActivity_1_csv__3[#All],4,FALSE)</f>
        <v>11</v>
      </c>
      <c r="L760">
        <f>VLOOKUP(Demand_Data___Hourly_OverviewSearch_1_csv[[#This Row],[Date]],Supply_Data___Hourly_DriverActivity_1_csv__3[#All],5,FALSE)</f>
        <v>13</v>
      </c>
      <c r="M760">
        <f>VLOOKUP(Demand_Data___Hourly_OverviewSearch_1_csv[[#This Row],[Date]],Supply_Data___Hourly_DriverActivity_1_csv__3[#All],6,FALSE)</f>
        <v>0.4</v>
      </c>
      <c r="N760">
        <f>VLOOKUP(Demand_Data___Hourly_OverviewSearch_1_csv[[#This Row],[Date]],Supply_Data___Hourly_DriverActivity_1_csv__3[#All],7,FALSE)</f>
        <v>0.96</v>
      </c>
      <c r="O760">
        <f>VLOOKUP(Demand_Data___Hourly_OverviewSearch_1_csv[[#This Row],[Date]],Supply_Data___Hourly_DriverActivity_1_csv__3[#All],8,FALSE)</f>
        <v>22</v>
      </c>
      <c r="P760">
        <f>(Demand_Data___Hourly_OverviewSearch_1_csv[[#This Row],[People saw 0 cars (unique)]]+Demand_Data___Hourly_OverviewSearch_1_csv[[#This Row],[People saw +1 cars (unique)]])</f>
        <v>68</v>
      </c>
      <c r="Q760" s="143">
        <f t="shared" si="47"/>
        <v>12</v>
      </c>
    </row>
    <row r="761" spans="1:17" x14ac:dyDescent="0.3">
      <c r="A761" t="s">
        <v>768</v>
      </c>
      <c r="B761" t="str">
        <f t="shared" si="44"/>
        <v xml:space="preserve"> 07</v>
      </c>
      <c r="C761">
        <f t="shared" si="45"/>
        <v>4</v>
      </c>
      <c r="D761" t="str">
        <f t="shared" si="46"/>
        <v xml:space="preserve">2016-11-17 </v>
      </c>
      <c r="E761" t="str">
        <f>TEXT(Demand_Data___Hourly_OverviewSearch_1_csv[[#This Row],[Day]],"dddd")</f>
        <v>Wednesday</v>
      </c>
      <c r="F761">
        <v>22</v>
      </c>
      <c r="G761">
        <v>16</v>
      </c>
      <c r="H761">
        <v>42</v>
      </c>
      <c r="I761">
        <f>VLOOKUP(Demand_Data___Hourly_OverviewSearch_1_csv[[#This Row],[Date]],Supply_Data___Hourly_DriverActivity_1_csv__3[#All],2,FALSE)</f>
        <v>34</v>
      </c>
      <c r="J761">
        <f>VLOOKUP(Demand_Data___Hourly_OverviewSearch_1_csv[[#This Row],[Date]],Supply_Data___Hourly_DriverActivity_1_csv__3[#All],3,FALSE)</f>
        <v>9</v>
      </c>
      <c r="K761">
        <f>VLOOKUP(Demand_Data___Hourly_OverviewSearch_1_csv[[#This Row],[Date]],Supply_Data___Hourly_DriverActivity_1_csv__3[#All],4,FALSE)</f>
        <v>4</v>
      </c>
      <c r="L761">
        <f>VLOOKUP(Demand_Data___Hourly_OverviewSearch_1_csv[[#This Row],[Date]],Supply_Data___Hourly_DriverActivity_1_csv__3[#All],5,FALSE)</f>
        <v>5</v>
      </c>
      <c r="M761">
        <f>VLOOKUP(Demand_Data___Hourly_OverviewSearch_1_csv[[#This Row],[Date]],Supply_Data___Hourly_DriverActivity_1_csv__3[#All],6,FALSE)</f>
        <v>0.3</v>
      </c>
      <c r="N761">
        <f>VLOOKUP(Demand_Data___Hourly_OverviewSearch_1_csv[[#This Row],[Date]],Supply_Data___Hourly_DriverActivity_1_csv__3[#All],7,FALSE)</f>
        <v>1.1100000000000001</v>
      </c>
      <c r="O761">
        <f>VLOOKUP(Demand_Data___Hourly_OverviewSearch_1_csv[[#This Row],[Date]],Supply_Data___Hourly_DriverActivity_1_csv__3[#All],8,FALSE)</f>
        <v>10</v>
      </c>
      <c r="P761">
        <f>(Demand_Data___Hourly_OverviewSearch_1_csv[[#This Row],[People saw 0 cars (unique)]]+Demand_Data___Hourly_OverviewSearch_1_csv[[#This Row],[People saw +1 cars (unique)]])</f>
        <v>38</v>
      </c>
      <c r="Q761" s="143">
        <f t="shared" si="47"/>
        <v>5</v>
      </c>
    </row>
    <row r="762" spans="1:17" x14ac:dyDescent="0.3">
      <c r="A762" t="s">
        <v>769</v>
      </c>
      <c r="B762" t="str">
        <f t="shared" si="44"/>
        <v xml:space="preserve"> 06</v>
      </c>
      <c r="C762">
        <f t="shared" si="45"/>
        <v>4</v>
      </c>
      <c r="D762" t="str">
        <f t="shared" si="46"/>
        <v xml:space="preserve">2016-11-17 </v>
      </c>
      <c r="E762" t="str">
        <f>TEXT(Demand_Data___Hourly_OverviewSearch_1_csv[[#This Row],[Day]],"dddd")</f>
        <v>Wednesday</v>
      </c>
      <c r="F762">
        <v>6</v>
      </c>
      <c r="G762">
        <v>3</v>
      </c>
      <c r="H762">
        <v>33</v>
      </c>
      <c r="I762">
        <f>VLOOKUP(Demand_Data___Hourly_OverviewSearch_1_csv[[#This Row],[Date]],Supply_Data___Hourly_DriverActivity_1_csv__3[#All],2,FALSE)</f>
        <v>29</v>
      </c>
      <c r="J762">
        <f>VLOOKUP(Demand_Data___Hourly_OverviewSearch_1_csv[[#This Row],[Date]],Supply_Data___Hourly_DriverActivity_1_csv__3[#All],3,FALSE)</f>
        <v>7</v>
      </c>
      <c r="K762">
        <f>VLOOKUP(Demand_Data___Hourly_OverviewSearch_1_csv[[#This Row],[Date]],Supply_Data___Hourly_DriverActivity_1_csv__3[#All],4,FALSE)</f>
        <v>0</v>
      </c>
      <c r="L762">
        <f>VLOOKUP(Demand_Data___Hourly_OverviewSearch_1_csv[[#This Row],[Date]],Supply_Data___Hourly_DriverActivity_1_csv__3[#All],5,FALSE)</f>
        <v>7</v>
      </c>
      <c r="M762">
        <f>VLOOKUP(Demand_Data___Hourly_OverviewSearch_1_csv[[#This Row],[Date]],Supply_Data___Hourly_DriverActivity_1_csv__3[#All],6,FALSE)</f>
        <v>0.2</v>
      </c>
      <c r="N762">
        <f>VLOOKUP(Demand_Data___Hourly_OverviewSearch_1_csv[[#This Row],[Date]],Supply_Data___Hourly_DriverActivity_1_csv__3[#All],7,FALSE)</f>
        <v>0.28999999999999998</v>
      </c>
      <c r="O762">
        <f>VLOOKUP(Demand_Data___Hourly_OverviewSearch_1_csv[[#This Row],[Date]],Supply_Data___Hourly_DriverActivity_1_csv__3[#All],8,FALSE)</f>
        <v>2</v>
      </c>
      <c r="P762">
        <f>(Demand_Data___Hourly_OverviewSearch_1_csv[[#This Row],[People saw 0 cars (unique)]]+Demand_Data___Hourly_OverviewSearch_1_csv[[#This Row],[People saw +1 cars (unique)]])</f>
        <v>9</v>
      </c>
      <c r="Q762" s="143">
        <f t="shared" si="47"/>
        <v>7</v>
      </c>
    </row>
    <row r="763" spans="1:17" x14ac:dyDescent="0.3">
      <c r="A763" t="s">
        <v>770</v>
      </c>
      <c r="B763" t="str">
        <f t="shared" si="44"/>
        <v xml:space="preserve"> 05</v>
      </c>
      <c r="C763">
        <f t="shared" si="45"/>
        <v>4</v>
      </c>
      <c r="D763" t="str">
        <f t="shared" si="46"/>
        <v xml:space="preserve">2016-11-17 </v>
      </c>
      <c r="E763" t="str">
        <f>TEXT(Demand_Data___Hourly_OverviewSearch_1_csv[[#This Row],[Day]],"dddd")</f>
        <v>Wednesday</v>
      </c>
      <c r="F763">
        <v>1</v>
      </c>
      <c r="G763">
        <v>3</v>
      </c>
      <c r="H763">
        <v>75</v>
      </c>
      <c r="I763">
        <f>VLOOKUP(Demand_Data___Hourly_OverviewSearch_1_csv[[#This Row],[Date]],Supply_Data___Hourly_DriverActivity_1_csv__3[#All],2,FALSE)</f>
        <v>28</v>
      </c>
      <c r="J763">
        <f>VLOOKUP(Demand_Data___Hourly_OverviewSearch_1_csv[[#This Row],[Date]],Supply_Data___Hourly_DriverActivity_1_csv__3[#All],3,FALSE)</f>
        <v>10</v>
      </c>
      <c r="K763">
        <f>VLOOKUP(Demand_Data___Hourly_OverviewSearch_1_csv[[#This Row],[Date]],Supply_Data___Hourly_DriverActivity_1_csv__3[#All],4,FALSE)</f>
        <v>1</v>
      </c>
      <c r="L763">
        <f>VLOOKUP(Demand_Data___Hourly_OverviewSearch_1_csv[[#This Row],[Date]],Supply_Data___Hourly_DriverActivity_1_csv__3[#All],5,FALSE)</f>
        <v>9</v>
      </c>
      <c r="M763">
        <f>VLOOKUP(Demand_Data___Hourly_OverviewSearch_1_csv[[#This Row],[Date]],Supply_Data___Hourly_DriverActivity_1_csv__3[#All],6,FALSE)</f>
        <v>0.4</v>
      </c>
      <c r="N763">
        <f>VLOOKUP(Demand_Data___Hourly_OverviewSearch_1_csv[[#This Row],[Date]],Supply_Data___Hourly_DriverActivity_1_csv__3[#All],7,FALSE)</f>
        <v>0</v>
      </c>
      <c r="O763">
        <f>VLOOKUP(Demand_Data___Hourly_OverviewSearch_1_csv[[#This Row],[Date]],Supply_Data___Hourly_DriverActivity_1_csv__3[#All],8,FALSE)</f>
        <v>0</v>
      </c>
      <c r="P763">
        <f>(Demand_Data___Hourly_OverviewSearch_1_csv[[#This Row],[People saw 0 cars (unique)]]+Demand_Data___Hourly_OverviewSearch_1_csv[[#This Row],[People saw +1 cars (unique)]])</f>
        <v>4</v>
      </c>
      <c r="Q763" s="143">
        <f t="shared" si="47"/>
        <v>9</v>
      </c>
    </row>
    <row r="764" spans="1:17" x14ac:dyDescent="0.3">
      <c r="A764" t="s">
        <v>771</v>
      </c>
      <c r="B764" t="str">
        <f t="shared" si="44"/>
        <v xml:space="preserve"> 04</v>
      </c>
      <c r="C764">
        <f t="shared" si="45"/>
        <v>4</v>
      </c>
      <c r="D764" t="str">
        <f t="shared" si="46"/>
        <v xml:space="preserve">2016-11-17 </v>
      </c>
      <c r="E764" t="str">
        <f>TEXT(Demand_Data___Hourly_OverviewSearch_1_csv[[#This Row],[Day]],"dddd")</f>
        <v>Wednesday</v>
      </c>
      <c r="F764">
        <v>6</v>
      </c>
      <c r="G764">
        <v>9</v>
      </c>
      <c r="H764">
        <v>60</v>
      </c>
      <c r="I764">
        <f>VLOOKUP(Demand_Data___Hourly_OverviewSearch_1_csv[[#This Row],[Date]],Supply_Data___Hourly_DriverActivity_1_csv__3[#All],2,FALSE)</f>
        <v>30</v>
      </c>
      <c r="J764">
        <f>VLOOKUP(Demand_Data___Hourly_OverviewSearch_1_csv[[#This Row],[Date]],Supply_Data___Hourly_DriverActivity_1_csv__3[#All],3,FALSE)</f>
        <v>12</v>
      </c>
      <c r="K764">
        <f>VLOOKUP(Demand_Data___Hourly_OverviewSearch_1_csv[[#This Row],[Date]],Supply_Data___Hourly_DriverActivity_1_csv__3[#All],4,FALSE)</f>
        <v>2</v>
      </c>
      <c r="L764">
        <f>VLOOKUP(Demand_Data___Hourly_OverviewSearch_1_csv[[#This Row],[Date]],Supply_Data___Hourly_DriverActivity_1_csv__3[#All],5,FALSE)</f>
        <v>11</v>
      </c>
      <c r="M764">
        <f>VLOOKUP(Demand_Data___Hourly_OverviewSearch_1_csv[[#This Row],[Date]],Supply_Data___Hourly_DriverActivity_1_csv__3[#All],6,FALSE)</f>
        <v>0.4</v>
      </c>
      <c r="N764">
        <f>VLOOKUP(Demand_Data___Hourly_OverviewSearch_1_csv[[#This Row],[Date]],Supply_Data___Hourly_DriverActivity_1_csv__3[#All],7,FALSE)</f>
        <v>0.25</v>
      </c>
      <c r="O764">
        <f>VLOOKUP(Demand_Data___Hourly_OverviewSearch_1_csv[[#This Row],[Date]],Supply_Data___Hourly_DriverActivity_1_csv__3[#All],8,FALSE)</f>
        <v>3</v>
      </c>
      <c r="P764">
        <f>(Demand_Data___Hourly_OverviewSearch_1_csv[[#This Row],[People saw 0 cars (unique)]]+Demand_Data___Hourly_OverviewSearch_1_csv[[#This Row],[People saw +1 cars (unique)]])</f>
        <v>15</v>
      </c>
      <c r="Q764" s="143">
        <f t="shared" si="47"/>
        <v>10</v>
      </c>
    </row>
    <row r="765" spans="1:17" x14ac:dyDescent="0.3">
      <c r="A765" t="s">
        <v>772</v>
      </c>
      <c r="B765" t="str">
        <f t="shared" si="44"/>
        <v xml:space="preserve"> 03</v>
      </c>
      <c r="C765">
        <f t="shared" si="45"/>
        <v>4</v>
      </c>
      <c r="D765" t="str">
        <f t="shared" si="46"/>
        <v xml:space="preserve">2016-11-17 </v>
      </c>
      <c r="E765" t="str">
        <f>TEXT(Demand_Data___Hourly_OverviewSearch_1_csv[[#This Row],[Day]],"dddd")</f>
        <v>Wednesday</v>
      </c>
      <c r="F765">
        <v>16</v>
      </c>
      <c r="G765">
        <v>19</v>
      </c>
      <c r="H765">
        <v>54</v>
      </c>
      <c r="I765">
        <f>VLOOKUP(Demand_Data___Hourly_OverviewSearch_1_csv[[#This Row],[Date]],Supply_Data___Hourly_DriverActivity_1_csv__3[#All],2,FALSE)</f>
        <v>37</v>
      </c>
      <c r="J765">
        <f>VLOOKUP(Demand_Data___Hourly_OverviewSearch_1_csv[[#This Row],[Date]],Supply_Data___Hourly_DriverActivity_1_csv__3[#All],3,FALSE)</f>
        <v>16</v>
      </c>
      <c r="K765">
        <f>VLOOKUP(Demand_Data___Hourly_OverviewSearch_1_csv[[#This Row],[Date]],Supply_Data___Hourly_DriverActivity_1_csv__3[#All],4,FALSE)</f>
        <v>4</v>
      </c>
      <c r="L765">
        <f>VLOOKUP(Demand_Data___Hourly_OverviewSearch_1_csv[[#This Row],[Date]],Supply_Data___Hourly_DriverActivity_1_csv__3[#All],5,FALSE)</f>
        <v>12</v>
      </c>
      <c r="M765">
        <f>VLOOKUP(Demand_Data___Hourly_OverviewSearch_1_csv[[#This Row],[Date]],Supply_Data___Hourly_DriverActivity_1_csv__3[#All],6,FALSE)</f>
        <v>0.4</v>
      </c>
      <c r="N765">
        <f>VLOOKUP(Demand_Data___Hourly_OverviewSearch_1_csv[[#This Row],[Date]],Supply_Data___Hourly_DriverActivity_1_csv__3[#All],7,FALSE)</f>
        <v>0.5</v>
      </c>
      <c r="O765">
        <f>VLOOKUP(Demand_Data___Hourly_OverviewSearch_1_csv[[#This Row],[Date]],Supply_Data___Hourly_DriverActivity_1_csv__3[#All],8,FALSE)</f>
        <v>8</v>
      </c>
      <c r="P765">
        <f>(Demand_Data___Hourly_OverviewSearch_1_csv[[#This Row],[People saw 0 cars (unique)]]+Demand_Data___Hourly_OverviewSearch_1_csv[[#This Row],[People saw +1 cars (unique)]])</f>
        <v>35</v>
      </c>
      <c r="Q765" s="143">
        <f t="shared" si="47"/>
        <v>12</v>
      </c>
    </row>
    <row r="766" spans="1:17" x14ac:dyDescent="0.3">
      <c r="A766" t="s">
        <v>773</v>
      </c>
      <c r="B766" t="str">
        <f t="shared" si="44"/>
        <v xml:space="preserve"> 02</v>
      </c>
      <c r="C766">
        <f t="shared" si="45"/>
        <v>4</v>
      </c>
      <c r="D766" t="str">
        <f t="shared" si="46"/>
        <v xml:space="preserve">2016-11-17 </v>
      </c>
      <c r="E766" t="str">
        <f>TEXT(Demand_Data___Hourly_OverviewSearch_1_csv[[#This Row],[Day]],"dddd")</f>
        <v>Wednesday</v>
      </c>
      <c r="F766">
        <v>4</v>
      </c>
      <c r="G766">
        <v>22</v>
      </c>
      <c r="H766">
        <v>85</v>
      </c>
      <c r="I766">
        <f>VLOOKUP(Demand_Data___Hourly_OverviewSearch_1_csv[[#This Row],[Date]],Supply_Data___Hourly_DriverActivity_1_csv__3[#All],2,FALSE)</f>
        <v>40</v>
      </c>
      <c r="J766">
        <f>VLOOKUP(Demand_Data___Hourly_OverviewSearch_1_csv[[#This Row],[Date]],Supply_Data___Hourly_DriverActivity_1_csv__3[#All],3,FALSE)</f>
        <v>21</v>
      </c>
      <c r="K766">
        <f>VLOOKUP(Demand_Data___Hourly_OverviewSearch_1_csv[[#This Row],[Date]],Supply_Data___Hourly_DriverActivity_1_csv__3[#All],4,FALSE)</f>
        <v>3</v>
      </c>
      <c r="L766">
        <f>VLOOKUP(Demand_Data___Hourly_OverviewSearch_1_csv[[#This Row],[Date]],Supply_Data___Hourly_DriverActivity_1_csv__3[#All],5,FALSE)</f>
        <v>18</v>
      </c>
      <c r="M766">
        <f>VLOOKUP(Demand_Data___Hourly_OverviewSearch_1_csv[[#This Row],[Date]],Supply_Data___Hourly_DriverActivity_1_csv__3[#All],6,FALSE)</f>
        <v>0.5</v>
      </c>
      <c r="N766">
        <f>VLOOKUP(Demand_Data___Hourly_OverviewSearch_1_csv[[#This Row],[Date]],Supply_Data___Hourly_DriverActivity_1_csv__3[#All],7,FALSE)</f>
        <v>0.24</v>
      </c>
      <c r="O766">
        <f>VLOOKUP(Demand_Data___Hourly_OverviewSearch_1_csv[[#This Row],[Date]],Supply_Data___Hourly_DriverActivity_1_csv__3[#All],8,FALSE)</f>
        <v>5</v>
      </c>
      <c r="P766">
        <f>(Demand_Data___Hourly_OverviewSearch_1_csv[[#This Row],[People saw 0 cars (unique)]]+Demand_Data___Hourly_OverviewSearch_1_csv[[#This Row],[People saw +1 cars (unique)]])</f>
        <v>26</v>
      </c>
      <c r="Q766" s="143">
        <f t="shared" si="47"/>
        <v>18</v>
      </c>
    </row>
    <row r="767" spans="1:17" x14ac:dyDescent="0.3">
      <c r="A767" t="s">
        <v>774</v>
      </c>
      <c r="B767" t="str">
        <f t="shared" si="44"/>
        <v xml:space="preserve"> 01</v>
      </c>
      <c r="C767">
        <f t="shared" si="45"/>
        <v>4</v>
      </c>
      <c r="D767" t="str">
        <f t="shared" si="46"/>
        <v xml:space="preserve">2016-11-17 </v>
      </c>
      <c r="E767" t="str">
        <f>TEXT(Demand_Data___Hourly_OverviewSearch_1_csv[[#This Row],[Day]],"dddd")</f>
        <v>Wednesday</v>
      </c>
      <c r="F767">
        <v>4</v>
      </c>
      <c r="G767">
        <v>19</v>
      </c>
      <c r="H767">
        <v>83</v>
      </c>
      <c r="I767">
        <f>VLOOKUP(Demand_Data___Hourly_OverviewSearch_1_csv[[#This Row],[Date]],Supply_Data___Hourly_DriverActivity_1_csv__3[#All],2,FALSE)</f>
        <v>55</v>
      </c>
      <c r="J767">
        <f>VLOOKUP(Demand_Data___Hourly_OverviewSearch_1_csv[[#This Row],[Date]],Supply_Data___Hourly_DriverActivity_1_csv__3[#All],3,FALSE)</f>
        <v>25</v>
      </c>
      <c r="K767">
        <f>VLOOKUP(Demand_Data___Hourly_OverviewSearch_1_csv[[#This Row],[Date]],Supply_Data___Hourly_DriverActivity_1_csv__3[#All],4,FALSE)</f>
        <v>2</v>
      </c>
      <c r="L767">
        <f>VLOOKUP(Demand_Data___Hourly_OverviewSearch_1_csv[[#This Row],[Date]],Supply_Data___Hourly_DriverActivity_1_csv__3[#All],5,FALSE)</f>
        <v>23</v>
      </c>
      <c r="M767">
        <f>VLOOKUP(Demand_Data___Hourly_OverviewSearch_1_csv[[#This Row],[Date]],Supply_Data___Hourly_DriverActivity_1_csv__3[#All],6,FALSE)</f>
        <v>0.5</v>
      </c>
      <c r="N767">
        <f>VLOOKUP(Demand_Data___Hourly_OverviewSearch_1_csv[[#This Row],[Date]],Supply_Data___Hourly_DriverActivity_1_csv__3[#All],7,FALSE)</f>
        <v>0.32</v>
      </c>
      <c r="O767">
        <f>VLOOKUP(Demand_Data___Hourly_OverviewSearch_1_csv[[#This Row],[Date]],Supply_Data___Hourly_DriverActivity_1_csv__3[#All],8,FALSE)</f>
        <v>8</v>
      </c>
      <c r="P767">
        <f>(Demand_Data___Hourly_OverviewSearch_1_csv[[#This Row],[People saw 0 cars (unique)]]+Demand_Data___Hourly_OverviewSearch_1_csv[[#This Row],[People saw +1 cars (unique)]])</f>
        <v>23</v>
      </c>
      <c r="Q767" s="143">
        <f t="shared" si="47"/>
        <v>23</v>
      </c>
    </row>
    <row r="768" spans="1:17" x14ac:dyDescent="0.3">
      <c r="A768" t="s">
        <v>775</v>
      </c>
      <c r="B768" t="str">
        <f t="shared" si="44"/>
        <v xml:space="preserve"> 00</v>
      </c>
      <c r="C768">
        <f t="shared" si="45"/>
        <v>4</v>
      </c>
      <c r="D768" t="str">
        <f t="shared" si="46"/>
        <v xml:space="preserve">2016-11-17 </v>
      </c>
      <c r="E768" t="str">
        <f>TEXT(Demand_Data___Hourly_OverviewSearch_1_csv[[#This Row],[Day]],"dddd")</f>
        <v>Wednesday</v>
      </c>
      <c r="F768">
        <v>3</v>
      </c>
      <c r="G768">
        <v>37</v>
      </c>
      <c r="H768">
        <v>93</v>
      </c>
      <c r="I768">
        <f>VLOOKUP(Demand_Data___Hourly_OverviewSearch_1_csv[[#This Row],[Date]],Supply_Data___Hourly_DriverActivity_1_csv__3[#All],2,FALSE)</f>
        <v>65</v>
      </c>
      <c r="J768">
        <f>VLOOKUP(Demand_Data___Hourly_OverviewSearch_1_csv[[#This Row],[Date]],Supply_Data___Hourly_DriverActivity_1_csv__3[#All],3,FALSE)</f>
        <v>32</v>
      </c>
      <c r="K768">
        <f>VLOOKUP(Demand_Data___Hourly_OverviewSearch_1_csv[[#This Row],[Date]],Supply_Data___Hourly_DriverActivity_1_csv__3[#All],4,FALSE)</f>
        <v>5</v>
      </c>
      <c r="L768">
        <f>VLOOKUP(Demand_Data___Hourly_OverviewSearch_1_csv[[#This Row],[Date]],Supply_Data___Hourly_DriverActivity_1_csv__3[#All],5,FALSE)</f>
        <v>27</v>
      </c>
      <c r="M768">
        <f>VLOOKUP(Demand_Data___Hourly_OverviewSearch_1_csv[[#This Row],[Date]],Supply_Data___Hourly_DriverActivity_1_csv__3[#All],6,FALSE)</f>
        <v>0.5</v>
      </c>
      <c r="N768">
        <f>VLOOKUP(Demand_Data___Hourly_OverviewSearch_1_csv[[#This Row],[Date]],Supply_Data___Hourly_DriverActivity_1_csv__3[#All],7,FALSE)</f>
        <v>0.28000000000000003</v>
      </c>
      <c r="O768">
        <f>VLOOKUP(Demand_Data___Hourly_OverviewSearch_1_csv[[#This Row],[Date]],Supply_Data___Hourly_DriverActivity_1_csv__3[#All],8,FALSE)</f>
        <v>9</v>
      </c>
      <c r="P768">
        <f>(Demand_Data___Hourly_OverviewSearch_1_csv[[#This Row],[People saw 0 cars (unique)]]+Demand_Data___Hourly_OverviewSearch_1_csv[[#This Row],[People saw +1 cars (unique)]])</f>
        <v>40</v>
      </c>
      <c r="Q768" s="143">
        <f t="shared" si="47"/>
        <v>27</v>
      </c>
    </row>
    <row r="769" spans="1:17" x14ac:dyDescent="0.3">
      <c r="A769" t="s">
        <v>776</v>
      </c>
      <c r="B769" t="str">
        <f t="shared" si="44"/>
        <v xml:space="preserve"> 23</v>
      </c>
      <c r="C769">
        <f t="shared" si="45"/>
        <v>3</v>
      </c>
      <c r="D769" t="str">
        <f t="shared" si="46"/>
        <v xml:space="preserve">2016-11-16 </v>
      </c>
      <c r="E769" t="str">
        <f>TEXT(Demand_Data___Hourly_OverviewSearch_1_csv[[#This Row],[Day]],"dddd")</f>
        <v>Tuesday</v>
      </c>
      <c r="F769">
        <v>3</v>
      </c>
      <c r="G769">
        <v>57</v>
      </c>
      <c r="H769">
        <v>95</v>
      </c>
      <c r="I769">
        <f>VLOOKUP(Demand_Data___Hourly_OverviewSearch_1_csv[[#This Row],[Date]],Supply_Data___Hourly_DriverActivity_1_csv__3[#All],2,FALSE)</f>
        <v>76</v>
      </c>
      <c r="J769">
        <f>VLOOKUP(Demand_Data___Hourly_OverviewSearch_1_csv[[#This Row],[Date]],Supply_Data___Hourly_DriverActivity_1_csv__3[#All],3,FALSE)</f>
        <v>33</v>
      </c>
      <c r="K769">
        <f>VLOOKUP(Demand_Data___Hourly_OverviewSearch_1_csv[[#This Row],[Date]],Supply_Data___Hourly_DriverActivity_1_csv__3[#All],4,FALSE)</f>
        <v>9</v>
      </c>
      <c r="L769">
        <f>VLOOKUP(Demand_Data___Hourly_OverviewSearch_1_csv[[#This Row],[Date]],Supply_Data___Hourly_DriverActivity_1_csv__3[#All],5,FALSE)</f>
        <v>24</v>
      </c>
      <c r="M769">
        <f>VLOOKUP(Demand_Data___Hourly_OverviewSearch_1_csv[[#This Row],[Date]],Supply_Data___Hourly_DriverActivity_1_csv__3[#All],6,FALSE)</f>
        <v>0.4</v>
      </c>
      <c r="N769">
        <f>VLOOKUP(Demand_Data___Hourly_OverviewSearch_1_csv[[#This Row],[Date]],Supply_Data___Hourly_DriverActivity_1_csv__3[#All],7,FALSE)</f>
        <v>0.73</v>
      </c>
      <c r="O769">
        <f>VLOOKUP(Demand_Data___Hourly_OverviewSearch_1_csv[[#This Row],[Date]],Supply_Data___Hourly_DriverActivity_1_csv__3[#All],8,FALSE)</f>
        <v>24</v>
      </c>
      <c r="P769">
        <f>(Demand_Data___Hourly_OverviewSearch_1_csv[[#This Row],[People saw 0 cars (unique)]]+Demand_Data___Hourly_OverviewSearch_1_csv[[#This Row],[People saw +1 cars (unique)]])</f>
        <v>60</v>
      </c>
      <c r="Q769" s="143">
        <f t="shared" si="47"/>
        <v>24</v>
      </c>
    </row>
    <row r="770" spans="1:17" x14ac:dyDescent="0.3">
      <c r="A770" t="s">
        <v>777</v>
      </c>
      <c r="B770" t="str">
        <f t="shared" ref="B770:B833" si="48">RIGHT(A770,3)</f>
        <v xml:space="preserve"> 22</v>
      </c>
      <c r="C770">
        <f t="shared" ref="C770:C833" si="49">WEEKDAY(DATEVALUE(LEFT(A770,FIND(" ",A770))),2)</f>
        <v>3</v>
      </c>
      <c r="D770" t="str">
        <f t="shared" ref="D770:D833" si="50">LEFT(A770,11)</f>
        <v xml:space="preserve">2016-11-16 </v>
      </c>
      <c r="E770" t="str">
        <f>TEXT(Demand_Data___Hourly_OverviewSearch_1_csv[[#This Row],[Day]],"dddd")</f>
        <v>Tuesday</v>
      </c>
      <c r="F770">
        <v>18</v>
      </c>
      <c r="G770">
        <v>65</v>
      </c>
      <c r="H770">
        <v>78</v>
      </c>
      <c r="I770">
        <f>VLOOKUP(Demand_Data___Hourly_OverviewSearch_1_csv[[#This Row],[Date]],Supply_Data___Hourly_DriverActivity_1_csv__3[#All],2,FALSE)</f>
        <v>84</v>
      </c>
      <c r="J770">
        <f>VLOOKUP(Demand_Data___Hourly_OverviewSearch_1_csv[[#This Row],[Date]],Supply_Data___Hourly_DriverActivity_1_csv__3[#All],3,FALSE)</f>
        <v>35</v>
      </c>
      <c r="K770">
        <f>VLOOKUP(Demand_Data___Hourly_OverviewSearch_1_csv[[#This Row],[Date]],Supply_Data___Hourly_DriverActivity_1_csv__3[#All],4,FALSE)</f>
        <v>11</v>
      </c>
      <c r="L770">
        <f>VLOOKUP(Demand_Data___Hourly_OverviewSearch_1_csv[[#This Row],[Date]],Supply_Data___Hourly_DriverActivity_1_csv__3[#All],5,FALSE)</f>
        <v>23</v>
      </c>
      <c r="M770">
        <f>VLOOKUP(Demand_Data___Hourly_OverviewSearch_1_csv[[#This Row],[Date]],Supply_Data___Hourly_DriverActivity_1_csv__3[#All],6,FALSE)</f>
        <v>0.4</v>
      </c>
      <c r="N770">
        <f>VLOOKUP(Demand_Data___Hourly_OverviewSearch_1_csv[[#This Row],[Date]],Supply_Data___Hourly_DriverActivity_1_csv__3[#All],7,FALSE)</f>
        <v>0.94</v>
      </c>
      <c r="O770">
        <f>VLOOKUP(Demand_Data___Hourly_OverviewSearch_1_csv[[#This Row],[Date]],Supply_Data___Hourly_DriverActivity_1_csv__3[#All],8,FALSE)</f>
        <v>33</v>
      </c>
      <c r="P770">
        <f>(Demand_Data___Hourly_OverviewSearch_1_csv[[#This Row],[People saw 0 cars (unique)]]+Demand_Data___Hourly_OverviewSearch_1_csv[[#This Row],[People saw +1 cars (unique)]])</f>
        <v>83</v>
      </c>
      <c r="Q770" s="143">
        <f t="shared" ref="Q770:Q833" si="51">(J770-K770)</f>
        <v>24</v>
      </c>
    </row>
    <row r="771" spans="1:17" x14ac:dyDescent="0.3">
      <c r="A771" t="s">
        <v>778</v>
      </c>
      <c r="B771" t="str">
        <f t="shared" si="48"/>
        <v xml:space="preserve"> 21</v>
      </c>
      <c r="C771">
        <f t="shared" si="49"/>
        <v>3</v>
      </c>
      <c r="D771" t="str">
        <f t="shared" si="50"/>
        <v xml:space="preserve">2016-11-16 </v>
      </c>
      <c r="E771" t="str">
        <f>TEXT(Demand_Data___Hourly_OverviewSearch_1_csv[[#This Row],[Day]],"dddd")</f>
        <v>Tuesday</v>
      </c>
      <c r="F771">
        <v>3</v>
      </c>
      <c r="G771">
        <v>50</v>
      </c>
      <c r="H771">
        <v>94</v>
      </c>
      <c r="I771">
        <f>VLOOKUP(Demand_Data___Hourly_OverviewSearch_1_csv[[#This Row],[Date]],Supply_Data___Hourly_DriverActivity_1_csv__3[#All],2,FALSE)</f>
        <v>104</v>
      </c>
      <c r="J771">
        <f>VLOOKUP(Demand_Data___Hourly_OverviewSearch_1_csv[[#This Row],[Date]],Supply_Data___Hourly_DriverActivity_1_csv__3[#All],3,FALSE)</f>
        <v>43</v>
      </c>
      <c r="K771">
        <f>VLOOKUP(Demand_Data___Hourly_OverviewSearch_1_csv[[#This Row],[Date]],Supply_Data___Hourly_DriverActivity_1_csv__3[#All],4,FALSE)</f>
        <v>6</v>
      </c>
      <c r="L771">
        <f>VLOOKUP(Demand_Data___Hourly_OverviewSearch_1_csv[[#This Row],[Date]],Supply_Data___Hourly_DriverActivity_1_csv__3[#All],5,FALSE)</f>
        <v>36</v>
      </c>
      <c r="M771">
        <f>VLOOKUP(Demand_Data___Hourly_OverviewSearch_1_csv[[#This Row],[Date]],Supply_Data___Hourly_DriverActivity_1_csv__3[#All],6,FALSE)</f>
        <v>0.4</v>
      </c>
      <c r="N771">
        <f>VLOOKUP(Demand_Data___Hourly_OverviewSearch_1_csv[[#This Row],[Date]],Supply_Data___Hourly_DriverActivity_1_csv__3[#All],7,FALSE)</f>
        <v>0.44</v>
      </c>
      <c r="O771">
        <f>VLOOKUP(Demand_Data___Hourly_OverviewSearch_1_csv[[#This Row],[Date]],Supply_Data___Hourly_DriverActivity_1_csv__3[#All],8,FALSE)</f>
        <v>19</v>
      </c>
      <c r="P771">
        <f>(Demand_Data___Hourly_OverviewSearch_1_csv[[#This Row],[People saw 0 cars (unique)]]+Demand_Data___Hourly_OverviewSearch_1_csv[[#This Row],[People saw +1 cars (unique)]])</f>
        <v>53</v>
      </c>
      <c r="Q771" s="143">
        <f t="shared" si="51"/>
        <v>37</v>
      </c>
    </row>
    <row r="772" spans="1:17" x14ac:dyDescent="0.3">
      <c r="A772" t="s">
        <v>779</v>
      </c>
      <c r="B772" t="str">
        <f t="shared" si="48"/>
        <v xml:space="preserve"> 20</v>
      </c>
      <c r="C772">
        <f t="shared" si="49"/>
        <v>3</v>
      </c>
      <c r="D772" t="str">
        <f t="shared" si="50"/>
        <v xml:space="preserve">2016-11-16 </v>
      </c>
      <c r="E772" t="str">
        <f>TEXT(Demand_Data___Hourly_OverviewSearch_1_csv[[#This Row],[Day]],"dddd")</f>
        <v>Tuesday</v>
      </c>
      <c r="F772">
        <v>4</v>
      </c>
      <c r="G772">
        <v>52</v>
      </c>
      <c r="H772">
        <v>93</v>
      </c>
      <c r="I772">
        <f>VLOOKUP(Demand_Data___Hourly_OverviewSearch_1_csv[[#This Row],[Date]],Supply_Data___Hourly_DriverActivity_1_csv__3[#All],2,FALSE)</f>
        <v>103</v>
      </c>
      <c r="J772">
        <f>VLOOKUP(Demand_Data___Hourly_OverviewSearch_1_csv[[#This Row],[Date]],Supply_Data___Hourly_DriverActivity_1_csv__3[#All],3,FALSE)</f>
        <v>46</v>
      </c>
      <c r="K772">
        <f>VLOOKUP(Demand_Data___Hourly_OverviewSearch_1_csv[[#This Row],[Date]],Supply_Data___Hourly_DriverActivity_1_csv__3[#All],4,FALSE)</f>
        <v>7</v>
      </c>
      <c r="L772">
        <f>VLOOKUP(Demand_Data___Hourly_OverviewSearch_1_csv[[#This Row],[Date]],Supply_Data___Hourly_DriverActivity_1_csv__3[#All],5,FALSE)</f>
        <v>39</v>
      </c>
      <c r="M772">
        <f>VLOOKUP(Demand_Data___Hourly_OverviewSearch_1_csv[[#This Row],[Date]],Supply_Data___Hourly_DriverActivity_1_csv__3[#All],6,FALSE)</f>
        <v>0.4</v>
      </c>
      <c r="N772">
        <f>VLOOKUP(Demand_Data___Hourly_OverviewSearch_1_csv[[#This Row],[Date]],Supply_Data___Hourly_DriverActivity_1_csv__3[#All],7,FALSE)</f>
        <v>0.41</v>
      </c>
      <c r="O772">
        <f>VLOOKUP(Demand_Data___Hourly_OverviewSearch_1_csv[[#This Row],[Date]],Supply_Data___Hourly_DriverActivity_1_csv__3[#All],8,FALSE)</f>
        <v>19</v>
      </c>
      <c r="P772">
        <f>(Demand_Data___Hourly_OverviewSearch_1_csv[[#This Row],[People saw 0 cars (unique)]]+Demand_Data___Hourly_OverviewSearch_1_csv[[#This Row],[People saw +1 cars (unique)]])</f>
        <v>56</v>
      </c>
      <c r="Q772" s="143">
        <f t="shared" si="51"/>
        <v>39</v>
      </c>
    </row>
    <row r="773" spans="1:17" x14ac:dyDescent="0.3">
      <c r="A773" t="s">
        <v>780</v>
      </c>
      <c r="B773" t="str">
        <f t="shared" si="48"/>
        <v xml:space="preserve"> 19</v>
      </c>
      <c r="C773">
        <f t="shared" si="49"/>
        <v>3</v>
      </c>
      <c r="D773" t="str">
        <f t="shared" si="50"/>
        <v xml:space="preserve">2016-11-16 </v>
      </c>
      <c r="E773" t="str">
        <f>TEXT(Demand_Data___Hourly_OverviewSearch_1_csv[[#This Row],[Day]],"dddd")</f>
        <v>Tuesday</v>
      </c>
      <c r="F773">
        <v>14</v>
      </c>
      <c r="G773">
        <v>86</v>
      </c>
      <c r="H773">
        <v>86</v>
      </c>
      <c r="I773">
        <f>VLOOKUP(Demand_Data___Hourly_OverviewSearch_1_csv[[#This Row],[Date]],Supply_Data___Hourly_DriverActivity_1_csv__3[#All],2,FALSE)</f>
        <v>98</v>
      </c>
      <c r="J773">
        <f>VLOOKUP(Demand_Data___Hourly_OverviewSearch_1_csv[[#This Row],[Date]],Supply_Data___Hourly_DriverActivity_1_csv__3[#All],3,FALSE)</f>
        <v>38</v>
      </c>
      <c r="K773">
        <f>VLOOKUP(Demand_Data___Hourly_OverviewSearch_1_csv[[#This Row],[Date]],Supply_Data___Hourly_DriverActivity_1_csv__3[#All],4,FALSE)</f>
        <v>17</v>
      </c>
      <c r="L773">
        <f>VLOOKUP(Demand_Data___Hourly_OverviewSearch_1_csv[[#This Row],[Date]],Supply_Data___Hourly_DriverActivity_1_csv__3[#All],5,FALSE)</f>
        <v>21</v>
      </c>
      <c r="M773">
        <f>VLOOKUP(Demand_Data___Hourly_OverviewSearch_1_csv[[#This Row],[Date]],Supply_Data___Hourly_DriverActivity_1_csv__3[#All],6,FALSE)</f>
        <v>0.4</v>
      </c>
      <c r="N773">
        <f>VLOOKUP(Demand_Data___Hourly_OverviewSearch_1_csv[[#This Row],[Date]],Supply_Data___Hourly_DriverActivity_1_csv__3[#All],7,FALSE)</f>
        <v>1.05</v>
      </c>
      <c r="O773">
        <f>VLOOKUP(Demand_Data___Hourly_OverviewSearch_1_csv[[#This Row],[Date]],Supply_Data___Hourly_DriverActivity_1_csv__3[#All],8,FALSE)</f>
        <v>40</v>
      </c>
      <c r="P773">
        <f>(Demand_Data___Hourly_OverviewSearch_1_csv[[#This Row],[People saw 0 cars (unique)]]+Demand_Data___Hourly_OverviewSearch_1_csv[[#This Row],[People saw +1 cars (unique)]])</f>
        <v>100</v>
      </c>
      <c r="Q773" s="143">
        <f t="shared" si="51"/>
        <v>21</v>
      </c>
    </row>
    <row r="774" spans="1:17" x14ac:dyDescent="0.3">
      <c r="A774" t="s">
        <v>781</v>
      </c>
      <c r="B774" t="str">
        <f t="shared" si="48"/>
        <v xml:space="preserve"> 18</v>
      </c>
      <c r="C774">
        <f t="shared" si="49"/>
        <v>3</v>
      </c>
      <c r="D774" t="str">
        <f t="shared" si="50"/>
        <v xml:space="preserve">2016-11-16 </v>
      </c>
      <c r="E774" t="str">
        <f>TEXT(Demand_Data___Hourly_OverviewSearch_1_csv[[#This Row],[Day]],"dddd")</f>
        <v>Tuesday</v>
      </c>
      <c r="F774">
        <v>16</v>
      </c>
      <c r="G774">
        <v>71</v>
      </c>
      <c r="H774">
        <v>82</v>
      </c>
      <c r="I774">
        <f>VLOOKUP(Demand_Data___Hourly_OverviewSearch_1_csv[[#This Row],[Date]],Supply_Data___Hourly_DriverActivity_1_csv__3[#All],2,FALSE)</f>
        <v>92</v>
      </c>
      <c r="J774">
        <f>VLOOKUP(Demand_Data___Hourly_OverviewSearch_1_csv[[#This Row],[Date]],Supply_Data___Hourly_DriverActivity_1_csv__3[#All],3,FALSE)</f>
        <v>31</v>
      </c>
      <c r="K774">
        <f>VLOOKUP(Demand_Data___Hourly_OverviewSearch_1_csv[[#This Row],[Date]],Supply_Data___Hourly_DriverActivity_1_csv__3[#All],4,FALSE)</f>
        <v>16</v>
      </c>
      <c r="L774">
        <f>VLOOKUP(Demand_Data___Hourly_OverviewSearch_1_csv[[#This Row],[Date]],Supply_Data___Hourly_DriverActivity_1_csv__3[#All],5,FALSE)</f>
        <v>15</v>
      </c>
      <c r="M774">
        <f>VLOOKUP(Demand_Data___Hourly_OverviewSearch_1_csv[[#This Row],[Date]],Supply_Data___Hourly_DriverActivity_1_csv__3[#All],6,FALSE)</f>
        <v>0.3</v>
      </c>
      <c r="N774">
        <f>VLOOKUP(Demand_Data___Hourly_OverviewSearch_1_csv[[#This Row],[Date]],Supply_Data___Hourly_DriverActivity_1_csv__3[#All],7,FALSE)</f>
        <v>0.94</v>
      </c>
      <c r="O774">
        <f>VLOOKUP(Demand_Data___Hourly_OverviewSearch_1_csv[[#This Row],[Date]],Supply_Data___Hourly_DriverActivity_1_csv__3[#All],8,FALSE)</f>
        <v>29</v>
      </c>
      <c r="P774">
        <f>(Demand_Data___Hourly_OverviewSearch_1_csv[[#This Row],[People saw 0 cars (unique)]]+Demand_Data___Hourly_OverviewSearch_1_csv[[#This Row],[People saw +1 cars (unique)]])</f>
        <v>87</v>
      </c>
      <c r="Q774" s="143">
        <f t="shared" si="51"/>
        <v>15</v>
      </c>
    </row>
    <row r="775" spans="1:17" x14ac:dyDescent="0.3">
      <c r="A775" t="s">
        <v>782</v>
      </c>
      <c r="B775" t="str">
        <f t="shared" si="48"/>
        <v xml:space="preserve"> 17</v>
      </c>
      <c r="C775">
        <f t="shared" si="49"/>
        <v>3</v>
      </c>
      <c r="D775" t="str">
        <f t="shared" si="50"/>
        <v xml:space="preserve">2016-11-16 </v>
      </c>
      <c r="E775" t="str">
        <f>TEXT(Demand_Data___Hourly_OverviewSearch_1_csv[[#This Row],[Day]],"dddd")</f>
        <v>Tuesday</v>
      </c>
      <c r="F775">
        <v>15</v>
      </c>
      <c r="G775">
        <v>58</v>
      </c>
      <c r="H775">
        <v>79</v>
      </c>
      <c r="I775">
        <f>VLOOKUP(Demand_Data___Hourly_OverviewSearch_1_csv[[#This Row],[Date]],Supply_Data___Hourly_DriverActivity_1_csv__3[#All],2,FALSE)</f>
        <v>85</v>
      </c>
      <c r="J775">
        <f>VLOOKUP(Demand_Data___Hourly_OverviewSearch_1_csv[[#This Row],[Date]],Supply_Data___Hourly_DriverActivity_1_csv__3[#All],3,FALSE)</f>
        <v>30</v>
      </c>
      <c r="K775">
        <f>VLOOKUP(Demand_Data___Hourly_OverviewSearch_1_csv[[#This Row],[Date]],Supply_Data___Hourly_DriverActivity_1_csv__3[#All],4,FALSE)</f>
        <v>9</v>
      </c>
      <c r="L775">
        <f>VLOOKUP(Demand_Data___Hourly_OverviewSearch_1_csv[[#This Row],[Date]],Supply_Data___Hourly_DriverActivity_1_csv__3[#All],5,FALSE)</f>
        <v>21</v>
      </c>
      <c r="M775">
        <f>VLOOKUP(Demand_Data___Hourly_OverviewSearch_1_csv[[#This Row],[Date]],Supply_Data___Hourly_DriverActivity_1_csv__3[#All],6,FALSE)</f>
        <v>0.4</v>
      </c>
      <c r="N775">
        <f>VLOOKUP(Demand_Data___Hourly_OverviewSearch_1_csv[[#This Row],[Date]],Supply_Data___Hourly_DriverActivity_1_csv__3[#All],7,FALSE)</f>
        <v>0.67</v>
      </c>
      <c r="O775">
        <f>VLOOKUP(Demand_Data___Hourly_OverviewSearch_1_csv[[#This Row],[Date]],Supply_Data___Hourly_DriverActivity_1_csv__3[#All],8,FALSE)</f>
        <v>20</v>
      </c>
      <c r="P775">
        <f>(Demand_Data___Hourly_OverviewSearch_1_csv[[#This Row],[People saw 0 cars (unique)]]+Demand_Data___Hourly_OverviewSearch_1_csv[[#This Row],[People saw +1 cars (unique)]])</f>
        <v>73</v>
      </c>
      <c r="Q775" s="143">
        <f t="shared" si="51"/>
        <v>21</v>
      </c>
    </row>
    <row r="776" spans="1:17" x14ac:dyDescent="0.3">
      <c r="A776" t="s">
        <v>783</v>
      </c>
      <c r="B776" t="str">
        <f t="shared" si="48"/>
        <v xml:space="preserve"> 16</v>
      </c>
      <c r="C776">
        <f t="shared" si="49"/>
        <v>3</v>
      </c>
      <c r="D776" t="str">
        <f t="shared" si="50"/>
        <v xml:space="preserve">2016-11-16 </v>
      </c>
      <c r="E776" t="str">
        <f>TEXT(Demand_Data___Hourly_OverviewSearch_1_csv[[#This Row],[Day]],"dddd")</f>
        <v>Tuesday</v>
      </c>
      <c r="F776">
        <v>6</v>
      </c>
      <c r="G776">
        <v>23</v>
      </c>
      <c r="H776">
        <v>79</v>
      </c>
      <c r="I776">
        <f>VLOOKUP(Demand_Data___Hourly_OverviewSearch_1_csv[[#This Row],[Date]],Supply_Data___Hourly_DriverActivity_1_csv__3[#All],2,FALSE)</f>
        <v>94</v>
      </c>
      <c r="J776">
        <f>VLOOKUP(Demand_Data___Hourly_OverviewSearch_1_csv[[#This Row],[Date]],Supply_Data___Hourly_DriverActivity_1_csv__3[#All],3,FALSE)</f>
        <v>25</v>
      </c>
      <c r="K776">
        <f>VLOOKUP(Demand_Data___Hourly_OverviewSearch_1_csv[[#This Row],[Date]],Supply_Data___Hourly_DriverActivity_1_csv__3[#All],4,FALSE)</f>
        <v>2</v>
      </c>
      <c r="L776">
        <f>VLOOKUP(Demand_Data___Hourly_OverviewSearch_1_csv[[#This Row],[Date]],Supply_Data___Hourly_DriverActivity_1_csv__3[#All],5,FALSE)</f>
        <v>23</v>
      </c>
      <c r="M776">
        <f>VLOOKUP(Demand_Data___Hourly_OverviewSearch_1_csv[[#This Row],[Date]],Supply_Data___Hourly_DriverActivity_1_csv__3[#All],6,FALSE)</f>
        <v>0.3</v>
      </c>
      <c r="N776">
        <f>VLOOKUP(Demand_Data___Hourly_OverviewSearch_1_csv[[#This Row],[Date]],Supply_Data___Hourly_DriverActivity_1_csv__3[#All],7,FALSE)</f>
        <v>0.2</v>
      </c>
      <c r="O776">
        <f>VLOOKUP(Demand_Data___Hourly_OverviewSearch_1_csv[[#This Row],[Date]],Supply_Data___Hourly_DriverActivity_1_csv__3[#All],8,FALSE)</f>
        <v>5</v>
      </c>
      <c r="P776">
        <f>(Demand_Data___Hourly_OverviewSearch_1_csv[[#This Row],[People saw 0 cars (unique)]]+Demand_Data___Hourly_OverviewSearch_1_csv[[#This Row],[People saw +1 cars (unique)]])</f>
        <v>29</v>
      </c>
      <c r="Q776" s="143">
        <f t="shared" si="51"/>
        <v>23</v>
      </c>
    </row>
    <row r="777" spans="1:17" x14ac:dyDescent="0.3">
      <c r="A777" t="s">
        <v>784</v>
      </c>
      <c r="B777" t="str">
        <f t="shared" si="48"/>
        <v xml:space="preserve"> 15</v>
      </c>
      <c r="C777">
        <f t="shared" si="49"/>
        <v>3</v>
      </c>
      <c r="D777" t="str">
        <f t="shared" si="50"/>
        <v xml:space="preserve">2016-11-16 </v>
      </c>
      <c r="E777" t="str">
        <f>TEXT(Demand_Data___Hourly_OverviewSearch_1_csv[[#This Row],[Day]],"dddd")</f>
        <v>Tuesday</v>
      </c>
      <c r="F777">
        <v>3</v>
      </c>
      <c r="G777">
        <v>24</v>
      </c>
      <c r="H777">
        <v>89</v>
      </c>
      <c r="I777">
        <f>VLOOKUP(Demand_Data___Hourly_OverviewSearch_1_csv[[#This Row],[Date]],Supply_Data___Hourly_DriverActivity_1_csv__3[#All],2,FALSE)</f>
        <v>85</v>
      </c>
      <c r="J777">
        <f>VLOOKUP(Demand_Data___Hourly_OverviewSearch_1_csv[[#This Row],[Date]],Supply_Data___Hourly_DriverActivity_1_csv__3[#All],3,FALSE)</f>
        <v>29</v>
      </c>
      <c r="K777">
        <f>VLOOKUP(Demand_Data___Hourly_OverviewSearch_1_csv[[#This Row],[Date]],Supply_Data___Hourly_DriverActivity_1_csv__3[#All],4,FALSE)</f>
        <v>3</v>
      </c>
      <c r="L777">
        <f>VLOOKUP(Demand_Data___Hourly_OverviewSearch_1_csv[[#This Row],[Date]],Supply_Data___Hourly_DriverActivity_1_csv__3[#All],5,FALSE)</f>
        <v>26</v>
      </c>
      <c r="M777">
        <f>VLOOKUP(Demand_Data___Hourly_OverviewSearch_1_csv[[#This Row],[Date]],Supply_Data___Hourly_DriverActivity_1_csv__3[#All],6,FALSE)</f>
        <v>0.3</v>
      </c>
      <c r="N777">
        <f>VLOOKUP(Demand_Data___Hourly_OverviewSearch_1_csv[[#This Row],[Date]],Supply_Data___Hourly_DriverActivity_1_csv__3[#All],7,FALSE)</f>
        <v>0.21</v>
      </c>
      <c r="O777">
        <f>VLOOKUP(Demand_Data___Hourly_OverviewSearch_1_csv[[#This Row],[Date]],Supply_Data___Hourly_DriverActivity_1_csv__3[#All],8,FALSE)</f>
        <v>6</v>
      </c>
      <c r="P777">
        <f>(Demand_Data___Hourly_OverviewSearch_1_csv[[#This Row],[People saw 0 cars (unique)]]+Demand_Data___Hourly_OverviewSearch_1_csv[[#This Row],[People saw +1 cars (unique)]])</f>
        <v>27</v>
      </c>
      <c r="Q777" s="143">
        <f t="shared" si="51"/>
        <v>26</v>
      </c>
    </row>
    <row r="778" spans="1:17" x14ac:dyDescent="0.3">
      <c r="A778" t="s">
        <v>785</v>
      </c>
      <c r="B778" t="str">
        <f t="shared" si="48"/>
        <v xml:space="preserve"> 14</v>
      </c>
      <c r="C778">
        <f t="shared" si="49"/>
        <v>3</v>
      </c>
      <c r="D778" t="str">
        <f t="shared" si="50"/>
        <v xml:space="preserve">2016-11-16 </v>
      </c>
      <c r="E778" t="str">
        <f>TEXT(Demand_Data___Hourly_OverviewSearch_1_csv[[#This Row],[Day]],"dddd")</f>
        <v>Tuesday</v>
      </c>
      <c r="F778">
        <v>4</v>
      </c>
      <c r="G778">
        <v>26</v>
      </c>
      <c r="H778">
        <v>87</v>
      </c>
      <c r="I778">
        <f>VLOOKUP(Demand_Data___Hourly_OverviewSearch_1_csv[[#This Row],[Date]],Supply_Data___Hourly_DriverActivity_1_csv__3[#All],2,FALSE)</f>
        <v>76</v>
      </c>
      <c r="J778">
        <f>VLOOKUP(Demand_Data___Hourly_OverviewSearch_1_csv[[#This Row],[Date]],Supply_Data___Hourly_DriverActivity_1_csv__3[#All],3,FALSE)</f>
        <v>29</v>
      </c>
      <c r="K778">
        <f>VLOOKUP(Demand_Data___Hourly_OverviewSearch_1_csv[[#This Row],[Date]],Supply_Data___Hourly_DriverActivity_1_csv__3[#All],4,FALSE)</f>
        <v>3</v>
      </c>
      <c r="L778">
        <f>VLOOKUP(Demand_Data___Hourly_OverviewSearch_1_csv[[#This Row],[Date]],Supply_Data___Hourly_DriverActivity_1_csv__3[#All],5,FALSE)</f>
        <v>26</v>
      </c>
      <c r="M778">
        <f>VLOOKUP(Demand_Data___Hourly_OverviewSearch_1_csv[[#This Row],[Date]],Supply_Data___Hourly_DriverActivity_1_csv__3[#All],6,FALSE)</f>
        <v>0.4</v>
      </c>
      <c r="N778">
        <f>VLOOKUP(Demand_Data___Hourly_OverviewSearch_1_csv[[#This Row],[Date]],Supply_Data___Hourly_DriverActivity_1_csv__3[#All],7,FALSE)</f>
        <v>0.1</v>
      </c>
      <c r="O778">
        <f>VLOOKUP(Demand_Data___Hourly_OverviewSearch_1_csv[[#This Row],[Date]],Supply_Data___Hourly_DriverActivity_1_csv__3[#All],8,FALSE)</f>
        <v>3</v>
      </c>
      <c r="P778">
        <f>(Demand_Data___Hourly_OverviewSearch_1_csv[[#This Row],[People saw 0 cars (unique)]]+Demand_Data___Hourly_OverviewSearch_1_csv[[#This Row],[People saw +1 cars (unique)]])</f>
        <v>30</v>
      </c>
      <c r="Q778" s="143">
        <f t="shared" si="51"/>
        <v>26</v>
      </c>
    </row>
    <row r="779" spans="1:17" x14ac:dyDescent="0.3">
      <c r="A779" t="s">
        <v>786</v>
      </c>
      <c r="B779" t="str">
        <f t="shared" si="48"/>
        <v xml:space="preserve"> 13</v>
      </c>
      <c r="C779">
        <f t="shared" si="49"/>
        <v>3</v>
      </c>
      <c r="D779" t="str">
        <f t="shared" si="50"/>
        <v xml:space="preserve">2016-11-16 </v>
      </c>
      <c r="E779" t="str">
        <f>TEXT(Demand_Data___Hourly_OverviewSearch_1_csv[[#This Row],[Day]],"dddd")</f>
        <v>Tuesday</v>
      </c>
      <c r="F779">
        <v>6</v>
      </c>
      <c r="G779">
        <v>31</v>
      </c>
      <c r="H779">
        <v>84</v>
      </c>
      <c r="I779">
        <f>VLOOKUP(Demand_Data___Hourly_OverviewSearch_1_csv[[#This Row],[Date]],Supply_Data___Hourly_DriverActivity_1_csv__3[#All],2,FALSE)</f>
        <v>66</v>
      </c>
      <c r="J779">
        <f>VLOOKUP(Demand_Data___Hourly_OverviewSearch_1_csv[[#This Row],[Date]],Supply_Data___Hourly_DriverActivity_1_csv__3[#All],3,FALSE)</f>
        <v>25</v>
      </c>
      <c r="K779">
        <f>VLOOKUP(Demand_Data___Hourly_OverviewSearch_1_csv[[#This Row],[Date]],Supply_Data___Hourly_DriverActivity_1_csv__3[#All],4,FALSE)</f>
        <v>4</v>
      </c>
      <c r="L779">
        <f>VLOOKUP(Demand_Data___Hourly_OverviewSearch_1_csv[[#This Row],[Date]],Supply_Data___Hourly_DriverActivity_1_csv__3[#All],5,FALSE)</f>
        <v>20</v>
      </c>
      <c r="M779">
        <f>VLOOKUP(Demand_Data___Hourly_OverviewSearch_1_csv[[#This Row],[Date]],Supply_Data___Hourly_DriverActivity_1_csv__3[#All],6,FALSE)</f>
        <v>0.4</v>
      </c>
      <c r="N779">
        <f>VLOOKUP(Demand_Data___Hourly_OverviewSearch_1_csv[[#This Row],[Date]],Supply_Data___Hourly_DriverActivity_1_csv__3[#All],7,FALSE)</f>
        <v>0.36</v>
      </c>
      <c r="O779">
        <f>VLOOKUP(Demand_Data___Hourly_OverviewSearch_1_csv[[#This Row],[Date]],Supply_Data___Hourly_DriverActivity_1_csv__3[#All],8,FALSE)</f>
        <v>9</v>
      </c>
      <c r="P779">
        <f>(Demand_Data___Hourly_OverviewSearch_1_csv[[#This Row],[People saw 0 cars (unique)]]+Demand_Data___Hourly_OverviewSearch_1_csv[[#This Row],[People saw +1 cars (unique)]])</f>
        <v>37</v>
      </c>
      <c r="Q779" s="143">
        <f t="shared" si="51"/>
        <v>21</v>
      </c>
    </row>
    <row r="780" spans="1:17" x14ac:dyDescent="0.3">
      <c r="A780" t="s">
        <v>787</v>
      </c>
      <c r="B780" t="str">
        <f t="shared" si="48"/>
        <v xml:space="preserve"> 12</v>
      </c>
      <c r="C780">
        <f t="shared" si="49"/>
        <v>3</v>
      </c>
      <c r="D780" t="str">
        <f t="shared" si="50"/>
        <v xml:space="preserve">2016-11-16 </v>
      </c>
      <c r="E780" t="str">
        <f>TEXT(Demand_Data___Hourly_OverviewSearch_1_csv[[#This Row],[Day]],"dddd")</f>
        <v>Tuesday</v>
      </c>
      <c r="F780">
        <v>5</v>
      </c>
      <c r="G780">
        <v>31</v>
      </c>
      <c r="H780">
        <v>86</v>
      </c>
      <c r="I780">
        <f>VLOOKUP(Demand_Data___Hourly_OverviewSearch_1_csv[[#This Row],[Date]],Supply_Data___Hourly_DriverActivity_1_csv__3[#All],2,FALSE)</f>
        <v>70</v>
      </c>
      <c r="J780">
        <f>VLOOKUP(Demand_Data___Hourly_OverviewSearch_1_csv[[#This Row],[Date]],Supply_Data___Hourly_DriverActivity_1_csv__3[#All],3,FALSE)</f>
        <v>26</v>
      </c>
      <c r="K780">
        <f>VLOOKUP(Demand_Data___Hourly_OverviewSearch_1_csv[[#This Row],[Date]],Supply_Data___Hourly_DriverActivity_1_csv__3[#All],4,FALSE)</f>
        <v>6</v>
      </c>
      <c r="L780">
        <f>VLOOKUP(Demand_Data___Hourly_OverviewSearch_1_csv[[#This Row],[Date]],Supply_Data___Hourly_DriverActivity_1_csv__3[#All],5,FALSE)</f>
        <v>20</v>
      </c>
      <c r="M780">
        <f>VLOOKUP(Demand_Data___Hourly_OverviewSearch_1_csv[[#This Row],[Date]],Supply_Data___Hourly_DriverActivity_1_csv__3[#All],6,FALSE)</f>
        <v>0.4</v>
      </c>
      <c r="N780">
        <f>VLOOKUP(Demand_Data___Hourly_OverviewSearch_1_csv[[#This Row],[Date]],Supply_Data___Hourly_DriverActivity_1_csv__3[#All],7,FALSE)</f>
        <v>0.38</v>
      </c>
      <c r="O780">
        <f>VLOOKUP(Demand_Data___Hourly_OverviewSearch_1_csv[[#This Row],[Date]],Supply_Data___Hourly_DriverActivity_1_csv__3[#All],8,FALSE)</f>
        <v>10</v>
      </c>
      <c r="P780">
        <f>(Demand_Data___Hourly_OverviewSearch_1_csv[[#This Row],[People saw 0 cars (unique)]]+Demand_Data___Hourly_OverviewSearch_1_csv[[#This Row],[People saw +1 cars (unique)]])</f>
        <v>36</v>
      </c>
      <c r="Q780" s="143">
        <f t="shared" si="51"/>
        <v>20</v>
      </c>
    </row>
    <row r="781" spans="1:17" x14ac:dyDescent="0.3">
      <c r="A781" t="s">
        <v>788</v>
      </c>
      <c r="B781" t="str">
        <f t="shared" si="48"/>
        <v xml:space="preserve"> 11</v>
      </c>
      <c r="C781">
        <f t="shared" si="49"/>
        <v>3</v>
      </c>
      <c r="D781" t="str">
        <f t="shared" si="50"/>
        <v xml:space="preserve">2016-11-16 </v>
      </c>
      <c r="E781" t="str">
        <f>TEXT(Demand_Data___Hourly_OverviewSearch_1_csv[[#This Row],[Day]],"dddd")</f>
        <v>Tuesday</v>
      </c>
      <c r="F781">
        <v>5</v>
      </c>
      <c r="G781">
        <v>30</v>
      </c>
      <c r="H781">
        <v>86</v>
      </c>
      <c r="I781">
        <f>VLOOKUP(Demand_Data___Hourly_OverviewSearch_1_csv[[#This Row],[Date]],Supply_Data___Hourly_DriverActivity_1_csv__3[#All],2,FALSE)</f>
        <v>68</v>
      </c>
      <c r="J781">
        <f>VLOOKUP(Demand_Data___Hourly_OverviewSearch_1_csv[[#This Row],[Date]],Supply_Data___Hourly_DriverActivity_1_csv__3[#All],3,FALSE)</f>
        <v>25</v>
      </c>
      <c r="K781">
        <f>VLOOKUP(Demand_Data___Hourly_OverviewSearch_1_csv[[#This Row],[Date]],Supply_Data___Hourly_DriverActivity_1_csv__3[#All],4,FALSE)</f>
        <v>4</v>
      </c>
      <c r="L781">
        <f>VLOOKUP(Demand_Data___Hourly_OverviewSearch_1_csv[[#This Row],[Date]],Supply_Data___Hourly_DriverActivity_1_csv__3[#All],5,FALSE)</f>
        <v>20</v>
      </c>
      <c r="M781">
        <f>VLOOKUP(Demand_Data___Hourly_OverviewSearch_1_csv[[#This Row],[Date]],Supply_Data___Hourly_DriverActivity_1_csv__3[#All],6,FALSE)</f>
        <v>0.4</v>
      </c>
      <c r="N781">
        <f>VLOOKUP(Demand_Data___Hourly_OverviewSearch_1_csv[[#This Row],[Date]],Supply_Data___Hourly_DriverActivity_1_csv__3[#All],7,FALSE)</f>
        <v>0.32</v>
      </c>
      <c r="O781">
        <f>VLOOKUP(Demand_Data___Hourly_OverviewSearch_1_csv[[#This Row],[Date]],Supply_Data___Hourly_DriverActivity_1_csv__3[#All],8,FALSE)</f>
        <v>8</v>
      </c>
      <c r="P781">
        <f>(Demand_Data___Hourly_OverviewSearch_1_csv[[#This Row],[People saw 0 cars (unique)]]+Demand_Data___Hourly_OverviewSearch_1_csv[[#This Row],[People saw +1 cars (unique)]])</f>
        <v>35</v>
      </c>
      <c r="Q781" s="143">
        <f t="shared" si="51"/>
        <v>21</v>
      </c>
    </row>
    <row r="782" spans="1:17" x14ac:dyDescent="0.3">
      <c r="A782" t="s">
        <v>789</v>
      </c>
      <c r="B782" t="str">
        <f t="shared" si="48"/>
        <v xml:space="preserve"> 10</v>
      </c>
      <c r="C782">
        <f t="shared" si="49"/>
        <v>3</v>
      </c>
      <c r="D782" t="str">
        <f t="shared" si="50"/>
        <v xml:space="preserve">2016-11-16 </v>
      </c>
      <c r="E782" t="str">
        <f>TEXT(Demand_Data___Hourly_OverviewSearch_1_csv[[#This Row],[Day]],"dddd")</f>
        <v>Tuesday</v>
      </c>
      <c r="F782">
        <v>5</v>
      </c>
      <c r="G782">
        <v>49</v>
      </c>
      <c r="H782">
        <v>91</v>
      </c>
      <c r="I782">
        <f>VLOOKUP(Demand_Data___Hourly_OverviewSearch_1_csv[[#This Row],[Date]],Supply_Data___Hourly_DriverActivity_1_csv__3[#All],2,FALSE)</f>
        <v>84</v>
      </c>
      <c r="J782">
        <f>VLOOKUP(Demand_Data___Hourly_OverviewSearch_1_csv[[#This Row],[Date]],Supply_Data___Hourly_DriverActivity_1_csv__3[#All],3,FALSE)</f>
        <v>34</v>
      </c>
      <c r="K782">
        <f>VLOOKUP(Demand_Data___Hourly_OverviewSearch_1_csv[[#This Row],[Date]],Supply_Data___Hourly_DriverActivity_1_csv__3[#All],4,FALSE)</f>
        <v>8</v>
      </c>
      <c r="L782">
        <f>VLOOKUP(Demand_Data___Hourly_OverviewSearch_1_csv[[#This Row],[Date]],Supply_Data___Hourly_DriverActivity_1_csv__3[#All],5,FALSE)</f>
        <v>26</v>
      </c>
      <c r="M782">
        <f>VLOOKUP(Demand_Data___Hourly_OverviewSearch_1_csv[[#This Row],[Date]],Supply_Data___Hourly_DriverActivity_1_csv__3[#All],6,FALSE)</f>
        <v>0.4</v>
      </c>
      <c r="N782">
        <f>VLOOKUP(Demand_Data___Hourly_OverviewSearch_1_csv[[#This Row],[Date]],Supply_Data___Hourly_DriverActivity_1_csv__3[#All],7,FALSE)</f>
        <v>0.5</v>
      </c>
      <c r="O782">
        <f>VLOOKUP(Demand_Data___Hourly_OverviewSearch_1_csv[[#This Row],[Date]],Supply_Data___Hourly_DriverActivity_1_csv__3[#All],8,FALSE)</f>
        <v>17</v>
      </c>
      <c r="P782">
        <f>(Demand_Data___Hourly_OverviewSearch_1_csv[[#This Row],[People saw 0 cars (unique)]]+Demand_Data___Hourly_OverviewSearch_1_csv[[#This Row],[People saw +1 cars (unique)]])</f>
        <v>54</v>
      </c>
      <c r="Q782" s="143">
        <f t="shared" si="51"/>
        <v>26</v>
      </c>
    </row>
    <row r="783" spans="1:17" x14ac:dyDescent="0.3">
      <c r="A783" t="s">
        <v>790</v>
      </c>
      <c r="B783" t="str">
        <f t="shared" si="48"/>
        <v xml:space="preserve"> 09</v>
      </c>
      <c r="C783">
        <f t="shared" si="49"/>
        <v>3</v>
      </c>
      <c r="D783" t="str">
        <f t="shared" si="50"/>
        <v xml:space="preserve">2016-11-16 </v>
      </c>
      <c r="E783" t="str">
        <f>TEXT(Demand_Data___Hourly_OverviewSearch_1_csv[[#This Row],[Day]],"dddd")</f>
        <v>Tuesday</v>
      </c>
      <c r="F783">
        <v>24</v>
      </c>
      <c r="G783">
        <v>67</v>
      </c>
      <c r="H783">
        <v>74</v>
      </c>
      <c r="I783">
        <f>VLOOKUP(Demand_Data___Hourly_OverviewSearch_1_csv[[#This Row],[Date]],Supply_Data___Hourly_DriverActivity_1_csv__3[#All],2,FALSE)</f>
        <v>71</v>
      </c>
      <c r="J783">
        <f>VLOOKUP(Demand_Data___Hourly_OverviewSearch_1_csv[[#This Row],[Date]],Supply_Data___Hourly_DriverActivity_1_csv__3[#All],3,FALSE)</f>
        <v>30</v>
      </c>
      <c r="K783">
        <f>VLOOKUP(Demand_Data___Hourly_OverviewSearch_1_csv[[#This Row],[Date]],Supply_Data___Hourly_DriverActivity_1_csv__3[#All],4,FALSE)</f>
        <v>16</v>
      </c>
      <c r="L783">
        <f>VLOOKUP(Demand_Data___Hourly_OverviewSearch_1_csv[[#This Row],[Date]],Supply_Data___Hourly_DriverActivity_1_csv__3[#All],5,FALSE)</f>
        <v>14</v>
      </c>
      <c r="M783">
        <f>VLOOKUP(Demand_Data___Hourly_OverviewSearch_1_csv[[#This Row],[Date]],Supply_Data___Hourly_DriverActivity_1_csv__3[#All],6,FALSE)</f>
        <v>0.4</v>
      </c>
      <c r="N783">
        <f>VLOOKUP(Demand_Data___Hourly_OverviewSearch_1_csv[[#This Row],[Date]],Supply_Data___Hourly_DriverActivity_1_csv__3[#All],7,FALSE)</f>
        <v>1.07</v>
      </c>
      <c r="O783">
        <f>VLOOKUP(Demand_Data___Hourly_OverviewSearch_1_csv[[#This Row],[Date]],Supply_Data___Hourly_DriverActivity_1_csv__3[#All],8,FALSE)</f>
        <v>32</v>
      </c>
      <c r="P783">
        <f>(Demand_Data___Hourly_OverviewSearch_1_csv[[#This Row],[People saw 0 cars (unique)]]+Demand_Data___Hourly_OverviewSearch_1_csv[[#This Row],[People saw +1 cars (unique)]])</f>
        <v>91</v>
      </c>
      <c r="Q783" s="143">
        <f t="shared" si="51"/>
        <v>14</v>
      </c>
    </row>
    <row r="784" spans="1:17" x14ac:dyDescent="0.3">
      <c r="A784" t="s">
        <v>791</v>
      </c>
      <c r="B784" t="str">
        <f t="shared" si="48"/>
        <v xml:space="preserve"> 08</v>
      </c>
      <c r="C784">
        <f t="shared" si="49"/>
        <v>3</v>
      </c>
      <c r="D784" t="str">
        <f t="shared" si="50"/>
        <v xml:space="preserve">2016-11-16 </v>
      </c>
      <c r="E784" t="str">
        <f>TEXT(Demand_Data___Hourly_OverviewSearch_1_csv[[#This Row],[Day]],"dddd")</f>
        <v>Tuesday</v>
      </c>
      <c r="F784">
        <v>33</v>
      </c>
      <c r="G784">
        <v>53</v>
      </c>
      <c r="H784">
        <v>62</v>
      </c>
      <c r="I784">
        <f>VLOOKUP(Demand_Data___Hourly_OverviewSearch_1_csv[[#This Row],[Date]],Supply_Data___Hourly_DriverActivity_1_csv__3[#All],2,FALSE)</f>
        <v>55</v>
      </c>
      <c r="J784">
        <f>VLOOKUP(Demand_Data___Hourly_OverviewSearch_1_csv[[#This Row],[Date]],Supply_Data___Hourly_DriverActivity_1_csv__3[#All],3,FALSE)</f>
        <v>20</v>
      </c>
      <c r="K784">
        <f>VLOOKUP(Demand_Data___Hourly_OverviewSearch_1_csv[[#This Row],[Date]],Supply_Data___Hourly_DriverActivity_1_csv__3[#All],4,FALSE)</f>
        <v>9</v>
      </c>
      <c r="L784">
        <f>VLOOKUP(Demand_Data___Hourly_OverviewSearch_1_csv[[#This Row],[Date]],Supply_Data___Hourly_DriverActivity_1_csv__3[#All],5,FALSE)</f>
        <v>11</v>
      </c>
      <c r="M784">
        <f>VLOOKUP(Demand_Data___Hourly_OverviewSearch_1_csv[[#This Row],[Date]],Supply_Data___Hourly_DriverActivity_1_csv__3[#All],6,FALSE)</f>
        <v>0.4</v>
      </c>
      <c r="N784">
        <f>VLOOKUP(Demand_Data___Hourly_OverviewSearch_1_csv[[#This Row],[Date]],Supply_Data___Hourly_DriverActivity_1_csv__3[#All],7,FALSE)</f>
        <v>1</v>
      </c>
      <c r="O784">
        <f>VLOOKUP(Demand_Data___Hourly_OverviewSearch_1_csv[[#This Row],[Date]],Supply_Data___Hourly_DriverActivity_1_csv__3[#All],8,FALSE)</f>
        <v>20</v>
      </c>
      <c r="P784">
        <f>(Demand_Data___Hourly_OverviewSearch_1_csv[[#This Row],[People saw 0 cars (unique)]]+Demand_Data___Hourly_OverviewSearch_1_csv[[#This Row],[People saw +1 cars (unique)]])</f>
        <v>86</v>
      </c>
      <c r="Q784" s="143">
        <f t="shared" si="51"/>
        <v>11</v>
      </c>
    </row>
    <row r="785" spans="1:17" x14ac:dyDescent="0.3">
      <c r="A785" t="s">
        <v>792</v>
      </c>
      <c r="B785" t="str">
        <f t="shared" si="48"/>
        <v xml:space="preserve"> 07</v>
      </c>
      <c r="C785">
        <f t="shared" si="49"/>
        <v>3</v>
      </c>
      <c r="D785" t="str">
        <f t="shared" si="50"/>
        <v xml:space="preserve">2016-11-16 </v>
      </c>
      <c r="E785" t="str">
        <f>TEXT(Demand_Data___Hourly_OverviewSearch_1_csv[[#This Row],[Day]],"dddd")</f>
        <v>Tuesday</v>
      </c>
      <c r="F785">
        <v>16</v>
      </c>
      <c r="G785">
        <v>19</v>
      </c>
      <c r="H785">
        <v>54</v>
      </c>
      <c r="I785">
        <f>VLOOKUP(Demand_Data___Hourly_OverviewSearch_1_csv[[#This Row],[Date]],Supply_Data___Hourly_DriverActivity_1_csv__3[#All],2,FALSE)</f>
        <v>38</v>
      </c>
      <c r="J785">
        <f>VLOOKUP(Demand_Data___Hourly_OverviewSearch_1_csv[[#This Row],[Date]],Supply_Data___Hourly_DriverActivity_1_csv__3[#All],3,FALSE)</f>
        <v>12</v>
      </c>
      <c r="K785">
        <f>VLOOKUP(Demand_Data___Hourly_OverviewSearch_1_csv[[#This Row],[Date]],Supply_Data___Hourly_DriverActivity_1_csv__3[#All],4,FALSE)</f>
        <v>4</v>
      </c>
      <c r="L785">
        <f>VLOOKUP(Demand_Data___Hourly_OverviewSearch_1_csv[[#This Row],[Date]],Supply_Data___Hourly_DriverActivity_1_csv__3[#All],5,FALSE)</f>
        <v>8</v>
      </c>
      <c r="M785">
        <f>VLOOKUP(Demand_Data___Hourly_OverviewSearch_1_csv[[#This Row],[Date]],Supply_Data___Hourly_DriverActivity_1_csv__3[#All],6,FALSE)</f>
        <v>0.3</v>
      </c>
      <c r="N785">
        <f>VLOOKUP(Demand_Data___Hourly_OverviewSearch_1_csv[[#This Row],[Date]],Supply_Data___Hourly_DriverActivity_1_csv__3[#All],7,FALSE)</f>
        <v>0.75</v>
      </c>
      <c r="O785">
        <f>VLOOKUP(Demand_Data___Hourly_OverviewSearch_1_csv[[#This Row],[Date]],Supply_Data___Hourly_DriverActivity_1_csv__3[#All],8,FALSE)</f>
        <v>9</v>
      </c>
      <c r="P785">
        <f>(Demand_Data___Hourly_OverviewSearch_1_csv[[#This Row],[People saw 0 cars (unique)]]+Demand_Data___Hourly_OverviewSearch_1_csv[[#This Row],[People saw +1 cars (unique)]])</f>
        <v>35</v>
      </c>
      <c r="Q785" s="143">
        <f t="shared" si="51"/>
        <v>8</v>
      </c>
    </row>
    <row r="786" spans="1:17" x14ac:dyDescent="0.3">
      <c r="A786" t="s">
        <v>793</v>
      </c>
      <c r="B786" t="str">
        <f t="shared" si="48"/>
        <v xml:space="preserve"> 06</v>
      </c>
      <c r="C786">
        <f t="shared" si="49"/>
        <v>3</v>
      </c>
      <c r="D786" t="str">
        <f t="shared" si="50"/>
        <v xml:space="preserve">2016-11-16 </v>
      </c>
      <c r="E786" t="str">
        <f>TEXT(Demand_Data___Hourly_OverviewSearch_1_csv[[#This Row],[Day]],"dddd")</f>
        <v>Tuesday</v>
      </c>
      <c r="F786">
        <v>2</v>
      </c>
      <c r="G786">
        <v>4</v>
      </c>
      <c r="H786">
        <v>67</v>
      </c>
      <c r="I786">
        <f>VLOOKUP(Demand_Data___Hourly_OverviewSearch_1_csv[[#This Row],[Date]],Supply_Data___Hourly_DriverActivity_1_csv__3[#All],2,FALSE)</f>
        <v>30</v>
      </c>
      <c r="J786">
        <f>VLOOKUP(Demand_Data___Hourly_OverviewSearch_1_csv[[#This Row],[Date]],Supply_Data___Hourly_DriverActivity_1_csv__3[#All],3,FALSE)</f>
        <v>9</v>
      </c>
      <c r="K786">
        <f>VLOOKUP(Demand_Data___Hourly_OverviewSearch_1_csv[[#This Row],[Date]],Supply_Data___Hourly_DriverActivity_1_csv__3[#All],4,FALSE)</f>
        <v>0</v>
      </c>
      <c r="L786">
        <f>VLOOKUP(Demand_Data___Hourly_OverviewSearch_1_csv[[#This Row],[Date]],Supply_Data___Hourly_DriverActivity_1_csv__3[#All],5,FALSE)</f>
        <v>9</v>
      </c>
      <c r="M786">
        <f>VLOOKUP(Demand_Data___Hourly_OverviewSearch_1_csv[[#This Row],[Date]],Supply_Data___Hourly_DriverActivity_1_csv__3[#All],6,FALSE)</f>
        <v>0.3</v>
      </c>
      <c r="N786">
        <f>VLOOKUP(Demand_Data___Hourly_OverviewSearch_1_csv[[#This Row],[Date]],Supply_Data___Hourly_DriverActivity_1_csv__3[#All],7,FALSE)</f>
        <v>0</v>
      </c>
      <c r="O786">
        <f>VLOOKUP(Demand_Data___Hourly_OverviewSearch_1_csv[[#This Row],[Date]],Supply_Data___Hourly_DriverActivity_1_csv__3[#All],8,FALSE)</f>
        <v>0</v>
      </c>
      <c r="P786">
        <f>(Demand_Data___Hourly_OverviewSearch_1_csv[[#This Row],[People saw 0 cars (unique)]]+Demand_Data___Hourly_OverviewSearch_1_csv[[#This Row],[People saw +1 cars (unique)]])</f>
        <v>6</v>
      </c>
      <c r="Q786" s="143">
        <f t="shared" si="51"/>
        <v>9</v>
      </c>
    </row>
    <row r="787" spans="1:17" x14ac:dyDescent="0.3">
      <c r="A787" t="s">
        <v>794</v>
      </c>
      <c r="B787" t="str">
        <f t="shared" si="48"/>
        <v xml:space="preserve"> 05</v>
      </c>
      <c r="C787">
        <f t="shared" si="49"/>
        <v>3</v>
      </c>
      <c r="D787" t="str">
        <f t="shared" si="50"/>
        <v xml:space="preserve">2016-11-16 </v>
      </c>
      <c r="E787" t="str">
        <f>TEXT(Demand_Data___Hourly_OverviewSearch_1_csv[[#This Row],[Day]],"dddd")</f>
        <v>Tuesday</v>
      </c>
      <c r="F787">
        <v>0</v>
      </c>
      <c r="G787">
        <v>2</v>
      </c>
      <c r="H787">
        <v>100</v>
      </c>
      <c r="I787">
        <f>VLOOKUP(Demand_Data___Hourly_OverviewSearch_1_csv[[#This Row],[Date]],Supply_Data___Hourly_DriverActivity_1_csv__3[#All],2,FALSE)</f>
        <v>25</v>
      </c>
      <c r="J787">
        <f>VLOOKUP(Demand_Data___Hourly_OverviewSearch_1_csv[[#This Row],[Date]],Supply_Data___Hourly_DriverActivity_1_csv__3[#All],3,FALSE)</f>
        <v>9</v>
      </c>
      <c r="K787">
        <f>VLOOKUP(Demand_Data___Hourly_OverviewSearch_1_csv[[#This Row],[Date]],Supply_Data___Hourly_DriverActivity_1_csv__3[#All],4,FALSE)</f>
        <v>0</v>
      </c>
      <c r="L787">
        <f>VLOOKUP(Demand_Data___Hourly_OverviewSearch_1_csv[[#This Row],[Date]],Supply_Data___Hourly_DriverActivity_1_csv__3[#All],5,FALSE)</f>
        <v>9</v>
      </c>
      <c r="M787">
        <f>VLOOKUP(Demand_Data___Hourly_OverviewSearch_1_csv[[#This Row],[Date]],Supply_Data___Hourly_DriverActivity_1_csv__3[#All],6,FALSE)</f>
        <v>0.4</v>
      </c>
      <c r="N787">
        <f>VLOOKUP(Demand_Data___Hourly_OverviewSearch_1_csv[[#This Row],[Date]],Supply_Data___Hourly_DriverActivity_1_csv__3[#All],7,FALSE)</f>
        <v>0</v>
      </c>
      <c r="O787">
        <f>VLOOKUP(Demand_Data___Hourly_OverviewSearch_1_csv[[#This Row],[Date]],Supply_Data___Hourly_DriverActivity_1_csv__3[#All],8,FALSE)</f>
        <v>0</v>
      </c>
      <c r="P787">
        <f>(Demand_Data___Hourly_OverviewSearch_1_csv[[#This Row],[People saw 0 cars (unique)]]+Demand_Data___Hourly_OverviewSearch_1_csv[[#This Row],[People saw +1 cars (unique)]])</f>
        <v>2</v>
      </c>
      <c r="Q787" s="143">
        <f t="shared" si="51"/>
        <v>9</v>
      </c>
    </row>
    <row r="788" spans="1:17" x14ac:dyDescent="0.3">
      <c r="A788" t="s">
        <v>795</v>
      </c>
      <c r="B788" t="str">
        <f t="shared" si="48"/>
        <v xml:space="preserve"> 04</v>
      </c>
      <c r="C788">
        <f t="shared" si="49"/>
        <v>3</v>
      </c>
      <c r="D788" t="str">
        <f t="shared" si="50"/>
        <v xml:space="preserve">2016-11-16 </v>
      </c>
      <c r="E788" t="str">
        <f>TEXT(Demand_Data___Hourly_OverviewSearch_1_csv[[#This Row],[Day]],"dddd")</f>
        <v>Tuesday</v>
      </c>
      <c r="F788">
        <v>2</v>
      </c>
      <c r="G788">
        <v>3</v>
      </c>
      <c r="H788">
        <v>60</v>
      </c>
      <c r="I788">
        <f>VLOOKUP(Demand_Data___Hourly_OverviewSearch_1_csv[[#This Row],[Date]],Supply_Data___Hourly_DriverActivity_1_csv__3[#All],2,FALSE)</f>
        <v>27</v>
      </c>
      <c r="J788">
        <f>VLOOKUP(Demand_Data___Hourly_OverviewSearch_1_csv[[#This Row],[Date]],Supply_Data___Hourly_DriverActivity_1_csv__3[#All],3,FALSE)</f>
        <v>11</v>
      </c>
      <c r="K788">
        <f>VLOOKUP(Demand_Data___Hourly_OverviewSearch_1_csv[[#This Row],[Date]],Supply_Data___Hourly_DriverActivity_1_csv__3[#All],4,FALSE)</f>
        <v>0</v>
      </c>
      <c r="L788">
        <f>VLOOKUP(Demand_Data___Hourly_OverviewSearch_1_csv[[#This Row],[Date]],Supply_Data___Hourly_DriverActivity_1_csv__3[#All],5,FALSE)</f>
        <v>11</v>
      </c>
      <c r="M788">
        <f>VLOOKUP(Demand_Data___Hourly_OverviewSearch_1_csv[[#This Row],[Date]],Supply_Data___Hourly_DriverActivity_1_csv__3[#All],6,FALSE)</f>
        <v>0.4</v>
      </c>
      <c r="N788">
        <f>VLOOKUP(Demand_Data___Hourly_OverviewSearch_1_csv[[#This Row],[Date]],Supply_Data___Hourly_DriverActivity_1_csv__3[#All],7,FALSE)</f>
        <v>0.09</v>
      </c>
      <c r="O788">
        <f>VLOOKUP(Demand_Data___Hourly_OverviewSearch_1_csv[[#This Row],[Date]],Supply_Data___Hourly_DriverActivity_1_csv__3[#All],8,FALSE)</f>
        <v>1</v>
      </c>
      <c r="P788">
        <f>(Demand_Data___Hourly_OverviewSearch_1_csv[[#This Row],[People saw 0 cars (unique)]]+Demand_Data___Hourly_OverviewSearch_1_csv[[#This Row],[People saw +1 cars (unique)]])</f>
        <v>5</v>
      </c>
      <c r="Q788" s="143">
        <f t="shared" si="51"/>
        <v>11</v>
      </c>
    </row>
    <row r="789" spans="1:17" x14ac:dyDescent="0.3">
      <c r="A789" t="s">
        <v>796</v>
      </c>
      <c r="B789" t="str">
        <f t="shared" si="48"/>
        <v xml:space="preserve"> 03</v>
      </c>
      <c r="C789">
        <f t="shared" si="49"/>
        <v>3</v>
      </c>
      <c r="D789" t="str">
        <f t="shared" si="50"/>
        <v xml:space="preserve">2016-11-16 </v>
      </c>
      <c r="E789" t="str">
        <f>TEXT(Demand_Data___Hourly_OverviewSearch_1_csv[[#This Row],[Day]],"dddd")</f>
        <v>Tuesday</v>
      </c>
      <c r="F789">
        <v>1</v>
      </c>
      <c r="G789">
        <v>6</v>
      </c>
      <c r="H789">
        <v>86</v>
      </c>
      <c r="I789">
        <f>VLOOKUP(Demand_Data___Hourly_OverviewSearch_1_csv[[#This Row],[Date]],Supply_Data___Hourly_DriverActivity_1_csv__3[#All],2,FALSE)</f>
        <v>26</v>
      </c>
      <c r="J789">
        <f>VLOOKUP(Demand_Data___Hourly_OverviewSearch_1_csv[[#This Row],[Date]],Supply_Data___Hourly_DriverActivity_1_csv__3[#All],3,FALSE)</f>
        <v>13</v>
      </c>
      <c r="K789">
        <f>VLOOKUP(Demand_Data___Hourly_OverviewSearch_1_csv[[#This Row],[Date]],Supply_Data___Hourly_DriverActivity_1_csv__3[#All],4,FALSE)</f>
        <v>1</v>
      </c>
      <c r="L789">
        <f>VLOOKUP(Demand_Data___Hourly_OverviewSearch_1_csv[[#This Row],[Date]],Supply_Data___Hourly_DriverActivity_1_csv__3[#All],5,FALSE)</f>
        <v>12</v>
      </c>
      <c r="M789">
        <f>VLOOKUP(Demand_Data___Hourly_OverviewSearch_1_csv[[#This Row],[Date]],Supply_Data___Hourly_DriverActivity_1_csv__3[#All],6,FALSE)</f>
        <v>0.5</v>
      </c>
      <c r="N789">
        <f>VLOOKUP(Demand_Data___Hourly_OverviewSearch_1_csv[[#This Row],[Date]],Supply_Data___Hourly_DriverActivity_1_csv__3[#All],7,FALSE)</f>
        <v>0.15</v>
      </c>
      <c r="O789">
        <f>VLOOKUP(Demand_Data___Hourly_OverviewSearch_1_csv[[#This Row],[Date]],Supply_Data___Hourly_DriverActivity_1_csv__3[#All],8,FALSE)</f>
        <v>2</v>
      </c>
      <c r="P789">
        <f>(Demand_Data___Hourly_OverviewSearch_1_csv[[#This Row],[People saw 0 cars (unique)]]+Demand_Data___Hourly_OverviewSearch_1_csv[[#This Row],[People saw +1 cars (unique)]])</f>
        <v>7</v>
      </c>
      <c r="Q789" s="143">
        <f t="shared" si="51"/>
        <v>12</v>
      </c>
    </row>
    <row r="790" spans="1:17" x14ac:dyDescent="0.3">
      <c r="A790" t="s">
        <v>797</v>
      </c>
      <c r="B790" t="str">
        <f t="shared" si="48"/>
        <v xml:space="preserve"> 02</v>
      </c>
      <c r="C790">
        <f t="shared" si="49"/>
        <v>3</v>
      </c>
      <c r="D790" t="str">
        <f t="shared" si="50"/>
        <v xml:space="preserve">2016-11-16 </v>
      </c>
      <c r="E790" t="str">
        <f>TEXT(Demand_Data___Hourly_OverviewSearch_1_csv[[#This Row],[Day]],"dddd")</f>
        <v>Tuesday</v>
      </c>
      <c r="F790">
        <v>1</v>
      </c>
      <c r="G790">
        <v>4</v>
      </c>
      <c r="H790">
        <v>80</v>
      </c>
      <c r="I790">
        <f>VLOOKUP(Demand_Data___Hourly_OverviewSearch_1_csv[[#This Row],[Date]],Supply_Data___Hourly_DriverActivity_1_csv__3[#All],2,FALSE)</f>
        <v>34</v>
      </c>
      <c r="J790">
        <f>VLOOKUP(Demand_Data___Hourly_OverviewSearch_1_csv[[#This Row],[Date]],Supply_Data___Hourly_DriverActivity_1_csv__3[#All],3,FALSE)</f>
        <v>13</v>
      </c>
      <c r="K790">
        <f>VLOOKUP(Demand_Data___Hourly_OverviewSearch_1_csv[[#This Row],[Date]],Supply_Data___Hourly_DriverActivity_1_csv__3[#All],4,FALSE)</f>
        <v>1</v>
      </c>
      <c r="L790">
        <f>VLOOKUP(Demand_Data___Hourly_OverviewSearch_1_csv[[#This Row],[Date]],Supply_Data___Hourly_DriverActivity_1_csv__3[#All],5,FALSE)</f>
        <v>12</v>
      </c>
      <c r="M790">
        <f>VLOOKUP(Demand_Data___Hourly_OverviewSearch_1_csv[[#This Row],[Date]],Supply_Data___Hourly_DriverActivity_1_csv__3[#All],6,FALSE)</f>
        <v>0.4</v>
      </c>
      <c r="N790">
        <f>VLOOKUP(Demand_Data___Hourly_OverviewSearch_1_csv[[#This Row],[Date]],Supply_Data___Hourly_DriverActivity_1_csv__3[#All],7,FALSE)</f>
        <v>0.15</v>
      </c>
      <c r="O790">
        <f>VLOOKUP(Demand_Data___Hourly_OverviewSearch_1_csv[[#This Row],[Date]],Supply_Data___Hourly_DriverActivity_1_csv__3[#All],8,FALSE)</f>
        <v>2</v>
      </c>
      <c r="P790">
        <f>(Demand_Data___Hourly_OverviewSearch_1_csv[[#This Row],[People saw 0 cars (unique)]]+Demand_Data___Hourly_OverviewSearch_1_csv[[#This Row],[People saw +1 cars (unique)]])</f>
        <v>5</v>
      </c>
      <c r="Q790" s="143">
        <f t="shared" si="51"/>
        <v>12</v>
      </c>
    </row>
    <row r="791" spans="1:17" x14ac:dyDescent="0.3">
      <c r="A791" t="s">
        <v>798</v>
      </c>
      <c r="B791" t="str">
        <f t="shared" si="48"/>
        <v xml:space="preserve"> 01</v>
      </c>
      <c r="C791">
        <f t="shared" si="49"/>
        <v>3</v>
      </c>
      <c r="D791" t="str">
        <f t="shared" si="50"/>
        <v xml:space="preserve">2016-11-16 </v>
      </c>
      <c r="E791" t="str">
        <f>TEXT(Demand_Data___Hourly_OverviewSearch_1_csv[[#This Row],[Day]],"dddd")</f>
        <v>Tuesday</v>
      </c>
      <c r="F791">
        <v>2</v>
      </c>
      <c r="G791">
        <v>19</v>
      </c>
      <c r="H791">
        <v>90</v>
      </c>
      <c r="I791">
        <f>VLOOKUP(Demand_Data___Hourly_OverviewSearch_1_csv[[#This Row],[Date]],Supply_Data___Hourly_DriverActivity_1_csv__3[#All],2,FALSE)</f>
        <v>46</v>
      </c>
      <c r="J791">
        <f>VLOOKUP(Demand_Data___Hourly_OverviewSearch_1_csv[[#This Row],[Date]],Supply_Data___Hourly_DriverActivity_1_csv__3[#All],3,FALSE)</f>
        <v>19</v>
      </c>
      <c r="K791">
        <f>VLOOKUP(Demand_Data___Hourly_OverviewSearch_1_csv[[#This Row],[Date]],Supply_Data___Hourly_DriverActivity_1_csv__3[#All],4,FALSE)</f>
        <v>2</v>
      </c>
      <c r="L791">
        <f>VLOOKUP(Demand_Data___Hourly_OverviewSearch_1_csv[[#This Row],[Date]],Supply_Data___Hourly_DriverActivity_1_csv__3[#All],5,FALSE)</f>
        <v>17</v>
      </c>
      <c r="M791">
        <f>VLOOKUP(Demand_Data___Hourly_OverviewSearch_1_csv[[#This Row],[Date]],Supply_Data___Hourly_DriverActivity_1_csv__3[#All],6,FALSE)</f>
        <v>0.4</v>
      </c>
      <c r="N791">
        <f>VLOOKUP(Demand_Data___Hourly_OverviewSearch_1_csv[[#This Row],[Date]],Supply_Data___Hourly_DriverActivity_1_csv__3[#All],7,FALSE)</f>
        <v>0.37</v>
      </c>
      <c r="O791">
        <f>VLOOKUP(Demand_Data___Hourly_OverviewSearch_1_csv[[#This Row],[Date]],Supply_Data___Hourly_DriverActivity_1_csv__3[#All],8,FALSE)</f>
        <v>7</v>
      </c>
      <c r="P791">
        <f>(Demand_Data___Hourly_OverviewSearch_1_csv[[#This Row],[People saw 0 cars (unique)]]+Demand_Data___Hourly_OverviewSearch_1_csv[[#This Row],[People saw +1 cars (unique)]])</f>
        <v>21</v>
      </c>
      <c r="Q791" s="143">
        <f t="shared" si="51"/>
        <v>17</v>
      </c>
    </row>
    <row r="792" spans="1:17" x14ac:dyDescent="0.3">
      <c r="A792" t="s">
        <v>799</v>
      </c>
      <c r="B792" t="str">
        <f t="shared" si="48"/>
        <v xml:space="preserve"> 00</v>
      </c>
      <c r="C792">
        <f t="shared" si="49"/>
        <v>3</v>
      </c>
      <c r="D792" t="str">
        <f t="shared" si="50"/>
        <v xml:space="preserve">2016-11-16 </v>
      </c>
      <c r="E792" t="str">
        <f>TEXT(Demand_Data___Hourly_OverviewSearch_1_csv[[#This Row],[Day]],"dddd")</f>
        <v>Tuesday</v>
      </c>
      <c r="F792">
        <v>6</v>
      </c>
      <c r="G792">
        <v>39</v>
      </c>
      <c r="H792">
        <v>87</v>
      </c>
      <c r="I792">
        <f>VLOOKUP(Demand_Data___Hourly_OverviewSearch_1_csv[[#This Row],[Date]],Supply_Data___Hourly_DriverActivity_1_csv__3[#All],2,FALSE)</f>
        <v>54</v>
      </c>
      <c r="J792">
        <f>VLOOKUP(Demand_Data___Hourly_OverviewSearch_1_csv[[#This Row],[Date]],Supply_Data___Hourly_DriverActivity_1_csv__3[#All],3,FALSE)</f>
        <v>24</v>
      </c>
      <c r="K792">
        <f>VLOOKUP(Demand_Data___Hourly_OverviewSearch_1_csv[[#This Row],[Date]],Supply_Data___Hourly_DriverActivity_1_csv__3[#All],4,FALSE)</f>
        <v>5</v>
      </c>
      <c r="L792">
        <f>VLOOKUP(Demand_Data___Hourly_OverviewSearch_1_csv[[#This Row],[Date]],Supply_Data___Hourly_DriverActivity_1_csv__3[#All],5,FALSE)</f>
        <v>19</v>
      </c>
      <c r="M792">
        <f>VLOOKUP(Demand_Data___Hourly_OverviewSearch_1_csv[[#This Row],[Date]],Supply_Data___Hourly_DriverActivity_1_csv__3[#All],6,FALSE)</f>
        <v>0.4</v>
      </c>
      <c r="N792">
        <f>VLOOKUP(Demand_Data___Hourly_OverviewSearch_1_csv[[#This Row],[Date]],Supply_Data___Hourly_DriverActivity_1_csv__3[#All],7,FALSE)</f>
        <v>0.5</v>
      </c>
      <c r="O792">
        <f>VLOOKUP(Demand_Data___Hourly_OverviewSearch_1_csv[[#This Row],[Date]],Supply_Data___Hourly_DriverActivity_1_csv__3[#All],8,FALSE)</f>
        <v>12</v>
      </c>
      <c r="P792">
        <f>(Demand_Data___Hourly_OverviewSearch_1_csv[[#This Row],[People saw 0 cars (unique)]]+Demand_Data___Hourly_OverviewSearch_1_csv[[#This Row],[People saw +1 cars (unique)]])</f>
        <v>45</v>
      </c>
      <c r="Q792" s="143">
        <f t="shared" si="51"/>
        <v>19</v>
      </c>
    </row>
    <row r="793" spans="1:17" x14ac:dyDescent="0.3">
      <c r="A793" t="s">
        <v>800</v>
      </c>
      <c r="B793" t="str">
        <f t="shared" si="48"/>
        <v xml:space="preserve"> 23</v>
      </c>
      <c r="C793">
        <f t="shared" si="49"/>
        <v>2</v>
      </c>
      <c r="D793" t="str">
        <f t="shared" si="50"/>
        <v xml:space="preserve">2016-11-15 </v>
      </c>
      <c r="E793" t="str">
        <f>TEXT(Demand_Data___Hourly_OverviewSearch_1_csv[[#This Row],[Day]],"dddd")</f>
        <v>Monday</v>
      </c>
      <c r="F793">
        <v>0</v>
      </c>
      <c r="G793">
        <v>43</v>
      </c>
      <c r="H793">
        <v>100</v>
      </c>
      <c r="I793">
        <f>VLOOKUP(Demand_Data___Hourly_OverviewSearch_1_csv[[#This Row],[Date]],Supply_Data___Hourly_DriverActivity_1_csv__3[#All],2,FALSE)</f>
        <v>63</v>
      </c>
      <c r="J793">
        <f>VLOOKUP(Demand_Data___Hourly_OverviewSearch_1_csv[[#This Row],[Date]],Supply_Data___Hourly_DriverActivity_1_csv__3[#All],3,FALSE)</f>
        <v>24</v>
      </c>
      <c r="K793">
        <f>VLOOKUP(Demand_Data___Hourly_OverviewSearch_1_csv[[#This Row],[Date]],Supply_Data___Hourly_DriverActivity_1_csv__3[#All],4,FALSE)</f>
        <v>5</v>
      </c>
      <c r="L793">
        <f>VLOOKUP(Demand_Data___Hourly_OverviewSearch_1_csv[[#This Row],[Date]],Supply_Data___Hourly_DriverActivity_1_csv__3[#All],5,FALSE)</f>
        <v>19</v>
      </c>
      <c r="M793">
        <f>VLOOKUP(Demand_Data___Hourly_OverviewSearch_1_csv[[#This Row],[Date]],Supply_Data___Hourly_DriverActivity_1_csv__3[#All],6,FALSE)</f>
        <v>0.4</v>
      </c>
      <c r="N793">
        <f>VLOOKUP(Demand_Data___Hourly_OverviewSearch_1_csv[[#This Row],[Date]],Supply_Data___Hourly_DriverActivity_1_csv__3[#All],7,FALSE)</f>
        <v>0.63</v>
      </c>
      <c r="O793">
        <f>VLOOKUP(Demand_Data___Hourly_OverviewSearch_1_csv[[#This Row],[Date]],Supply_Data___Hourly_DriverActivity_1_csv__3[#All],8,FALSE)</f>
        <v>15</v>
      </c>
      <c r="P793">
        <f>(Demand_Data___Hourly_OverviewSearch_1_csv[[#This Row],[People saw 0 cars (unique)]]+Demand_Data___Hourly_OverviewSearch_1_csv[[#This Row],[People saw +1 cars (unique)]])</f>
        <v>43</v>
      </c>
      <c r="Q793" s="143">
        <f t="shared" si="51"/>
        <v>19</v>
      </c>
    </row>
    <row r="794" spans="1:17" x14ac:dyDescent="0.3">
      <c r="A794" t="s">
        <v>801</v>
      </c>
      <c r="B794" t="str">
        <f t="shared" si="48"/>
        <v xml:space="preserve"> 22</v>
      </c>
      <c r="C794">
        <f t="shared" si="49"/>
        <v>2</v>
      </c>
      <c r="D794" t="str">
        <f t="shared" si="50"/>
        <v xml:space="preserve">2016-11-15 </v>
      </c>
      <c r="E794" t="str">
        <f>TEXT(Demand_Data___Hourly_OverviewSearch_1_csv[[#This Row],[Day]],"dddd")</f>
        <v>Monday</v>
      </c>
      <c r="F794">
        <v>11</v>
      </c>
      <c r="G794">
        <v>51</v>
      </c>
      <c r="H794">
        <v>82</v>
      </c>
      <c r="I794">
        <f>VLOOKUP(Demand_Data___Hourly_OverviewSearch_1_csv[[#This Row],[Date]],Supply_Data___Hourly_DriverActivity_1_csv__3[#All],2,FALSE)</f>
        <v>68</v>
      </c>
      <c r="J794">
        <f>VLOOKUP(Demand_Data___Hourly_OverviewSearch_1_csv[[#This Row],[Date]],Supply_Data___Hourly_DriverActivity_1_csv__3[#All],3,FALSE)</f>
        <v>28</v>
      </c>
      <c r="K794">
        <f>VLOOKUP(Demand_Data___Hourly_OverviewSearch_1_csv[[#This Row],[Date]],Supply_Data___Hourly_DriverActivity_1_csv__3[#All],4,FALSE)</f>
        <v>8</v>
      </c>
      <c r="L794">
        <f>VLOOKUP(Demand_Data___Hourly_OverviewSearch_1_csv[[#This Row],[Date]],Supply_Data___Hourly_DriverActivity_1_csv__3[#All],5,FALSE)</f>
        <v>20</v>
      </c>
      <c r="M794">
        <f>VLOOKUP(Demand_Data___Hourly_OverviewSearch_1_csv[[#This Row],[Date]],Supply_Data___Hourly_DriverActivity_1_csv__3[#All],6,FALSE)</f>
        <v>0.4</v>
      </c>
      <c r="N794">
        <f>VLOOKUP(Demand_Data___Hourly_OverviewSearch_1_csv[[#This Row],[Date]],Supply_Data___Hourly_DriverActivity_1_csv__3[#All],7,FALSE)</f>
        <v>0.71</v>
      </c>
      <c r="O794">
        <f>VLOOKUP(Demand_Data___Hourly_OverviewSearch_1_csv[[#This Row],[Date]],Supply_Data___Hourly_DriverActivity_1_csv__3[#All],8,FALSE)</f>
        <v>20</v>
      </c>
      <c r="P794">
        <f>(Demand_Data___Hourly_OverviewSearch_1_csv[[#This Row],[People saw 0 cars (unique)]]+Demand_Data___Hourly_OverviewSearch_1_csv[[#This Row],[People saw +1 cars (unique)]])</f>
        <v>62</v>
      </c>
      <c r="Q794" s="143">
        <f t="shared" si="51"/>
        <v>20</v>
      </c>
    </row>
    <row r="795" spans="1:17" x14ac:dyDescent="0.3">
      <c r="A795" t="s">
        <v>802</v>
      </c>
      <c r="B795" t="str">
        <f t="shared" si="48"/>
        <v xml:space="preserve"> 21</v>
      </c>
      <c r="C795">
        <f t="shared" si="49"/>
        <v>2</v>
      </c>
      <c r="D795" t="str">
        <f t="shared" si="50"/>
        <v xml:space="preserve">2016-11-15 </v>
      </c>
      <c r="E795" t="str">
        <f>TEXT(Demand_Data___Hourly_OverviewSearch_1_csv[[#This Row],[Day]],"dddd")</f>
        <v>Monday</v>
      </c>
      <c r="F795">
        <v>6</v>
      </c>
      <c r="G795">
        <v>44</v>
      </c>
      <c r="H795">
        <v>88</v>
      </c>
      <c r="I795">
        <f>VLOOKUP(Demand_Data___Hourly_OverviewSearch_1_csv[[#This Row],[Date]],Supply_Data___Hourly_DriverActivity_1_csv__3[#All],2,FALSE)</f>
        <v>69</v>
      </c>
      <c r="J795">
        <f>VLOOKUP(Demand_Data___Hourly_OverviewSearch_1_csv[[#This Row],[Date]],Supply_Data___Hourly_DriverActivity_1_csv__3[#All],3,FALSE)</f>
        <v>31</v>
      </c>
      <c r="K795">
        <f>VLOOKUP(Demand_Data___Hourly_OverviewSearch_1_csv[[#This Row],[Date]],Supply_Data___Hourly_DriverActivity_1_csv__3[#All],4,FALSE)</f>
        <v>5</v>
      </c>
      <c r="L795">
        <f>VLOOKUP(Demand_Data___Hourly_OverviewSearch_1_csv[[#This Row],[Date]],Supply_Data___Hourly_DriverActivity_1_csv__3[#All],5,FALSE)</f>
        <v>26</v>
      </c>
      <c r="M795">
        <f>VLOOKUP(Demand_Data___Hourly_OverviewSearch_1_csv[[#This Row],[Date]],Supply_Data___Hourly_DriverActivity_1_csv__3[#All],6,FALSE)</f>
        <v>0.4</v>
      </c>
      <c r="N795">
        <f>VLOOKUP(Demand_Data___Hourly_OverviewSearch_1_csv[[#This Row],[Date]],Supply_Data___Hourly_DriverActivity_1_csv__3[#All],7,FALSE)</f>
        <v>0.57999999999999996</v>
      </c>
      <c r="O795">
        <f>VLOOKUP(Demand_Data___Hourly_OverviewSearch_1_csv[[#This Row],[Date]],Supply_Data___Hourly_DriverActivity_1_csv__3[#All],8,FALSE)</f>
        <v>18</v>
      </c>
      <c r="P795">
        <f>(Demand_Data___Hourly_OverviewSearch_1_csv[[#This Row],[People saw 0 cars (unique)]]+Demand_Data___Hourly_OverviewSearch_1_csv[[#This Row],[People saw +1 cars (unique)]])</f>
        <v>50</v>
      </c>
      <c r="Q795" s="143">
        <f t="shared" si="51"/>
        <v>26</v>
      </c>
    </row>
    <row r="796" spans="1:17" x14ac:dyDescent="0.3">
      <c r="A796" t="s">
        <v>803</v>
      </c>
      <c r="B796" t="str">
        <f t="shared" si="48"/>
        <v xml:space="preserve"> 20</v>
      </c>
      <c r="C796">
        <f t="shared" si="49"/>
        <v>2</v>
      </c>
      <c r="D796" t="str">
        <f t="shared" si="50"/>
        <v xml:space="preserve">2016-11-15 </v>
      </c>
      <c r="E796" t="str">
        <f>TEXT(Demand_Data___Hourly_OverviewSearch_1_csv[[#This Row],[Day]],"dddd")</f>
        <v>Monday</v>
      </c>
      <c r="F796">
        <v>13</v>
      </c>
      <c r="G796">
        <v>49</v>
      </c>
      <c r="H796">
        <v>79</v>
      </c>
      <c r="I796">
        <f>VLOOKUP(Demand_Data___Hourly_OverviewSearch_1_csv[[#This Row],[Date]],Supply_Data___Hourly_DriverActivity_1_csv__3[#All],2,FALSE)</f>
        <v>84</v>
      </c>
      <c r="J796">
        <f>VLOOKUP(Demand_Data___Hourly_OverviewSearch_1_csv[[#This Row],[Date]],Supply_Data___Hourly_DriverActivity_1_csv__3[#All],3,FALSE)</f>
        <v>33</v>
      </c>
      <c r="K796">
        <f>VLOOKUP(Demand_Data___Hourly_OverviewSearch_1_csv[[#This Row],[Date]],Supply_Data___Hourly_DriverActivity_1_csv__3[#All],4,FALSE)</f>
        <v>11</v>
      </c>
      <c r="L796">
        <f>VLOOKUP(Demand_Data___Hourly_OverviewSearch_1_csv[[#This Row],[Date]],Supply_Data___Hourly_DriverActivity_1_csv__3[#All],5,FALSE)</f>
        <v>22</v>
      </c>
      <c r="M796">
        <f>VLOOKUP(Demand_Data___Hourly_OverviewSearch_1_csv[[#This Row],[Date]],Supply_Data___Hourly_DriverActivity_1_csv__3[#All],6,FALSE)</f>
        <v>0.4</v>
      </c>
      <c r="N796">
        <f>VLOOKUP(Demand_Data___Hourly_OverviewSearch_1_csv[[#This Row],[Date]],Supply_Data___Hourly_DriverActivity_1_csv__3[#All],7,FALSE)</f>
        <v>0.55000000000000004</v>
      </c>
      <c r="O796">
        <f>VLOOKUP(Demand_Data___Hourly_OverviewSearch_1_csv[[#This Row],[Date]],Supply_Data___Hourly_DriverActivity_1_csv__3[#All],8,FALSE)</f>
        <v>18</v>
      </c>
      <c r="P796">
        <f>(Demand_Data___Hourly_OverviewSearch_1_csv[[#This Row],[People saw 0 cars (unique)]]+Demand_Data___Hourly_OverviewSearch_1_csv[[#This Row],[People saw +1 cars (unique)]])</f>
        <v>62</v>
      </c>
      <c r="Q796" s="143">
        <f t="shared" si="51"/>
        <v>22</v>
      </c>
    </row>
    <row r="797" spans="1:17" x14ac:dyDescent="0.3">
      <c r="A797" t="s">
        <v>804</v>
      </c>
      <c r="B797" t="str">
        <f t="shared" si="48"/>
        <v xml:space="preserve"> 19</v>
      </c>
      <c r="C797">
        <f t="shared" si="49"/>
        <v>2</v>
      </c>
      <c r="D797" t="str">
        <f t="shared" si="50"/>
        <v xml:space="preserve">2016-11-15 </v>
      </c>
      <c r="E797" t="str">
        <f>TEXT(Demand_Data___Hourly_OverviewSearch_1_csv[[#This Row],[Day]],"dddd")</f>
        <v>Monday</v>
      </c>
      <c r="F797">
        <v>17</v>
      </c>
      <c r="G797">
        <v>75</v>
      </c>
      <c r="H797">
        <v>82</v>
      </c>
      <c r="I797">
        <f>VLOOKUP(Demand_Data___Hourly_OverviewSearch_1_csv[[#This Row],[Date]],Supply_Data___Hourly_DriverActivity_1_csv__3[#All],2,FALSE)</f>
        <v>85</v>
      </c>
      <c r="J797">
        <f>VLOOKUP(Demand_Data___Hourly_OverviewSearch_1_csv[[#This Row],[Date]],Supply_Data___Hourly_DriverActivity_1_csv__3[#All],3,FALSE)</f>
        <v>31</v>
      </c>
      <c r="K797">
        <f>VLOOKUP(Demand_Data___Hourly_OverviewSearch_1_csv[[#This Row],[Date]],Supply_Data___Hourly_DriverActivity_1_csv__3[#All],4,FALSE)</f>
        <v>14</v>
      </c>
      <c r="L797">
        <f>VLOOKUP(Demand_Data___Hourly_OverviewSearch_1_csv[[#This Row],[Date]],Supply_Data___Hourly_DriverActivity_1_csv__3[#All],5,FALSE)</f>
        <v>17</v>
      </c>
      <c r="M797">
        <f>VLOOKUP(Demand_Data___Hourly_OverviewSearch_1_csv[[#This Row],[Date]],Supply_Data___Hourly_DriverActivity_1_csv__3[#All],6,FALSE)</f>
        <v>0.4</v>
      </c>
      <c r="N797">
        <f>VLOOKUP(Demand_Data___Hourly_OverviewSearch_1_csv[[#This Row],[Date]],Supply_Data___Hourly_DriverActivity_1_csv__3[#All],7,FALSE)</f>
        <v>1</v>
      </c>
      <c r="O797">
        <f>VLOOKUP(Demand_Data___Hourly_OverviewSearch_1_csv[[#This Row],[Date]],Supply_Data___Hourly_DriverActivity_1_csv__3[#All],8,FALSE)</f>
        <v>31</v>
      </c>
      <c r="P797">
        <f>(Demand_Data___Hourly_OverviewSearch_1_csv[[#This Row],[People saw 0 cars (unique)]]+Demand_Data___Hourly_OverviewSearch_1_csv[[#This Row],[People saw +1 cars (unique)]])</f>
        <v>92</v>
      </c>
      <c r="Q797" s="143">
        <f t="shared" si="51"/>
        <v>17</v>
      </c>
    </row>
    <row r="798" spans="1:17" x14ac:dyDescent="0.3">
      <c r="A798" t="s">
        <v>805</v>
      </c>
      <c r="B798" t="str">
        <f t="shared" si="48"/>
        <v xml:space="preserve"> 18</v>
      </c>
      <c r="C798">
        <f t="shared" si="49"/>
        <v>2</v>
      </c>
      <c r="D798" t="str">
        <f t="shared" si="50"/>
        <v xml:space="preserve">2016-11-15 </v>
      </c>
      <c r="E798" t="str">
        <f>TEXT(Demand_Data___Hourly_OverviewSearch_1_csv[[#This Row],[Day]],"dddd")</f>
        <v>Monday</v>
      </c>
      <c r="F798">
        <v>13</v>
      </c>
      <c r="G798">
        <v>60</v>
      </c>
      <c r="H798">
        <v>82</v>
      </c>
      <c r="I798">
        <f>VLOOKUP(Demand_Data___Hourly_OverviewSearch_1_csv[[#This Row],[Date]],Supply_Data___Hourly_DriverActivity_1_csv__3[#All],2,FALSE)</f>
        <v>78</v>
      </c>
      <c r="J798">
        <f>VLOOKUP(Demand_Data___Hourly_OverviewSearch_1_csv[[#This Row],[Date]],Supply_Data___Hourly_DriverActivity_1_csv__3[#All],3,FALSE)</f>
        <v>29</v>
      </c>
      <c r="K798">
        <f>VLOOKUP(Demand_Data___Hourly_OverviewSearch_1_csv[[#This Row],[Date]],Supply_Data___Hourly_DriverActivity_1_csv__3[#All],4,FALSE)</f>
        <v>13</v>
      </c>
      <c r="L798">
        <f>VLOOKUP(Demand_Data___Hourly_OverviewSearch_1_csv[[#This Row],[Date]],Supply_Data___Hourly_DriverActivity_1_csv__3[#All],5,FALSE)</f>
        <v>16</v>
      </c>
      <c r="M798">
        <f>VLOOKUP(Demand_Data___Hourly_OverviewSearch_1_csv[[#This Row],[Date]],Supply_Data___Hourly_DriverActivity_1_csv__3[#All],6,FALSE)</f>
        <v>0.4</v>
      </c>
      <c r="N798">
        <f>VLOOKUP(Demand_Data___Hourly_OverviewSearch_1_csv[[#This Row],[Date]],Supply_Data___Hourly_DriverActivity_1_csv__3[#All],7,FALSE)</f>
        <v>0.93</v>
      </c>
      <c r="O798">
        <f>VLOOKUP(Demand_Data___Hourly_OverviewSearch_1_csv[[#This Row],[Date]],Supply_Data___Hourly_DriverActivity_1_csv__3[#All],8,FALSE)</f>
        <v>27</v>
      </c>
      <c r="P798">
        <f>(Demand_Data___Hourly_OverviewSearch_1_csv[[#This Row],[People saw 0 cars (unique)]]+Demand_Data___Hourly_OverviewSearch_1_csv[[#This Row],[People saw +1 cars (unique)]])</f>
        <v>73</v>
      </c>
      <c r="Q798" s="143">
        <f t="shared" si="51"/>
        <v>16</v>
      </c>
    </row>
    <row r="799" spans="1:17" x14ac:dyDescent="0.3">
      <c r="A799" t="s">
        <v>806</v>
      </c>
      <c r="B799" t="str">
        <f t="shared" si="48"/>
        <v xml:space="preserve"> 17</v>
      </c>
      <c r="C799">
        <f t="shared" si="49"/>
        <v>2</v>
      </c>
      <c r="D799" t="str">
        <f t="shared" si="50"/>
        <v xml:space="preserve">2016-11-15 </v>
      </c>
      <c r="E799" t="str">
        <f>TEXT(Demand_Data___Hourly_OverviewSearch_1_csv[[#This Row],[Day]],"dddd")</f>
        <v>Monday</v>
      </c>
      <c r="F799">
        <v>15</v>
      </c>
      <c r="G799">
        <v>50</v>
      </c>
      <c r="H799">
        <v>77</v>
      </c>
      <c r="I799">
        <f>VLOOKUP(Demand_Data___Hourly_OverviewSearch_1_csv[[#This Row],[Date]],Supply_Data___Hourly_DriverActivity_1_csv__3[#All],2,FALSE)</f>
        <v>83</v>
      </c>
      <c r="J799">
        <f>VLOOKUP(Demand_Data___Hourly_OverviewSearch_1_csv[[#This Row],[Date]],Supply_Data___Hourly_DriverActivity_1_csv__3[#All],3,FALSE)</f>
        <v>23</v>
      </c>
      <c r="K799">
        <f>VLOOKUP(Demand_Data___Hourly_OverviewSearch_1_csv[[#This Row],[Date]],Supply_Data___Hourly_DriverActivity_1_csv__3[#All],4,FALSE)</f>
        <v>8</v>
      </c>
      <c r="L799">
        <f>VLOOKUP(Demand_Data___Hourly_OverviewSearch_1_csv[[#This Row],[Date]],Supply_Data___Hourly_DriverActivity_1_csv__3[#All],5,FALSE)</f>
        <v>15</v>
      </c>
      <c r="M799">
        <f>VLOOKUP(Demand_Data___Hourly_OverviewSearch_1_csv[[#This Row],[Date]],Supply_Data___Hourly_DriverActivity_1_csv__3[#All],6,FALSE)</f>
        <v>0.3</v>
      </c>
      <c r="N799">
        <f>VLOOKUP(Demand_Data___Hourly_OverviewSearch_1_csv[[#This Row],[Date]],Supply_Data___Hourly_DriverActivity_1_csv__3[#All],7,FALSE)</f>
        <v>0.65</v>
      </c>
      <c r="O799">
        <f>VLOOKUP(Demand_Data___Hourly_OverviewSearch_1_csv[[#This Row],[Date]],Supply_Data___Hourly_DriverActivity_1_csv__3[#All],8,FALSE)</f>
        <v>15</v>
      </c>
      <c r="P799">
        <f>(Demand_Data___Hourly_OverviewSearch_1_csv[[#This Row],[People saw 0 cars (unique)]]+Demand_Data___Hourly_OverviewSearch_1_csv[[#This Row],[People saw +1 cars (unique)]])</f>
        <v>65</v>
      </c>
      <c r="Q799" s="143">
        <f t="shared" si="51"/>
        <v>15</v>
      </c>
    </row>
    <row r="800" spans="1:17" x14ac:dyDescent="0.3">
      <c r="A800" t="s">
        <v>807</v>
      </c>
      <c r="B800" t="str">
        <f t="shared" si="48"/>
        <v xml:space="preserve"> 16</v>
      </c>
      <c r="C800">
        <f t="shared" si="49"/>
        <v>2</v>
      </c>
      <c r="D800" t="str">
        <f t="shared" si="50"/>
        <v xml:space="preserve">2016-11-15 </v>
      </c>
      <c r="E800" t="str">
        <f>TEXT(Demand_Data___Hourly_OverviewSearch_1_csv[[#This Row],[Day]],"dddd")</f>
        <v>Monday</v>
      </c>
      <c r="F800">
        <v>6</v>
      </c>
      <c r="G800">
        <v>37</v>
      </c>
      <c r="H800">
        <v>86</v>
      </c>
      <c r="I800">
        <f>VLOOKUP(Demand_Data___Hourly_OverviewSearch_1_csv[[#This Row],[Date]],Supply_Data___Hourly_DriverActivity_1_csv__3[#All],2,FALSE)</f>
        <v>80</v>
      </c>
      <c r="J800">
        <f>VLOOKUP(Demand_Data___Hourly_OverviewSearch_1_csv[[#This Row],[Date]],Supply_Data___Hourly_DriverActivity_1_csv__3[#All],3,FALSE)</f>
        <v>25</v>
      </c>
      <c r="K800">
        <f>VLOOKUP(Demand_Data___Hourly_OverviewSearch_1_csv[[#This Row],[Date]],Supply_Data___Hourly_DriverActivity_1_csv__3[#All],4,FALSE)</f>
        <v>3</v>
      </c>
      <c r="L800">
        <f>VLOOKUP(Demand_Data___Hourly_OverviewSearch_1_csv[[#This Row],[Date]],Supply_Data___Hourly_DriverActivity_1_csv__3[#All],5,FALSE)</f>
        <v>23</v>
      </c>
      <c r="M800">
        <f>VLOOKUP(Demand_Data___Hourly_OverviewSearch_1_csv[[#This Row],[Date]],Supply_Data___Hourly_DriverActivity_1_csv__3[#All],6,FALSE)</f>
        <v>0.3</v>
      </c>
      <c r="N800">
        <f>VLOOKUP(Demand_Data___Hourly_OverviewSearch_1_csv[[#This Row],[Date]],Supply_Data___Hourly_DriverActivity_1_csv__3[#All],7,FALSE)</f>
        <v>0.32</v>
      </c>
      <c r="O800">
        <f>VLOOKUP(Demand_Data___Hourly_OverviewSearch_1_csv[[#This Row],[Date]],Supply_Data___Hourly_DriverActivity_1_csv__3[#All],8,FALSE)</f>
        <v>8</v>
      </c>
      <c r="P800">
        <f>(Demand_Data___Hourly_OverviewSearch_1_csv[[#This Row],[People saw 0 cars (unique)]]+Demand_Data___Hourly_OverviewSearch_1_csv[[#This Row],[People saw +1 cars (unique)]])</f>
        <v>43</v>
      </c>
      <c r="Q800" s="143">
        <f t="shared" si="51"/>
        <v>22</v>
      </c>
    </row>
    <row r="801" spans="1:17" x14ac:dyDescent="0.3">
      <c r="A801" t="s">
        <v>808</v>
      </c>
      <c r="B801" t="str">
        <f t="shared" si="48"/>
        <v xml:space="preserve"> 15</v>
      </c>
      <c r="C801">
        <f t="shared" si="49"/>
        <v>2</v>
      </c>
      <c r="D801" t="str">
        <f t="shared" si="50"/>
        <v xml:space="preserve">2016-11-15 </v>
      </c>
      <c r="E801" t="str">
        <f>TEXT(Demand_Data___Hourly_OverviewSearch_1_csv[[#This Row],[Day]],"dddd")</f>
        <v>Monday</v>
      </c>
      <c r="F801">
        <v>5</v>
      </c>
      <c r="G801">
        <v>16</v>
      </c>
      <c r="H801">
        <v>76</v>
      </c>
      <c r="I801">
        <f>VLOOKUP(Demand_Data___Hourly_OverviewSearch_1_csv[[#This Row],[Date]],Supply_Data___Hourly_DriverActivity_1_csv__3[#All],2,FALSE)</f>
        <v>76</v>
      </c>
      <c r="J801">
        <f>VLOOKUP(Demand_Data___Hourly_OverviewSearch_1_csv[[#This Row],[Date]],Supply_Data___Hourly_DriverActivity_1_csv__3[#All],3,FALSE)</f>
        <v>20</v>
      </c>
      <c r="K801">
        <f>VLOOKUP(Demand_Data___Hourly_OverviewSearch_1_csv[[#This Row],[Date]],Supply_Data___Hourly_DriverActivity_1_csv__3[#All],4,FALSE)</f>
        <v>1</v>
      </c>
      <c r="L801">
        <f>VLOOKUP(Demand_Data___Hourly_OverviewSearch_1_csv[[#This Row],[Date]],Supply_Data___Hourly_DriverActivity_1_csv__3[#All],5,FALSE)</f>
        <v>19</v>
      </c>
      <c r="M801">
        <f>VLOOKUP(Demand_Data___Hourly_OverviewSearch_1_csv[[#This Row],[Date]],Supply_Data___Hourly_DriverActivity_1_csv__3[#All],6,FALSE)</f>
        <v>0.3</v>
      </c>
      <c r="N801">
        <f>VLOOKUP(Demand_Data___Hourly_OverviewSearch_1_csv[[#This Row],[Date]],Supply_Data___Hourly_DriverActivity_1_csv__3[#All],7,FALSE)</f>
        <v>0.2</v>
      </c>
      <c r="O801">
        <f>VLOOKUP(Demand_Data___Hourly_OverviewSearch_1_csv[[#This Row],[Date]],Supply_Data___Hourly_DriverActivity_1_csv__3[#All],8,FALSE)</f>
        <v>4</v>
      </c>
      <c r="P801">
        <f>(Demand_Data___Hourly_OverviewSearch_1_csv[[#This Row],[People saw 0 cars (unique)]]+Demand_Data___Hourly_OverviewSearch_1_csv[[#This Row],[People saw +1 cars (unique)]])</f>
        <v>21</v>
      </c>
      <c r="Q801" s="143">
        <f t="shared" si="51"/>
        <v>19</v>
      </c>
    </row>
    <row r="802" spans="1:17" x14ac:dyDescent="0.3">
      <c r="A802" t="s">
        <v>809</v>
      </c>
      <c r="B802" t="str">
        <f t="shared" si="48"/>
        <v xml:space="preserve"> 14</v>
      </c>
      <c r="C802">
        <f t="shared" si="49"/>
        <v>2</v>
      </c>
      <c r="D802" t="str">
        <f t="shared" si="50"/>
        <v xml:space="preserve">2016-11-15 </v>
      </c>
      <c r="E802" t="str">
        <f>TEXT(Demand_Data___Hourly_OverviewSearch_1_csv[[#This Row],[Day]],"dddd")</f>
        <v>Monday</v>
      </c>
      <c r="F802">
        <v>5</v>
      </c>
      <c r="G802">
        <v>21</v>
      </c>
      <c r="H802">
        <v>81</v>
      </c>
      <c r="I802">
        <f>VLOOKUP(Demand_Data___Hourly_OverviewSearch_1_csv[[#This Row],[Date]],Supply_Data___Hourly_DriverActivity_1_csv__3[#All],2,FALSE)</f>
        <v>66</v>
      </c>
      <c r="J802">
        <f>VLOOKUP(Demand_Data___Hourly_OverviewSearch_1_csv[[#This Row],[Date]],Supply_Data___Hourly_DriverActivity_1_csv__3[#All],3,FALSE)</f>
        <v>19</v>
      </c>
      <c r="K802">
        <f>VLOOKUP(Demand_Data___Hourly_OverviewSearch_1_csv[[#This Row],[Date]],Supply_Data___Hourly_DriverActivity_1_csv__3[#All],4,FALSE)</f>
        <v>3</v>
      </c>
      <c r="L802">
        <f>VLOOKUP(Demand_Data___Hourly_OverviewSearch_1_csv[[#This Row],[Date]],Supply_Data___Hourly_DriverActivity_1_csv__3[#All],5,FALSE)</f>
        <v>16</v>
      </c>
      <c r="M802">
        <f>VLOOKUP(Demand_Data___Hourly_OverviewSearch_1_csv[[#This Row],[Date]],Supply_Data___Hourly_DriverActivity_1_csv__3[#All],6,FALSE)</f>
        <v>0.3</v>
      </c>
      <c r="N802">
        <f>VLOOKUP(Demand_Data___Hourly_OverviewSearch_1_csv[[#This Row],[Date]],Supply_Data___Hourly_DriverActivity_1_csv__3[#All],7,FALSE)</f>
        <v>0.21</v>
      </c>
      <c r="O802">
        <f>VLOOKUP(Demand_Data___Hourly_OverviewSearch_1_csv[[#This Row],[Date]],Supply_Data___Hourly_DriverActivity_1_csv__3[#All],8,FALSE)</f>
        <v>4</v>
      </c>
      <c r="P802">
        <f>(Demand_Data___Hourly_OverviewSearch_1_csv[[#This Row],[People saw 0 cars (unique)]]+Demand_Data___Hourly_OverviewSearch_1_csv[[#This Row],[People saw +1 cars (unique)]])</f>
        <v>26</v>
      </c>
      <c r="Q802" s="143">
        <f t="shared" si="51"/>
        <v>16</v>
      </c>
    </row>
    <row r="803" spans="1:17" x14ac:dyDescent="0.3">
      <c r="A803" t="s">
        <v>810</v>
      </c>
      <c r="B803" t="str">
        <f t="shared" si="48"/>
        <v xml:space="preserve"> 13</v>
      </c>
      <c r="C803">
        <f t="shared" si="49"/>
        <v>2</v>
      </c>
      <c r="D803" t="str">
        <f t="shared" si="50"/>
        <v xml:space="preserve">2016-11-15 </v>
      </c>
      <c r="E803" t="str">
        <f>TEXT(Demand_Data___Hourly_OverviewSearch_1_csv[[#This Row],[Day]],"dddd")</f>
        <v>Monday</v>
      </c>
      <c r="F803">
        <v>3</v>
      </c>
      <c r="G803">
        <v>22</v>
      </c>
      <c r="H803">
        <v>88</v>
      </c>
      <c r="I803">
        <f>VLOOKUP(Demand_Data___Hourly_OverviewSearch_1_csv[[#This Row],[Date]],Supply_Data___Hourly_DriverActivity_1_csv__3[#All],2,FALSE)</f>
        <v>61</v>
      </c>
      <c r="J803">
        <f>VLOOKUP(Demand_Data___Hourly_OverviewSearch_1_csv[[#This Row],[Date]],Supply_Data___Hourly_DriverActivity_1_csv__3[#All],3,FALSE)</f>
        <v>22</v>
      </c>
      <c r="K803">
        <f>VLOOKUP(Demand_Data___Hourly_OverviewSearch_1_csv[[#This Row],[Date]],Supply_Data___Hourly_DriverActivity_1_csv__3[#All],4,FALSE)</f>
        <v>3</v>
      </c>
      <c r="L803">
        <f>VLOOKUP(Demand_Data___Hourly_OverviewSearch_1_csv[[#This Row],[Date]],Supply_Data___Hourly_DriverActivity_1_csv__3[#All],5,FALSE)</f>
        <v>20</v>
      </c>
      <c r="M803">
        <f>VLOOKUP(Demand_Data___Hourly_OverviewSearch_1_csv[[#This Row],[Date]],Supply_Data___Hourly_DriverActivity_1_csv__3[#All],6,FALSE)</f>
        <v>0.4</v>
      </c>
      <c r="N803">
        <f>VLOOKUP(Demand_Data___Hourly_OverviewSearch_1_csv[[#This Row],[Date]],Supply_Data___Hourly_DriverActivity_1_csv__3[#All],7,FALSE)</f>
        <v>0.27</v>
      </c>
      <c r="O803">
        <f>VLOOKUP(Demand_Data___Hourly_OverviewSearch_1_csv[[#This Row],[Date]],Supply_Data___Hourly_DriverActivity_1_csv__3[#All],8,FALSE)</f>
        <v>6</v>
      </c>
      <c r="P803">
        <f>(Demand_Data___Hourly_OverviewSearch_1_csv[[#This Row],[People saw 0 cars (unique)]]+Demand_Data___Hourly_OverviewSearch_1_csv[[#This Row],[People saw +1 cars (unique)]])</f>
        <v>25</v>
      </c>
      <c r="Q803" s="143">
        <f t="shared" si="51"/>
        <v>19</v>
      </c>
    </row>
    <row r="804" spans="1:17" x14ac:dyDescent="0.3">
      <c r="A804" t="s">
        <v>811</v>
      </c>
      <c r="B804" t="str">
        <f t="shared" si="48"/>
        <v xml:space="preserve"> 12</v>
      </c>
      <c r="C804">
        <f t="shared" si="49"/>
        <v>2</v>
      </c>
      <c r="D804" t="str">
        <f t="shared" si="50"/>
        <v xml:space="preserve">2016-11-15 </v>
      </c>
      <c r="E804" t="str">
        <f>TEXT(Demand_Data___Hourly_OverviewSearch_1_csv[[#This Row],[Day]],"dddd")</f>
        <v>Monday</v>
      </c>
      <c r="F804">
        <v>7</v>
      </c>
      <c r="G804">
        <v>34</v>
      </c>
      <c r="H804">
        <v>83</v>
      </c>
      <c r="I804">
        <f>VLOOKUP(Demand_Data___Hourly_OverviewSearch_1_csv[[#This Row],[Date]],Supply_Data___Hourly_DriverActivity_1_csv__3[#All],2,FALSE)</f>
        <v>63</v>
      </c>
      <c r="J804">
        <f>VLOOKUP(Demand_Data___Hourly_OverviewSearch_1_csv[[#This Row],[Date]],Supply_Data___Hourly_DriverActivity_1_csv__3[#All],3,FALSE)</f>
        <v>19</v>
      </c>
      <c r="K804">
        <f>VLOOKUP(Demand_Data___Hourly_OverviewSearch_1_csv[[#This Row],[Date]],Supply_Data___Hourly_DriverActivity_1_csv__3[#All],4,FALSE)</f>
        <v>3</v>
      </c>
      <c r="L804">
        <f>VLOOKUP(Demand_Data___Hourly_OverviewSearch_1_csv[[#This Row],[Date]],Supply_Data___Hourly_DriverActivity_1_csv__3[#All],5,FALSE)</f>
        <v>15</v>
      </c>
      <c r="M804">
        <f>VLOOKUP(Demand_Data___Hourly_OverviewSearch_1_csv[[#This Row],[Date]],Supply_Data___Hourly_DriverActivity_1_csv__3[#All],6,FALSE)</f>
        <v>0.3</v>
      </c>
      <c r="N804">
        <f>VLOOKUP(Demand_Data___Hourly_OverviewSearch_1_csv[[#This Row],[Date]],Supply_Data___Hourly_DriverActivity_1_csv__3[#All],7,FALSE)</f>
        <v>0.42</v>
      </c>
      <c r="O804">
        <f>VLOOKUP(Demand_Data___Hourly_OverviewSearch_1_csv[[#This Row],[Date]],Supply_Data___Hourly_DriverActivity_1_csv__3[#All],8,FALSE)</f>
        <v>8</v>
      </c>
      <c r="P804">
        <f>(Demand_Data___Hourly_OverviewSearch_1_csv[[#This Row],[People saw 0 cars (unique)]]+Demand_Data___Hourly_OverviewSearch_1_csv[[#This Row],[People saw +1 cars (unique)]])</f>
        <v>41</v>
      </c>
      <c r="Q804" s="143">
        <f t="shared" si="51"/>
        <v>16</v>
      </c>
    </row>
    <row r="805" spans="1:17" x14ac:dyDescent="0.3">
      <c r="A805" t="s">
        <v>812</v>
      </c>
      <c r="B805" t="str">
        <f t="shared" si="48"/>
        <v xml:space="preserve"> 11</v>
      </c>
      <c r="C805">
        <f t="shared" si="49"/>
        <v>2</v>
      </c>
      <c r="D805" t="str">
        <f t="shared" si="50"/>
        <v xml:space="preserve">2016-11-15 </v>
      </c>
      <c r="E805" t="str">
        <f>TEXT(Demand_Data___Hourly_OverviewSearch_1_csv[[#This Row],[Day]],"dddd")</f>
        <v>Monday</v>
      </c>
      <c r="F805">
        <v>2</v>
      </c>
      <c r="G805">
        <v>24</v>
      </c>
      <c r="H805">
        <v>92</v>
      </c>
      <c r="I805">
        <f>VLOOKUP(Demand_Data___Hourly_OverviewSearch_1_csv[[#This Row],[Date]],Supply_Data___Hourly_DriverActivity_1_csv__3[#All],2,FALSE)</f>
        <v>67</v>
      </c>
      <c r="J805">
        <f>VLOOKUP(Demand_Data___Hourly_OverviewSearch_1_csv[[#This Row],[Date]],Supply_Data___Hourly_DriverActivity_1_csv__3[#All],3,FALSE)</f>
        <v>22</v>
      </c>
      <c r="K805">
        <f>VLOOKUP(Demand_Data___Hourly_OverviewSearch_1_csv[[#This Row],[Date]],Supply_Data___Hourly_DriverActivity_1_csv__3[#All],4,FALSE)</f>
        <v>3</v>
      </c>
      <c r="L805">
        <f>VLOOKUP(Demand_Data___Hourly_OverviewSearch_1_csv[[#This Row],[Date]],Supply_Data___Hourly_DriverActivity_1_csv__3[#All],5,FALSE)</f>
        <v>19</v>
      </c>
      <c r="M805">
        <f>VLOOKUP(Demand_Data___Hourly_OverviewSearch_1_csv[[#This Row],[Date]],Supply_Data___Hourly_DriverActivity_1_csv__3[#All],6,FALSE)</f>
        <v>0.3</v>
      </c>
      <c r="N805">
        <f>VLOOKUP(Demand_Data___Hourly_OverviewSearch_1_csv[[#This Row],[Date]],Supply_Data___Hourly_DriverActivity_1_csv__3[#All],7,FALSE)</f>
        <v>0.32</v>
      </c>
      <c r="O805">
        <f>VLOOKUP(Demand_Data___Hourly_OverviewSearch_1_csv[[#This Row],[Date]],Supply_Data___Hourly_DriverActivity_1_csv__3[#All],8,FALSE)</f>
        <v>7</v>
      </c>
      <c r="P805">
        <f>(Demand_Data___Hourly_OverviewSearch_1_csv[[#This Row],[People saw 0 cars (unique)]]+Demand_Data___Hourly_OverviewSearch_1_csv[[#This Row],[People saw +1 cars (unique)]])</f>
        <v>26</v>
      </c>
      <c r="Q805" s="143">
        <f t="shared" si="51"/>
        <v>19</v>
      </c>
    </row>
    <row r="806" spans="1:17" x14ac:dyDescent="0.3">
      <c r="A806" t="s">
        <v>813</v>
      </c>
      <c r="B806" t="str">
        <f t="shared" si="48"/>
        <v xml:space="preserve"> 10</v>
      </c>
      <c r="C806">
        <f t="shared" si="49"/>
        <v>2</v>
      </c>
      <c r="D806" t="str">
        <f t="shared" si="50"/>
        <v xml:space="preserve">2016-11-15 </v>
      </c>
      <c r="E806" t="str">
        <f>TEXT(Demand_Data___Hourly_OverviewSearch_1_csv[[#This Row],[Day]],"dddd")</f>
        <v>Monday</v>
      </c>
      <c r="F806">
        <v>13</v>
      </c>
      <c r="G806">
        <v>34</v>
      </c>
      <c r="H806">
        <v>72</v>
      </c>
      <c r="I806">
        <f>VLOOKUP(Demand_Data___Hourly_OverviewSearch_1_csv[[#This Row],[Date]],Supply_Data___Hourly_DriverActivity_1_csv__3[#All],2,FALSE)</f>
        <v>66</v>
      </c>
      <c r="J806">
        <f>VLOOKUP(Demand_Data___Hourly_OverviewSearch_1_csv[[#This Row],[Date]],Supply_Data___Hourly_DriverActivity_1_csv__3[#All],3,FALSE)</f>
        <v>27</v>
      </c>
      <c r="K806">
        <f>VLOOKUP(Demand_Data___Hourly_OverviewSearch_1_csv[[#This Row],[Date]],Supply_Data___Hourly_DriverActivity_1_csv__3[#All],4,FALSE)</f>
        <v>8</v>
      </c>
      <c r="L806">
        <f>VLOOKUP(Demand_Data___Hourly_OverviewSearch_1_csv[[#This Row],[Date]],Supply_Data___Hourly_DriverActivity_1_csv__3[#All],5,FALSE)</f>
        <v>19</v>
      </c>
      <c r="M806">
        <f>VLOOKUP(Demand_Data___Hourly_OverviewSearch_1_csv[[#This Row],[Date]],Supply_Data___Hourly_DriverActivity_1_csv__3[#All],6,FALSE)</f>
        <v>0.4</v>
      </c>
      <c r="N806">
        <f>VLOOKUP(Demand_Data___Hourly_OverviewSearch_1_csv[[#This Row],[Date]],Supply_Data___Hourly_DriverActivity_1_csv__3[#All],7,FALSE)</f>
        <v>0.44</v>
      </c>
      <c r="O806">
        <f>VLOOKUP(Demand_Data___Hourly_OverviewSearch_1_csv[[#This Row],[Date]],Supply_Data___Hourly_DriverActivity_1_csv__3[#All],8,FALSE)</f>
        <v>12</v>
      </c>
      <c r="P806">
        <f>(Demand_Data___Hourly_OverviewSearch_1_csv[[#This Row],[People saw 0 cars (unique)]]+Demand_Data___Hourly_OverviewSearch_1_csv[[#This Row],[People saw +1 cars (unique)]])</f>
        <v>47</v>
      </c>
      <c r="Q806" s="143">
        <f t="shared" si="51"/>
        <v>19</v>
      </c>
    </row>
    <row r="807" spans="1:17" x14ac:dyDescent="0.3">
      <c r="A807" t="s">
        <v>814</v>
      </c>
      <c r="B807" t="str">
        <f t="shared" si="48"/>
        <v xml:space="preserve"> 09</v>
      </c>
      <c r="C807">
        <f t="shared" si="49"/>
        <v>2</v>
      </c>
      <c r="D807" t="str">
        <f t="shared" si="50"/>
        <v xml:space="preserve">2016-11-15 </v>
      </c>
      <c r="E807" t="str">
        <f>TEXT(Demand_Data___Hourly_OverviewSearch_1_csv[[#This Row],[Day]],"dddd")</f>
        <v>Monday</v>
      </c>
      <c r="F807">
        <v>41</v>
      </c>
      <c r="G807">
        <v>52</v>
      </c>
      <c r="H807">
        <v>56</v>
      </c>
      <c r="I807">
        <f>VLOOKUP(Demand_Data___Hourly_OverviewSearch_1_csv[[#This Row],[Date]],Supply_Data___Hourly_DriverActivity_1_csv__3[#All],2,FALSE)</f>
        <v>59</v>
      </c>
      <c r="J807">
        <f>VLOOKUP(Demand_Data___Hourly_OverviewSearch_1_csv[[#This Row],[Date]],Supply_Data___Hourly_DriverActivity_1_csv__3[#All],3,FALSE)</f>
        <v>24</v>
      </c>
      <c r="K807">
        <f>VLOOKUP(Demand_Data___Hourly_OverviewSearch_1_csv[[#This Row],[Date]],Supply_Data___Hourly_DriverActivity_1_csv__3[#All],4,FALSE)</f>
        <v>15</v>
      </c>
      <c r="L807">
        <f>VLOOKUP(Demand_Data___Hourly_OverviewSearch_1_csv[[#This Row],[Date]],Supply_Data___Hourly_DriverActivity_1_csv__3[#All],5,FALSE)</f>
        <v>9</v>
      </c>
      <c r="M807">
        <f>VLOOKUP(Demand_Data___Hourly_OverviewSearch_1_csv[[#This Row],[Date]],Supply_Data___Hourly_DriverActivity_1_csv__3[#All],6,FALSE)</f>
        <v>0.4</v>
      </c>
      <c r="N807">
        <f>VLOOKUP(Demand_Data___Hourly_OverviewSearch_1_csv[[#This Row],[Date]],Supply_Data___Hourly_DriverActivity_1_csv__3[#All],7,FALSE)</f>
        <v>1.21</v>
      </c>
      <c r="O807">
        <f>VLOOKUP(Demand_Data___Hourly_OverviewSearch_1_csv[[#This Row],[Date]],Supply_Data___Hourly_DriverActivity_1_csv__3[#All],8,FALSE)</f>
        <v>29</v>
      </c>
      <c r="P807">
        <f>(Demand_Data___Hourly_OverviewSearch_1_csv[[#This Row],[People saw 0 cars (unique)]]+Demand_Data___Hourly_OverviewSearch_1_csv[[#This Row],[People saw +1 cars (unique)]])</f>
        <v>93</v>
      </c>
      <c r="Q807" s="143">
        <f t="shared" si="51"/>
        <v>9</v>
      </c>
    </row>
    <row r="808" spans="1:17" x14ac:dyDescent="0.3">
      <c r="A808" t="s">
        <v>815</v>
      </c>
      <c r="B808" t="str">
        <f t="shared" si="48"/>
        <v xml:space="preserve"> 08</v>
      </c>
      <c r="C808">
        <f t="shared" si="49"/>
        <v>2</v>
      </c>
      <c r="D808" t="str">
        <f t="shared" si="50"/>
        <v xml:space="preserve">2016-11-15 </v>
      </c>
      <c r="E808" t="str">
        <f>TEXT(Demand_Data___Hourly_OverviewSearch_1_csv[[#This Row],[Day]],"dddd")</f>
        <v>Monday</v>
      </c>
      <c r="F808">
        <v>58</v>
      </c>
      <c r="G808">
        <v>35</v>
      </c>
      <c r="H808">
        <v>38</v>
      </c>
      <c r="I808">
        <f>VLOOKUP(Demand_Data___Hourly_OverviewSearch_1_csv[[#This Row],[Date]],Supply_Data___Hourly_DriverActivity_1_csv__3[#All],2,FALSE)</f>
        <v>44</v>
      </c>
      <c r="J808">
        <f>VLOOKUP(Demand_Data___Hourly_OverviewSearch_1_csv[[#This Row],[Date]],Supply_Data___Hourly_DriverActivity_1_csv__3[#All],3,FALSE)</f>
        <v>14</v>
      </c>
      <c r="K808">
        <f>VLOOKUP(Demand_Data___Hourly_OverviewSearch_1_csv[[#This Row],[Date]],Supply_Data___Hourly_DriverActivity_1_csv__3[#All],4,FALSE)</f>
        <v>8</v>
      </c>
      <c r="L808">
        <f>VLOOKUP(Demand_Data___Hourly_OverviewSearch_1_csv[[#This Row],[Date]],Supply_Data___Hourly_DriverActivity_1_csv__3[#All],5,FALSE)</f>
        <v>7</v>
      </c>
      <c r="M808">
        <f>VLOOKUP(Demand_Data___Hourly_OverviewSearch_1_csv[[#This Row],[Date]],Supply_Data___Hourly_DriverActivity_1_csv__3[#All],6,FALSE)</f>
        <v>0.3</v>
      </c>
      <c r="N808">
        <f>VLOOKUP(Demand_Data___Hourly_OverviewSearch_1_csv[[#This Row],[Date]],Supply_Data___Hourly_DriverActivity_1_csv__3[#All],7,FALSE)</f>
        <v>1.07</v>
      </c>
      <c r="O808">
        <f>VLOOKUP(Demand_Data___Hourly_OverviewSearch_1_csv[[#This Row],[Date]],Supply_Data___Hourly_DriverActivity_1_csv__3[#All],8,FALSE)</f>
        <v>15</v>
      </c>
      <c r="P808">
        <f>(Demand_Data___Hourly_OverviewSearch_1_csv[[#This Row],[People saw 0 cars (unique)]]+Demand_Data___Hourly_OverviewSearch_1_csv[[#This Row],[People saw +1 cars (unique)]])</f>
        <v>93</v>
      </c>
      <c r="Q808" s="143">
        <f t="shared" si="51"/>
        <v>6</v>
      </c>
    </row>
    <row r="809" spans="1:17" x14ac:dyDescent="0.3">
      <c r="A809" t="s">
        <v>816</v>
      </c>
      <c r="B809" t="str">
        <f t="shared" si="48"/>
        <v xml:space="preserve"> 07</v>
      </c>
      <c r="C809">
        <f t="shared" si="49"/>
        <v>2</v>
      </c>
      <c r="D809" t="str">
        <f t="shared" si="50"/>
        <v xml:space="preserve">2016-11-15 </v>
      </c>
      <c r="E809" t="str">
        <f>TEXT(Demand_Data___Hourly_OverviewSearch_1_csv[[#This Row],[Day]],"dddd")</f>
        <v>Monday</v>
      </c>
      <c r="F809">
        <v>27</v>
      </c>
      <c r="G809">
        <v>14</v>
      </c>
      <c r="H809">
        <v>34</v>
      </c>
      <c r="I809">
        <f>VLOOKUP(Demand_Data___Hourly_OverviewSearch_1_csv[[#This Row],[Date]],Supply_Data___Hourly_DriverActivity_1_csv__3[#All],2,FALSE)</f>
        <v>32</v>
      </c>
      <c r="J809">
        <f>VLOOKUP(Demand_Data___Hourly_OverviewSearch_1_csv[[#This Row],[Date]],Supply_Data___Hourly_DriverActivity_1_csv__3[#All],3,FALSE)</f>
        <v>10</v>
      </c>
      <c r="K809">
        <f>VLOOKUP(Demand_Data___Hourly_OverviewSearch_1_csv[[#This Row],[Date]],Supply_Data___Hourly_DriverActivity_1_csv__3[#All],4,FALSE)</f>
        <v>3</v>
      </c>
      <c r="L809">
        <f>VLOOKUP(Demand_Data___Hourly_OverviewSearch_1_csv[[#This Row],[Date]],Supply_Data___Hourly_DriverActivity_1_csv__3[#All],5,FALSE)</f>
        <v>7</v>
      </c>
      <c r="M809">
        <f>VLOOKUP(Demand_Data___Hourly_OverviewSearch_1_csv[[#This Row],[Date]],Supply_Data___Hourly_DriverActivity_1_csv__3[#All],6,FALSE)</f>
        <v>0.3</v>
      </c>
      <c r="N809">
        <f>VLOOKUP(Demand_Data___Hourly_OverviewSearch_1_csv[[#This Row],[Date]],Supply_Data___Hourly_DriverActivity_1_csv__3[#All],7,FALSE)</f>
        <v>0.6</v>
      </c>
      <c r="O809">
        <f>VLOOKUP(Demand_Data___Hourly_OverviewSearch_1_csv[[#This Row],[Date]],Supply_Data___Hourly_DriverActivity_1_csv__3[#All],8,FALSE)</f>
        <v>6</v>
      </c>
      <c r="P809">
        <f>(Demand_Data___Hourly_OverviewSearch_1_csv[[#This Row],[People saw 0 cars (unique)]]+Demand_Data___Hourly_OverviewSearch_1_csv[[#This Row],[People saw +1 cars (unique)]])</f>
        <v>41</v>
      </c>
      <c r="Q809" s="143">
        <f t="shared" si="51"/>
        <v>7</v>
      </c>
    </row>
    <row r="810" spans="1:17" x14ac:dyDescent="0.3">
      <c r="A810" t="s">
        <v>817</v>
      </c>
      <c r="B810" t="str">
        <f t="shared" si="48"/>
        <v xml:space="preserve"> 06</v>
      </c>
      <c r="C810">
        <f t="shared" si="49"/>
        <v>2</v>
      </c>
      <c r="D810" t="str">
        <f t="shared" si="50"/>
        <v xml:space="preserve">2016-11-15 </v>
      </c>
      <c r="E810" t="str">
        <f>TEXT(Demand_Data___Hourly_OverviewSearch_1_csv[[#This Row],[Day]],"dddd")</f>
        <v>Monday</v>
      </c>
      <c r="F810">
        <v>2</v>
      </c>
      <c r="G810">
        <v>4</v>
      </c>
      <c r="H810">
        <v>67</v>
      </c>
      <c r="I810">
        <f>VLOOKUP(Demand_Data___Hourly_OverviewSearch_1_csv[[#This Row],[Date]],Supply_Data___Hourly_DriverActivity_1_csv__3[#All],2,FALSE)</f>
        <v>25</v>
      </c>
      <c r="J810">
        <f>VLOOKUP(Demand_Data___Hourly_OverviewSearch_1_csv[[#This Row],[Date]],Supply_Data___Hourly_DriverActivity_1_csv__3[#All],3,FALSE)</f>
        <v>11</v>
      </c>
      <c r="K810">
        <f>VLOOKUP(Demand_Data___Hourly_OverviewSearch_1_csv[[#This Row],[Date]],Supply_Data___Hourly_DriverActivity_1_csv__3[#All],4,FALSE)</f>
        <v>1</v>
      </c>
      <c r="L810">
        <f>VLOOKUP(Demand_Data___Hourly_OverviewSearch_1_csv[[#This Row],[Date]],Supply_Data___Hourly_DriverActivity_1_csv__3[#All],5,FALSE)</f>
        <v>11</v>
      </c>
      <c r="M810">
        <f>VLOOKUP(Demand_Data___Hourly_OverviewSearch_1_csv[[#This Row],[Date]],Supply_Data___Hourly_DriverActivity_1_csv__3[#All],6,FALSE)</f>
        <v>0.4</v>
      </c>
      <c r="N810">
        <f>VLOOKUP(Demand_Data___Hourly_OverviewSearch_1_csv[[#This Row],[Date]],Supply_Data___Hourly_DriverActivity_1_csv__3[#All],7,FALSE)</f>
        <v>0.36</v>
      </c>
      <c r="O810">
        <f>VLOOKUP(Demand_Data___Hourly_OverviewSearch_1_csv[[#This Row],[Date]],Supply_Data___Hourly_DriverActivity_1_csv__3[#All],8,FALSE)</f>
        <v>4</v>
      </c>
      <c r="P810">
        <f>(Demand_Data___Hourly_OverviewSearch_1_csv[[#This Row],[People saw 0 cars (unique)]]+Demand_Data___Hourly_OverviewSearch_1_csv[[#This Row],[People saw +1 cars (unique)]])</f>
        <v>6</v>
      </c>
      <c r="Q810" s="143">
        <f t="shared" si="51"/>
        <v>10</v>
      </c>
    </row>
    <row r="811" spans="1:17" x14ac:dyDescent="0.3">
      <c r="A811" t="s">
        <v>818</v>
      </c>
      <c r="B811" t="str">
        <f t="shared" si="48"/>
        <v xml:space="preserve"> 05</v>
      </c>
      <c r="C811">
        <f t="shared" si="49"/>
        <v>2</v>
      </c>
      <c r="D811" t="str">
        <f t="shared" si="50"/>
        <v xml:space="preserve">2016-11-15 </v>
      </c>
      <c r="E811" t="str">
        <f>TEXT(Demand_Data___Hourly_OverviewSearch_1_csv[[#This Row],[Day]],"dddd")</f>
        <v>Monday</v>
      </c>
      <c r="F811">
        <v>2</v>
      </c>
      <c r="G811">
        <v>1</v>
      </c>
      <c r="H811">
        <v>33</v>
      </c>
      <c r="I811">
        <f>VLOOKUP(Demand_Data___Hourly_OverviewSearch_1_csv[[#This Row],[Date]],Supply_Data___Hourly_DriverActivity_1_csv__3[#All],2,FALSE)</f>
        <v>23</v>
      </c>
      <c r="J811">
        <f>VLOOKUP(Demand_Data___Hourly_OverviewSearch_1_csv[[#This Row],[Date]],Supply_Data___Hourly_DriverActivity_1_csv__3[#All],3,FALSE)</f>
        <v>10</v>
      </c>
      <c r="K811">
        <f>VLOOKUP(Demand_Data___Hourly_OverviewSearch_1_csv[[#This Row],[Date]],Supply_Data___Hourly_DriverActivity_1_csv__3[#All],4,FALSE)</f>
        <v>0</v>
      </c>
      <c r="L811">
        <f>VLOOKUP(Demand_Data___Hourly_OverviewSearch_1_csv[[#This Row],[Date]],Supply_Data___Hourly_DriverActivity_1_csv__3[#All],5,FALSE)</f>
        <v>10</v>
      </c>
      <c r="M811">
        <f>VLOOKUP(Demand_Data___Hourly_OverviewSearch_1_csv[[#This Row],[Date]],Supply_Data___Hourly_DriverActivity_1_csv__3[#All],6,FALSE)</f>
        <v>0.4</v>
      </c>
      <c r="N811">
        <f>VLOOKUP(Demand_Data___Hourly_OverviewSearch_1_csv[[#This Row],[Date]],Supply_Data___Hourly_DriverActivity_1_csv__3[#All],7,FALSE)</f>
        <v>0</v>
      </c>
      <c r="O811">
        <f>VLOOKUP(Demand_Data___Hourly_OverviewSearch_1_csv[[#This Row],[Date]],Supply_Data___Hourly_DriverActivity_1_csv__3[#All],8,FALSE)</f>
        <v>0</v>
      </c>
      <c r="P811">
        <f>(Demand_Data___Hourly_OverviewSearch_1_csv[[#This Row],[People saw 0 cars (unique)]]+Demand_Data___Hourly_OverviewSearch_1_csv[[#This Row],[People saw +1 cars (unique)]])</f>
        <v>3</v>
      </c>
      <c r="Q811" s="143">
        <f t="shared" si="51"/>
        <v>10</v>
      </c>
    </row>
    <row r="812" spans="1:17" x14ac:dyDescent="0.3">
      <c r="A812" t="s">
        <v>819</v>
      </c>
      <c r="B812" t="str">
        <f t="shared" si="48"/>
        <v xml:space="preserve"> 04</v>
      </c>
      <c r="C812">
        <f t="shared" si="49"/>
        <v>2</v>
      </c>
      <c r="D812" t="str">
        <f t="shared" si="50"/>
        <v xml:space="preserve">2016-11-15 </v>
      </c>
      <c r="E812" t="str">
        <f>TEXT(Demand_Data___Hourly_OverviewSearch_1_csv[[#This Row],[Day]],"dddd")</f>
        <v>Monday</v>
      </c>
      <c r="F812">
        <v>1</v>
      </c>
      <c r="G812">
        <v>1</v>
      </c>
      <c r="H812">
        <v>50</v>
      </c>
      <c r="I812">
        <f>VLOOKUP(Demand_Data___Hourly_OverviewSearch_1_csv[[#This Row],[Date]],Supply_Data___Hourly_DriverActivity_1_csv__3[#All],2,FALSE)</f>
        <v>22</v>
      </c>
      <c r="J812">
        <f>VLOOKUP(Demand_Data___Hourly_OverviewSearch_1_csv[[#This Row],[Date]],Supply_Data___Hourly_DriverActivity_1_csv__3[#All],3,FALSE)</f>
        <v>10</v>
      </c>
      <c r="K812">
        <f>VLOOKUP(Demand_Data___Hourly_OverviewSearch_1_csv[[#This Row],[Date]],Supply_Data___Hourly_DriverActivity_1_csv__3[#All],4,FALSE)</f>
        <v>0</v>
      </c>
      <c r="L812">
        <f>VLOOKUP(Demand_Data___Hourly_OverviewSearch_1_csv[[#This Row],[Date]],Supply_Data___Hourly_DriverActivity_1_csv__3[#All],5,FALSE)</f>
        <v>10</v>
      </c>
      <c r="M812">
        <f>VLOOKUP(Demand_Data___Hourly_OverviewSearch_1_csv[[#This Row],[Date]],Supply_Data___Hourly_DriverActivity_1_csv__3[#All],6,FALSE)</f>
        <v>0.5</v>
      </c>
      <c r="N812">
        <f>VLOOKUP(Demand_Data___Hourly_OverviewSearch_1_csv[[#This Row],[Date]],Supply_Data___Hourly_DriverActivity_1_csv__3[#All],7,FALSE)</f>
        <v>0</v>
      </c>
      <c r="O812">
        <f>VLOOKUP(Demand_Data___Hourly_OverviewSearch_1_csv[[#This Row],[Date]],Supply_Data___Hourly_DriverActivity_1_csv__3[#All],8,FALSE)</f>
        <v>0</v>
      </c>
      <c r="P812">
        <f>(Demand_Data___Hourly_OverviewSearch_1_csv[[#This Row],[People saw 0 cars (unique)]]+Demand_Data___Hourly_OverviewSearch_1_csv[[#This Row],[People saw +1 cars (unique)]])</f>
        <v>2</v>
      </c>
      <c r="Q812" s="143">
        <f t="shared" si="51"/>
        <v>10</v>
      </c>
    </row>
    <row r="813" spans="1:17" x14ac:dyDescent="0.3">
      <c r="A813" t="s">
        <v>820</v>
      </c>
      <c r="B813" t="str">
        <f t="shared" si="48"/>
        <v xml:space="preserve"> 03</v>
      </c>
      <c r="C813">
        <f t="shared" si="49"/>
        <v>2</v>
      </c>
      <c r="D813" t="str">
        <f t="shared" si="50"/>
        <v xml:space="preserve">2016-11-15 </v>
      </c>
      <c r="E813" t="str">
        <f>TEXT(Demand_Data___Hourly_OverviewSearch_1_csv[[#This Row],[Day]],"dddd")</f>
        <v>Monday</v>
      </c>
      <c r="F813">
        <v>1</v>
      </c>
      <c r="G813">
        <v>2</v>
      </c>
      <c r="H813">
        <v>67</v>
      </c>
      <c r="I813">
        <f>VLOOKUP(Demand_Data___Hourly_OverviewSearch_1_csv[[#This Row],[Date]],Supply_Data___Hourly_DriverActivity_1_csv__3[#All],2,FALSE)</f>
        <v>25</v>
      </c>
      <c r="J813">
        <f>VLOOKUP(Demand_Data___Hourly_OverviewSearch_1_csv[[#This Row],[Date]],Supply_Data___Hourly_DriverActivity_1_csv__3[#All],3,FALSE)</f>
        <v>12</v>
      </c>
      <c r="K813">
        <f>VLOOKUP(Demand_Data___Hourly_OverviewSearch_1_csv[[#This Row],[Date]],Supply_Data___Hourly_DriverActivity_1_csv__3[#All],4,FALSE)</f>
        <v>0</v>
      </c>
      <c r="L813">
        <f>VLOOKUP(Demand_Data___Hourly_OverviewSearch_1_csv[[#This Row],[Date]],Supply_Data___Hourly_DriverActivity_1_csv__3[#All],5,FALSE)</f>
        <v>12</v>
      </c>
      <c r="M813">
        <f>VLOOKUP(Demand_Data___Hourly_OverviewSearch_1_csv[[#This Row],[Date]],Supply_Data___Hourly_DriverActivity_1_csv__3[#All],6,FALSE)</f>
        <v>0.5</v>
      </c>
      <c r="N813">
        <f>VLOOKUP(Demand_Data___Hourly_OverviewSearch_1_csv[[#This Row],[Date]],Supply_Data___Hourly_DriverActivity_1_csv__3[#All],7,FALSE)</f>
        <v>0</v>
      </c>
      <c r="O813">
        <f>VLOOKUP(Demand_Data___Hourly_OverviewSearch_1_csv[[#This Row],[Date]],Supply_Data___Hourly_DriverActivity_1_csv__3[#All],8,FALSE)</f>
        <v>0</v>
      </c>
      <c r="P813">
        <f>(Demand_Data___Hourly_OverviewSearch_1_csv[[#This Row],[People saw 0 cars (unique)]]+Demand_Data___Hourly_OverviewSearch_1_csv[[#This Row],[People saw +1 cars (unique)]])</f>
        <v>3</v>
      </c>
      <c r="Q813" s="143">
        <f t="shared" si="51"/>
        <v>12</v>
      </c>
    </row>
    <row r="814" spans="1:17" x14ac:dyDescent="0.3">
      <c r="A814" t="s">
        <v>821</v>
      </c>
      <c r="B814" t="str">
        <f t="shared" si="48"/>
        <v xml:space="preserve"> 02</v>
      </c>
      <c r="C814">
        <f t="shared" si="49"/>
        <v>2</v>
      </c>
      <c r="D814" t="str">
        <f t="shared" si="50"/>
        <v xml:space="preserve">2016-11-15 </v>
      </c>
      <c r="E814" t="str">
        <f>TEXT(Demand_Data___Hourly_OverviewSearch_1_csv[[#This Row],[Day]],"dddd")</f>
        <v>Monday</v>
      </c>
      <c r="F814">
        <v>0</v>
      </c>
      <c r="G814">
        <v>5</v>
      </c>
      <c r="H814">
        <v>100</v>
      </c>
      <c r="I814">
        <f>VLOOKUP(Demand_Data___Hourly_OverviewSearch_1_csv[[#This Row],[Date]],Supply_Data___Hourly_DriverActivity_1_csv__3[#All],2,FALSE)</f>
        <v>26</v>
      </c>
      <c r="J814">
        <f>VLOOKUP(Demand_Data___Hourly_OverviewSearch_1_csv[[#This Row],[Date]],Supply_Data___Hourly_DriverActivity_1_csv__3[#All],3,FALSE)</f>
        <v>14</v>
      </c>
      <c r="K814">
        <f>VLOOKUP(Demand_Data___Hourly_OverviewSearch_1_csv[[#This Row],[Date]],Supply_Data___Hourly_DriverActivity_1_csv__3[#All],4,FALSE)</f>
        <v>1</v>
      </c>
      <c r="L814">
        <f>VLOOKUP(Demand_Data___Hourly_OverviewSearch_1_csv[[#This Row],[Date]],Supply_Data___Hourly_DriverActivity_1_csv__3[#All],5,FALSE)</f>
        <v>14</v>
      </c>
      <c r="M814">
        <f>VLOOKUP(Demand_Data___Hourly_OverviewSearch_1_csv[[#This Row],[Date]],Supply_Data___Hourly_DriverActivity_1_csv__3[#All],6,FALSE)</f>
        <v>0.5</v>
      </c>
      <c r="N814">
        <f>VLOOKUP(Demand_Data___Hourly_OverviewSearch_1_csv[[#This Row],[Date]],Supply_Data___Hourly_DriverActivity_1_csv__3[#All],7,FALSE)</f>
        <v>0.14000000000000001</v>
      </c>
      <c r="O814">
        <f>VLOOKUP(Demand_Data___Hourly_OverviewSearch_1_csv[[#This Row],[Date]],Supply_Data___Hourly_DriverActivity_1_csv__3[#All],8,FALSE)</f>
        <v>2</v>
      </c>
      <c r="P814">
        <f>(Demand_Data___Hourly_OverviewSearch_1_csv[[#This Row],[People saw 0 cars (unique)]]+Demand_Data___Hourly_OverviewSearch_1_csv[[#This Row],[People saw +1 cars (unique)]])</f>
        <v>5</v>
      </c>
      <c r="Q814" s="143">
        <f t="shared" si="51"/>
        <v>13</v>
      </c>
    </row>
    <row r="815" spans="1:17" x14ac:dyDescent="0.3">
      <c r="A815" t="s">
        <v>822</v>
      </c>
      <c r="B815" t="str">
        <f t="shared" si="48"/>
        <v xml:space="preserve"> 01</v>
      </c>
      <c r="C815">
        <f t="shared" si="49"/>
        <v>2</v>
      </c>
      <c r="D815" t="str">
        <f t="shared" si="50"/>
        <v xml:space="preserve">2016-11-15 </v>
      </c>
      <c r="E815" t="str">
        <f>TEXT(Demand_Data___Hourly_OverviewSearch_1_csv[[#This Row],[Day]],"dddd")</f>
        <v>Monday</v>
      </c>
      <c r="F815">
        <v>1</v>
      </c>
      <c r="G815">
        <v>4</v>
      </c>
      <c r="H815">
        <v>80</v>
      </c>
      <c r="I815">
        <f>VLOOKUP(Demand_Data___Hourly_OverviewSearch_1_csv[[#This Row],[Date]],Supply_Data___Hourly_DriverActivity_1_csv__3[#All],2,FALSE)</f>
        <v>39</v>
      </c>
      <c r="J815">
        <f>VLOOKUP(Demand_Data___Hourly_OverviewSearch_1_csv[[#This Row],[Date]],Supply_Data___Hourly_DriverActivity_1_csv__3[#All],3,FALSE)</f>
        <v>15</v>
      </c>
      <c r="K815">
        <f>VLOOKUP(Demand_Data___Hourly_OverviewSearch_1_csv[[#This Row],[Date]],Supply_Data___Hourly_DriverActivity_1_csv__3[#All],4,FALSE)</f>
        <v>0</v>
      </c>
      <c r="L815">
        <f>VLOOKUP(Demand_Data___Hourly_OverviewSearch_1_csv[[#This Row],[Date]],Supply_Data___Hourly_DriverActivity_1_csv__3[#All],5,FALSE)</f>
        <v>15</v>
      </c>
      <c r="M815">
        <f>VLOOKUP(Demand_Data___Hourly_OverviewSearch_1_csv[[#This Row],[Date]],Supply_Data___Hourly_DriverActivity_1_csv__3[#All],6,FALSE)</f>
        <v>0.4</v>
      </c>
      <c r="N815">
        <f>VLOOKUP(Demand_Data___Hourly_OverviewSearch_1_csv[[#This Row],[Date]],Supply_Data___Hourly_DriverActivity_1_csv__3[#All],7,FALSE)</f>
        <v>7.0000000000000007E-2</v>
      </c>
      <c r="O815">
        <f>VLOOKUP(Demand_Data___Hourly_OverviewSearch_1_csv[[#This Row],[Date]],Supply_Data___Hourly_DriverActivity_1_csv__3[#All],8,FALSE)</f>
        <v>1</v>
      </c>
      <c r="P815">
        <f>(Demand_Data___Hourly_OverviewSearch_1_csv[[#This Row],[People saw 0 cars (unique)]]+Demand_Data___Hourly_OverviewSearch_1_csv[[#This Row],[People saw +1 cars (unique)]])</f>
        <v>5</v>
      </c>
      <c r="Q815" s="143">
        <f t="shared" si="51"/>
        <v>15</v>
      </c>
    </row>
    <row r="816" spans="1:17" x14ac:dyDescent="0.3">
      <c r="A816" t="s">
        <v>823</v>
      </c>
      <c r="B816" t="str">
        <f t="shared" si="48"/>
        <v xml:space="preserve"> 00</v>
      </c>
      <c r="C816">
        <f t="shared" si="49"/>
        <v>2</v>
      </c>
      <c r="D816" t="str">
        <f t="shared" si="50"/>
        <v xml:space="preserve">2016-11-15 </v>
      </c>
      <c r="E816" t="str">
        <f>TEXT(Demand_Data___Hourly_OverviewSearch_1_csv[[#This Row],[Day]],"dddd")</f>
        <v>Monday</v>
      </c>
      <c r="F816">
        <v>4</v>
      </c>
      <c r="G816">
        <v>23</v>
      </c>
      <c r="H816">
        <v>85</v>
      </c>
      <c r="I816">
        <f>VLOOKUP(Demand_Data___Hourly_OverviewSearch_1_csv[[#This Row],[Date]],Supply_Data___Hourly_DriverActivity_1_csv__3[#All],2,FALSE)</f>
        <v>46</v>
      </c>
      <c r="J816">
        <f>VLOOKUP(Demand_Data___Hourly_OverviewSearch_1_csv[[#This Row],[Date]],Supply_Data___Hourly_DriverActivity_1_csv__3[#All],3,FALSE)</f>
        <v>21</v>
      </c>
      <c r="K816">
        <f>VLOOKUP(Demand_Data___Hourly_OverviewSearch_1_csv[[#This Row],[Date]],Supply_Data___Hourly_DriverActivity_1_csv__3[#All],4,FALSE)</f>
        <v>4</v>
      </c>
      <c r="L816">
        <f>VLOOKUP(Demand_Data___Hourly_OverviewSearch_1_csv[[#This Row],[Date]],Supply_Data___Hourly_DriverActivity_1_csv__3[#All],5,FALSE)</f>
        <v>17</v>
      </c>
      <c r="M816">
        <f>VLOOKUP(Demand_Data___Hourly_OverviewSearch_1_csv[[#This Row],[Date]],Supply_Data___Hourly_DriverActivity_1_csv__3[#All],6,FALSE)</f>
        <v>0.5</v>
      </c>
      <c r="N816">
        <f>VLOOKUP(Demand_Data___Hourly_OverviewSearch_1_csv[[#This Row],[Date]],Supply_Data___Hourly_DriverActivity_1_csv__3[#All],7,FALSE)</f>
        <v>0.43</v>
      </c>
      <c r="O816">
        <f>VLOOKUP(Demand_Data___Hourly_OverviewSearch_1_csv[[#This Row],[Date]],Supply_Data___Hourly_DriverActivity_1_csv__3[#All],8,FALSE)</f>
        <v>9</v>
      </c>
      <c r="P816">
        <f>(Demand_Data___Hourly_OverviewSearch_1_csv[[#This Row],[People saw 0 cars (unique)]]+Demand_Data___Hourly_OverviewSearch_1_csv[[#This Row],[People saw +1 cars (unique)]])</f>
        <v>27</v>
      </c>
      <c r="Q816" s="143">
        <f t="shared" si="51"/>
        <v>17</v>
      </c>
    </row>
    <row r="817" spans="1:17" x14ac:dyDescent="0.3">
      <c r="A817" t="s">
        <v>824</v>
      </c>
      <c r="B817" t="str">
        <f t="shared" si="48"/>
        <v xml:space="preserve"> 23</v>
      </c>
      <c r="C817">
        <f t="shared" si="49"/>
        <v>1</v>
      </c>
      <c r="D817" t="str">
        <f t="shared" si="50"/>
        <v xml:space="preserve">2016-11-14 </v>
      </c>
      <c r="E817" t="str">
        <f>TEXT(Demand_Data___Hourly_OverviewSearch_1_csv[[#This Row],[Day]],"dddd")</f>
        <v>Sunday</v>
      </c>
      <c r="F817">
        <v>10</v>
      </c>
      <c r="G817">
        <v>26</v>
      </c>
      <c r="H817">
        <v>72</v>
      </c>
      <c r="I817">
        <f>VLOOKUP(Demand_Data___Hourly_OverviewSearch_1_csv[[#This Row],[Date]],Supply_Data___Hourly_DriverActivity_1_csv__3[#All],2,FALSE)</f>
        <v>52</v>
      </c>
      <c r="J817">
        <f>VLOOKUP(Demand_Data___Hourly_OverviewSearch_1_csv[[#This Row],[Date]],Supply_Data___Hourly_DriverActivity_1_csv__3[#All],3,FALSE)</f>
        <v>21</v>
      </c>
      <c r="K817">
        <f>VLOOKUP(Demand_Data___Hourly_OverviewSearch_1_csv[[#This Row],[Date]],Supply_Data___Hourly_DriverActivity_1_csv__3[#All],4,FALSE)</f>
        <v>6</v>
      </c>
      <c r="L817">
        <f>VLOOKUP(Demand_Data___Hourly_OverviewSearch_1_csv[[#This Row],[Date]],Supply_Data___Hourly_DriverActivity_1_csv__3[#All],5,FALSE)</f>
        <v>16</v>
      </c>
      <c r="M817">
        <f>VLOOKUP(Demand_Data___Hourly_OverviewSearch_1_csv[[#This Row],[Date]],Supply_Data___Hourly_DriverActivity_1_csv__3[#All],6,FALSE)</f>
        <v>0.4</v>
      </c>
      <c r="N817">
        <f>VLOOKUP(Demand_Data___Hourly_OverviewSearch_1_csv[[#This Row],[Date]],Supply_Data___Hourly_DriverActivity_1_csv__3[#All],7,FALSE)</f>
        <v>0.71</v>
      </c>
      <c r="O817">
        <f>VLOOKUP(Demand_Data___Hourly_OverviewSearch_1_csv[[#This Row],[Date]],Supply_Data___Hourly_DriverActivity_1_csv__3[#All],8,FALSE)</f>
        <v>15</v>
      </c>
      <c r="P817">
        <f>(Demand_Data___Hourly_OverviewSearch_1_csv[[#This Row],[People saw 0 cars (unique)]]+Demand_Data___Hourly_OverviewSearch_1_csv[[#This Row],[People saw +1 cars (unique)]])</f>
        <v>36</v>
      </c>
      <c r="Q817" s="143">
        <f t="shared" si="51"/>
        <v>15</v>
      </c>
    </row>
    <row r="818" spans="1:17" x14ac:dyDescent="0.3">
      <c r="A818" t="s">
        <v>825</v>
      </c>
      <c r="B818" t="str">
        <f t="shared" si="48"/>
        <v xml:space="preserve"> 22</v>
      </c>
      <c r="C818">
        <f t="shared" si="49"/>
        <v>1</v>
      </c>
      <c r="D818" t="str">
        <f t="shared" si="50"/>
        <v xml:space="preserve">2016-11-14 </v>
      </c>
      <c r="E818" t="str">
        <f>TEXT(Demand_Data___Hourly_OverviewSearch_1_csv[[#This Row],[Day]],"dddd")</f>
        <v>Sunday</v>
      </c>
      <c r="F818">
        <v>7</v>
      </c>
      <c r="G818">
        <v>31</v>
      </c>
      <c r="H818">
        <v>82</v>
      </c>
      <c r="I818">
        <f>VLOOKUP(Demand_Data___Hourly_OverviewSearch_1_csv[[#This Row],[Date]],Supply_Data___Hourly_DriverActivity_1_csv__3[#All],2,FALSE)</f>
        <v>65</v>
      </c>
      <c r="J818">
        <f>VLOOKUP(Demand_Data___Hourly_OverviewSearch_1_csv[[#This Row],[Date]],Supply_Data___Hourly_DriverActivity_1_csv__3[#All],3,FALSE)</f>
        <v>27</v>
      </c>
      <c r="K818">
        <f>VLOOKUP(Demand_Data___Hourly_OverviewSearch_1_csv[[#This Row],[Date]],Supply_Data___Hourly_DriverActivity_1_csv__3[#All],4,FALSE)</f>
        <v>5</v>
      </c>
      <c r="L818">
        <f>VLOOKUP(Demand_Data___Hourly_OverviewSearch_1_csv[[#This Row],[Date]],Supply_Data___Hourly_DriverActivity_1_csv__3[#All],5,FALSE)</f>
        <v>22</v>
      </c>
      <c r="M818">
        <f>VLOOKUP(Demand_Data___Hourly_OverviewSearch_1_csv[[#This Row],[Date]],Supply_Data___Hourly_DriverActivity_1_csv__3[#All],6,FALSE)</f>
        <v>0.4</v>
      </c>
      <c r="N818">
        <f>VLOOKUP(Demand_Data___Hourly_OverviewSearch_1_csv[[#This Row],[Date]],Supply_Data___Hourly_DriverActivity_1_csv__3[#All],7,FALSE)</f>
        <v>0.48</v>
      </c>
      <c r="O818">
        <f>VLOOKUP(Demand_Data___Hourly_OverviewSearch_1_csv[[#This Row],[Date]],Supply_Data___Hourly_DriverActivity_1_csv__3[#All],8,FALSE)</f>
        <v>13</v>
      </c>
      <c r="P818">
        <f>(Demand_Data___Hourly_OverviewSearch_1_csv[[#This Row],[People saw 0 cars (unique)]]+Demand_Data___Hourly_OverviewSearch_1_csv[[#This Row],[People saw +1 cars (unique)]])</f>
        <v>38</v>
      </c>
      <c r="Q818" s="143">
        <f t="shared" si="51"/>
        <v>22</v>
      </c>
    </row>
    <row r="819" spans="1:17" x14ac:dyDescent="0.3">
      <c r="A819" t="s">
        <v>826</v>
      </c>
      <c r="B819" t="str">
        <f t="shared" si="48"/>
        <v xml:space="preserve"> 21</v>
      </c>
      <c r="C819">
        <f t="shared" si="49"/>
        <v>1</v>
      </c>
      <c r="D819" t="str">
        <f t="shared" si="50"/>
        <v xml:space="preserve">2016-11-14 </v>
      </c>
      <c r="E819" t="str">
        <f>TEXT(Demand_Data___Hourly_OverviewSearch_1_csv[[#This Row],[Day]],"dddd")</f>
        <v>Sunday</v>
      </c>
      <c r="F819">
        <v>4</v>
      </c>
      <c r="G819">
        <v>38</v>
      </c>
      <c r="H819">
        <v>90</v>
      </c>
      <c r="I819">
        <f>VLOOKUP(Demand_Data___Hourly_OverviewSearch_1_csv[[#This Row],[Date]],Supply_Data___Hourly_DriverActivity_1_csv__3[#All],2,FALSE)</f>
        <v>76</v>
      </c>
      <c r="J819">
        <f>VLOOKUP(Demand_Data___Hourly_OverviewSearch_1_csv[[#This Row],[Date]],Supply_Data___Hourly_DriverActivity_1_csv__3[#All],3,FALSE)</f>
        <v>35</v>
      </c>
      <c r="K819">
        <f>VLOOKUP(Demand_Data___Hourly_OverviewSearch_1_csv[[#This Row],[Date]],Supply_Data___Hourly_DriverActivity_1_csv__3[#All],4,FALSE)</f>
        <v>7</v>
      </c>
      <c r="L819">
        <f>VLOOKUP(Demand_Data___Hourly_OverviewSearch_1_csv[[#This Row],[Date]],Supply_Data___Hourly_DriverActivity_1_csv__3[#All],5,FALSE)</f>
        <v>28</v>
      </c>
      <c r="M819">
        <f>VLOOKUP(Demand_Data___Hourly_OverviewSearch_1_csv[[#This Row],[Date]],Supply_Data___Hourly_DriverActivity_1_csv__3[#All],6,FALSE)</f>
        <v>0.5</v>
      </c>
      <c r="N819">
        <f>VLOOKUP(Demand_Data___Hourly_OverviewSearch_1_csv[[#This Row],[Date]],Supply_Data___Hourly_DriverActivity_1_csv__3[#All],7,FALSE)</f>
        <v>0.56999999999999995</v>
      </c>
      <c r="O819">
        <f>VLOOKUP(Demand_Data___Hourly_OverviewSearch_1_csv[[#This Row],[Date]],Supply_Data___Hourly_DriverActivity_1_csv__3[#All],8,FALSE)</f>
        <v>20</v>
      </c>
      <c r="P819">
        <f>(Demand_Data___Hourly_OverviewSearch_1_csv[[#This Row],[People saw 0 cars (unique)]]+Demand_Data___Hourly_OverviewSearch_1_csv[[#This Row],[People saw +1 cars (unique)]])</f>
        <v>42</v>
      </c>
      <c r="Q819" s="143">
        <f t="shared" si="51"/>
        <v>28</v>
      </c>
    </row>
    <row r="820" spans="1:17" x14ac:dyDescent="0.3">
      <c r="A820" t="s">
        <v>827</v>
      </c>
      <c r="B820" t="str">
        <f t="shared" si="48"/>
        <v xml:space="preserve"> 20</v>
      </c>
      <c r="C820">
        <f t="shared" si="49"/>
        <v>1</v>
      </c>
      <c r="D820" t="str">
        <f t="shared" si="50"/>
        <v xml:space="preserve">2016-11-14 </v>
      </c>
      <c r="E820" t="str">
        <f>TEXT(Demand_Data___Hourly_OverviewSearch_1_csv[[#This Row],[Day]],"dddd")</f>
        <v>Sunday</v>
      </c>
      <c r="F820">
        <v>6</v>
      </c>
      <c r="G820">
        <v>37</v>
      </c>
      <c r="H820">
        <v>86</v>
      </c>
      <c r="I820">
        <f>VLOOKUP(Demand_Data___Hourly_OverviewSearch_1_csv[[#This Row],[Date]],Supply_Data___Hourly_DriverActivity_1_csv__3[#All],2,FALSE)</f>
        <v>85</v>
      </c>
      <c r="J820">
        <f>VLOOKUP(Demand_Data___Hourly_OverviewSearch_1_csv[[#This Row],[Date]],Supply_Data___Hourly_DriverActivity_1_csv__3[#All],3,FALSE)</f>
        <v>31</v>
      </c>
      <c r="K820">
        <f>VLOOKUP(Demand_Data___Hourly_OverviewSearch_1_csv[[#This Row],[Date]],Supply_Data___Hourly_DriverActivity_1_csv__3[#All],4,FALSE)</f>
        <v>7</v>
      </c>
      <c r="L820">
        <f>VLOOKUP(Demand_Data___Hourly_OverviewSearch_1_csv[[#This Row],[Date]],Supply_Data___Hourly_DriverActivity_1_csv__3[#All],5,FALSE)</f>
        <v>24</v>
      </c>
      <c r="M820">
        <f>VLOOKUP(Demand_Data___Hourly_OverviewSearch_1_csv[[#This Row],[Date]],Supply_Data___Hourly_DriverActivity_1_csv__3[#All],6,FALSE)</f>
        <v>0.4</v>
      </c>
      <c r="N820">
        <f>VLOOKUP(Demand_Data___Hourly_OverviewSearch_1_csv[[#This Row],[Date]],Supply_Data___Hourly_DriverActivity_1_csv__3[#All],7,FALSE)</f>
        <v>0.65</v>
      </c>
      <c r="O820">
        <f>VLOOKUP(Demand_Data___Hourly_OverviewSearch_1_csv[[#This Row],[Date]],Supply_Data___Hourly_DriverActivity_1_csv__3[#All],8,FALSE)</f>
        <v>20</v>
      </c>
      <c r="P820">
        <f>(Demand_Data___Hourly_OverviewSearch_1_csv[[#This Row],[People saw 0 cars (unique)]]+Demand_Data___Hourly_OverviewSearch_1_csv[[#This Row],[People saw +1 cars (unique)]])</f>
        <v>43</v>
      </c>
      <c r="Q820" s="143">
        <f t="shared" si="51"/>
        <v>24</v>
      </c>
    </row>
    <row r="821" spans="1:17" x14ac:dyDescent="0.3">
      <c r="A821" t="s">
        <v>828</v>
      </c>
      <c r="B821" t="str">
        <f t="shared" si="48"/>
        <v xml:space="preserve"> 19</v>
      </c>
      <c r="C821">
        <f t="shared" si="49"/>
        <v>1</v>
      </c>
      <c r="D821" t="str">
        <f t="shared" si="50"/>
        <v xml:space="preserve">2016-11-14 </v>
      </c>
      <c r="E821" t="str">
        <f>TEXT(Demand_Data___Hourly_OverviewSearch_1_csv[[#This Row],[Day]],"dddd")</f>
        <v>Sunday</v>
      </c>
      <c r="F821">
        <v>10</v>
      </c>
      <c r="G821">
        <v>54</v>
      </c>
      <c r="H821">
        <v>84</v>
      </c>
      <c r="I821">
        <f>VLOOKUP(Demand_Data___Hourly_OverviewSearch_1_csv[[#This Row],[Date]],Supply_Data___Hourly_DriverActivity_1_csv__3[#All],2,FALSE)</f>
        <v>94</v>
      </c>
      <c r="J821">
        <f>VLOOKUP(Demand_Data___Hourly_OverviewSearch_1_csv[[#This Row],[Date]],Supply_Data___Hourly_DriverActivity_1_csv__3[#All],3,FALSE)</f>
        <v>33</v>
      </c>
      <c r="K821">
        <f>VLOOKUP(Demand_Data___Hourly_OverviewSearch_1_csv[[#This Row],[Date]],Supply_Data___Hourly_DriverActivity_1_csv__3[#All],4,FALSE)</f>
        <v>9</v>
      </c>
      <c r="L821">
        <f>VLOOKUP(Demand_Data___Hourly_OverviewSearch_1_csv[[#This Row],[Date]],Supply_Data___Hourly_DriverActivity_1_csv__3[#All],5,FALSE)</f>
        <v>24</v>
      </c>
      <c r="M821">
        <f>VLOOKUP(Demand_Data___Hourly_OverviewSearch_1_csv[[#This Row],[Date]],Supply_Data___Hourly_DriverActivity_1_csv__3[#All],6,FALSE)</f>
        <v>0.4</v>
      </c>
      <c r="N821">
        <f>VLOOKUP(Demand_Data___Hourly_OverviewSearch_1_csv[[#This Row],[Date]],Supply_Data___Hourly_DriverActivity_1_csv__3[#All],7,FALSE)</f>
        <v>0.48</v>
      </c>
      <c r="O821">
        <f>VLOOKUP(Demand_Data___Hourly_OverviewSearch_1_csv[[#This Row],[Date]],Supply_Data___Hourly_DriverActivity_1_csv__3[#All],8,FALSE)</f>
        <v>16</v>
      </c>
      <c r="P821">
        <f>(Demand_Data___Hourly_OverviewSearch_1_csv[[#This Row],[People saw 0 cars (unique)]]+Demand_Data___Hourly_OverviewSearch_1_csv[[#This Row],[People saw +1 cars (unique)]])</f>
        <v>64</v>
      </c>
      <c r="Q821" s="143">
        <f t="shared" si="51"/>
        <v>24</v>
      </c>
    </row>
    <row r="822" spans="1:17" x14ac:dyDescent="0.3">
      <c r="A822" t="s">
        <v>829</v>
      </c>
      <c r="B822" t="str">
        <f t="shared" si="48"/>
        <v xml:space="preserve"> 18</v>
      </c>
      <c r="C822">
        <f t="shared" si="49"/>
        <v>1</v>
      </c>
      <c r="D822" t="str">
        <f t="shared" si="50"/>
        <v xml:space="preserve">2016-11-14 </v>
      </c>
      <c r="E822" t="str">
        <f>TEXT(Demand_Data___Hourly_OverviewSearch_1_csv[[#This Row],[Day]],"dddd")</f>
        <v>Sunday</v>
      </c>
      <c r="F822">
        <v>11</v>
      </c>
      <c r="G822">
        <v>59</v>
      </c>
      <c r="H822">
        <v>84</v>
      </c>
      <c r="I822">
        <f>VLOOKUP(Demand_Data___Hourly_OverviewSearch_1_csv[[#This Row],[Date]],Supply_Data___Hourly_DriverActivity_1_csv__3[#All],2,FALSE)</f>
        <v>74</v>
      </c>
      <c r="J822">
        <f>VLOOKUP(Demand_Data___Hourly_OverviewSearch_1_csv[[#This Row],[Date]],Supply_Data___Hourly_DriverActivity_1_csv__3[#All],3,FALSE)</f>
        <v>28</v>
      </c>
      <c r="K822">
        <f>VLOOKUP(Demand_Data___Hourly_OverviewSearch_1_csv[[#This Row],[Date]],Supply_Data___Hourly_DriverActivity_1_csv__3[#All],4,FALSE)</f>
        <v>14</v>
      </c>
      <c r="L822">
        <f>VLOOKUP(Demand_Data___Hourly_OverviewSearch_1_csv[[#This Row],[Date]],Supply_Data___Hourly_DriverActivity_1_csv__3[#All],5,FALSE)</f>
        <v>14</v>
      </c>
      <c r="M822">
        <f>VLOOKUP(Demand_Data___Hourly_OverviewSearch_1_csv[[#This Row],[Date]],Supply_Data___Hourly_DriverActivity_1_csv__3[#All],6,FALSE)</f>
        <v>0.4</v>
      </c>
      <c r="N822">
        <f>VLOOKUP(Demand_Data___Hourly_OverviewSearch_1_csv[[#This Row],[Date]],Supply_Data___Hourly_DriverActivity_1_csv__3[#All],7,FALSE)</f>
        <v>0.86</v>
      </c>
      <c r="O822">
        <f>VLOOKUP(Demand_Data___Hourly_OverviewSearch_1_csv[[#This Row],[Date]],Supply_Data___Hourly_DriverActivity_1_csv__3[#All],8,FALSE)</f>
        <v>24</v>
      </c>
      <c r="P822">
        <f>(Demand_Data___Hourly_OverviewSearch_1_csv[[#This Row],[People saw 0 cars (unique)]]+Demand_Data___Hourly_OverviewSearch_1_csv[[#This Row],[People saw +1 cars (unique)]])</f>
        <v>70</v>
      </c>
      <c r="Q822" s="143">
        <f t="shared" si="51"/>
        <v>14</v>
      </c>
    </row>
    <row r="823" spans="1:17" x14ac:dyDescent="0.3">
      <c r="A823" t="s">
        <v>830</v>
      </c>
      <c r="B823" t="str">
        <f t="shared" si="48"/>
        <v xml:space="preserve"> 17</v>
      </c>
      <c r="C823">
        <f t="shared" si="49"/>
        <v>1</v>
      </c>
      <c r="D823" t="str">
        <f t="shared" si="50"/>
        <v xml:space="preserve">2016-11-14 </v>
      </c>
      <c r="E823" t="str">
        <f>TEXT(Demand_Data___Hourly_OverviewSearch_1_csv[[#This Row],[Day]],"dddd")</f>
        <v>Sunday</v>
      </c>
      <c r="F823">
        <v>0</v>
      </c>
      <c r="G823">
        <v>37</v>
      </c>
      <c r="H823">
        <v>100</v>
      </c>
      <c r="I823">
        <f>VLOOKUP(Demand_Data___Hourly_OverviewSearch_1_csv[[#This Row],[Date]],Supply_Data___Hourly_DriverActivity_1_csv__3[#All],2,FALSE)</f>
        <v>71</v>
      </c>
      <c r="J823">
        <f>VLOOKUP(Demand_Data___Hourly_OverviewSearch_1_csv[[#This Row],[Date]],Supply_Data___Hourly_DriverActivity_1_csv__3[#All],3,FALSE)</f>
        <v>31</v>
      </c>
      <c r="K823">
        <f>VLOOKUP(Demand_Data___Hourly_OverviewSearch_1_csv[[#This Row],[Date]],Supply_Data___Hourly_DriverActivity_1_csv__3[#All],4,FALSE)</f>
        <v>7</v>
      </c>
      <c r="L823">
        <f>VLOOKUP(Demand_Data___Hourly_OverviewSearch_1_csv[[#This Row],[Date]],Supply_Data___Hourly_DriverActivity_1_csv__3[#All],5,FALSE)</f>
        <v>25</v>
      </c>
      <c r="M823">
        <f>VLOOKUP(Demand_Data___Hourly_OverviewSearch_1_csv[[#This Row],[Date]],Supply_Data___Hourly_DriverActivity_1_csv__3[#All],6,FALSE)</f>
        <v>0.4</v>
      </c>
      <c r="N823">
        <f>VLOOKUP(Demand_Data___Hourly_OverviewSearch_1_csv[[#This Row],[Date]],Supply_Data___Hourly_DriverActivity_1_csv__3[#All],7,FALSE)</f>
        <v>0.52</v>
      </c>
      <c r="O823">
        <f>VLOOKUP(Demand_Data___Hourly_OverviewSearch_1_csv[[#This Row],[Date]],Supply_Data___Hourly_DriverActivity_1_csv__3[#All],8,FALSE)</f>
        <v>16</v>
      </c>
      <c r="P823">
        <f>(Demand_Data___Hourly_OverviewSearch_1_csv[[#This Row],[People saw 0 cars (unique)]]+Demand_Data___Hourly_OverviewSearch_1_csv[[#This Row],[People saw +1 cars (unique)]])</f>
        <v>37</v>
      </c>
      <c r="Q823" s="143">
        <f t="shared" si="51"/>
        <v>24</v>
      </c>
    </row>
    <row r="824" spans="1:17" x14ac:dyDescent="0.3">
      <c r="A824" t="s">
        <v>831</v>
      </c>
      <c r="B824" t="str">
        <f t="shared" si="48"/>
        <v xml:space="preserve"> 16</v>
      </c>
      <c r="C824">
        <f t="shared" si="49"/>
        <v>1</v>
      </c>
      <c r="D824" t="str">
        <f t="shared" si="50"/>
        <v xml:space="preserve">2016-11-14 </v>
      </c>
      <c r="E824" t="str">
        <f>TEXT(Demand_Data___Hourly_OverviewSearch_1_csv[[#This Row],[Day]],"dddd")</f>
        <v>Sunday</v>
      </c>
      <c r="F824">
        <v>5</v>
      </c>
      <c r="G824">
        <v>28</v>
      </c>
      <c r="H824">
        <v>85</v>
      </c>
      <c r="I824">
        <f>VLOOKUP(Demand_Data___Hourly_OverviewSearch_1_csv[[#This Row],[Date]],Supply_Data___Hourly_DriverActivity_1_csv__3[#All],2,FALSE)</f>
        <v>65</v>
      </c>
      <c r="J824">
        <f>VLOOKUP(Demand_Data___Hourly_OverviewSearch_1_csv[[#This Row],[Date]],Supply_Data___Hourly_DriverActivity_1_csv__3[#All],3,FALSE)</f>
        <v>21</v>
      </c>
      <c r="K824">
        <f>VLOOKUP(Demand_Data___Hourly_OverviewSearch_1_csv[[#This Row],[Date]],Supply_Data___Hourly_DriverActivity_1_csv__3[#All],4,FALSE)</f>
        <v>3</v>
      </c>
      <c r="L824">
        <f>VLOOKUP(Demand_Data___Hourly_OverviewSearch_1_csv[[#This Row],[Date]],Supply_Data___Hourly_DriverActivity_1_csv__3[#All],5,FALSE)</f>
        <v>18</v>
      </c>
      <c r="M824">
        <f>VLOOKUP(Demand_Data___Hourly_OverviewSearch_1_csv[[#This Row],[Date]],Supply_Data___Hourly_DriverActivity_1_csv__3[#All],6,FALSE)</f>
        <v>0.3</v>
      </c>
      <c r="N824">
        <f>VLOOKUP(Demand_Data___Hourly_OverviewSearch_1_csv[[#This Row],[Date]],Supply_Data___Hourly_DriverActivity_1_csv__3[#All],7,FALSE)</f>
        <v>0.43</v>
      </c>
      <c r="O824">
        <f>VLOOKUP(Demand_Data___Hourly_OverviewSearch_1_csv[[#This Row],[Date]],Supply_Data___Hourly_DriverActivity_1_csv__3[#All],8,FALSE)</f>
        <v>9</v>
      </c>
      <c r="P824">
        <f>(Demand_Data___Hourly_OverviewSearch_1_csv[[#This Row],[People saw 0 cars (unique)]]+Demand_Data___Hourly_OverviewSearch_1_csv[[#This Row],[People saw +1 cars (unique)]])</f>
        <v>33</v>
      </c>
      <c r="Q824" s="143">
        <f t="shared" si="51"/>
        <v>18</v>
      </c>
    </row>
    <row r="825" spans="1:17" x14ac:dyDescent="0.3">
      <c r="A825" t="s">
        <v>832</v>
      </c>
      <c r="B825" t="str">
        <f t="shared" si="48"/>
        <v xml:space="preserve"> 15</v>
      </c>
      <c r="C825">
        <f t="shared" si="49"/>
        <v>1</v>
      </c>
      <c r="D825" t="str">
        <f t="shared" si="50"/>
        <v xml:space="preserve">2016-11-14 </v>
      </c>
      <c r="E825" t="str">
        <f>TEXT(Demand_Data___Hourly_OverviewSearch_1_csv[[#This Row],[Day]],"dddd")</f>
        <v>Sunday</v>
      </c>
      <c r="F825">
        <v>2</v>
      </c>
      <c r="G825">
        <v>23</v>
      </c>
      <c r="H825">
        <v>92</v>
      </c>
      <c r="I825">
        <f>VLOOKUP(Demand_Data___Hourly_OverviewSearch_1_csv[[#This Row],[Date]],Supply_Data___Hourly_DriverActivity_1_csv__3[#All],2,FALSE)</f>
        <v>68</v>
      </c>
      <c r="J825">
        <f>VLOOKUP(Demand_Data___Hourly_OverviewSearch_1_csv[[#This Row],[Date]],Supply_Data___Hourly_DriverActivity_1_csv__3[#All],3,FALSE)</f>
        <v>27</v>
      </c>
      <c r="K825">
        <f>VLOOKUP(Demand_Data___Hourly_OverviewSearch_1_csv[[#This Row],[Date]],Supply_Data___Hourly_DriverActivity_1_csv__3[#All],4,FALSE)</f>
        <v>2</v>
      </c>
      <c r="L825">
        <f>VLOOKUP(Demand_Data___Hourly_OverviewSearch_1_csv[[#This Row],[Date]],Supply_Data___Hourly_DriverActivity_1_csv__3[#All],5,FALSE)</f>
        <v>24</v>
      </c>
      <c r="M825">
        <f>VLOOKUP(Demand_Data___Hourly_OverviewSearch_1_csv[[#This Row],[Date]],Supply_Data___Hourly_DriverActivity_1_csv__3[#All],6,FALSE)</f>
        <v>0.4</v>
      </c>
      <c r="N825">
        <f>VLOOKUP(Demand_Data___Hourly_OverviewSearch_1_csv[[#This Row],[Date]],Supply_Data___Hourly_DriverActivity_1_csv__3[#All],7,FALSE)</f>
        <v>0.11</v>
      </c>
      <c r="O825">
        <f>VLOOKUP(Demand_Data___Hourly_OverviewSearch_1_csv[[#This Row],[Date]],Supply_Data___Hourly_DriverActivity_1_csv__3[#All],8,FALSE)</f>
        <v>3</v>
      </c>
      <c r="P825">
        <f>(Demand_Data___Hourly_OverviewSearch_1_csv[[#This Row],[People saw 0 cars (unique)]]+Demand_Data___Hourly_OverviewSearch_1_csv[[#This Row],[People saw +1 cars (unique)]])</f>
        <v>25</v>
      </c>
      <c r="Q825" s="143">
        <f t="shared" si="51"/>
        <v>25</v>
      </c>
    </row>
    <row r="826" spans="1:17" x14ac:dyDescent="0.3">
      <c r="A826" t="s">
        <v>833</v>
      </c>
      <c r="B826" t="str">
        <f t="shared" si="48"/>
        <v xml:space="preserve"> 14</v>
      </c>
      <c r="C826">
        <f t="shared" si="49"/>
        <v>1</v>
      </c>
      <c r="D826" t="str">
        <f t="shared" si="50"/>
        <v xml:space="preserve">2016-11-14 </v>
      </c>
      <c r="E826" t="str">
        <f>TEXT(Demand_Data___Hourly_OverviewSearch_1_csv[[#This Row],[Day]],"dddd")</f>
        <v>Sunday</v>
      </c>
      <c r="F826">
        <v>7</v>
      </c>
      <c r="G826">
        <v>21</v>
      </c>
      <c r="H826">
        <v>75</v>
      </c>
      <c r="I826">
        <f>VLOOKUP(Demand_Data___Hourly_OverviewSearch_1_csv[[#This Row],[Date]],Supply_Data___Hourly_DriverActivity_1_csv__3[#All],2,FALSE)</f>
        <v>68</v>
      </c>
      <c r="J826">
        <f>VLOOKUP(Demand_Data___Hourly_OverviewSearch_1_csv[[#This Row],[Date]],Supply_Data___Hourly_DriverActivity_1_csv__3[#All],3,FALSE)</f>
        <v>25</v>
      </c>
      <c r="K826">
        <f>VLOOKUP(Demand_Data___Hourly_OverviewSearch_1_csv[[#This Row],[Date]],Supply_Data___Hourly_DriverActivity_1_csv__3[#All],4,FALSE)</f>
        <v>2</v>
      </c>
      <c r="L826">
        <f>VLOOKUP(Demand_Data___Hourly_OverviewSearch_1_csv[[#This Row],[Date]],Supply_Data___Hourly_DriverActivity_1_csv__3[#All],5,FALSE)</f>
        <v>23</v>
      </c>
      <c r="M826">
        <f>VLOOKUP(Demand_Data___Hourly_OverviewSearch_1_csv[[#This Row],[Date]],Supply_Data___Hourly_DriverActivity_1_csv__3[#All],6,FALSE)</f>
        <v>0.4</v>
      </c>
      <c r="N826">
        <f>VLOOKUP(Demand_Data___Hourly_OverviewSearch_1_csv[[#This Row],[Date]],Supply_Data___Hourly_DriverActivity_1_csv__3[#All],7,FALSE)</f>
        <v>0.2</v>
      </c>
      <c r="O826">
        <f>VLOOKUP(Demand_Data___Hourly_OverviewSearch_1_csv[[#This Row],[Date]],Supply_Data___Hourly_DriverActivity_1_csv__3[#All],8,FALSE)</f>
        <v>5</v>
      </c>
      <c r="P826">
        <f>(Demand_Data___Hourly_OverviewSearch_1_csv[[#This Row],[People saw 0 cars (unique)]]+Demand_Data___Hourly_OverviewSearch_1_csv[[#This Row],[People saw +1 cars (unique)]])</f>
        <v>28</v>
      </c>
      <c r="Q826" s="143">
        <f t="shared" si="51"/>
        <v>23</v>
      </c>
    </row>
    <row r="827" spans="1:17" x14ac:dyDescent="0.3">
      <c r="A827" t="s">
        <v>834</v>
      </c>
      <c r="B827" t="str">
        <f t="shared" si="48"/>
        <v xml:space="preserve"> 13</v>
      </c>
      <c r="C827">
        <f t="shared" si="49"/>
        <v>1</v>
      </c>
      <c r="D827" t="str">
        <f t="shared" si="50"/>
        <v xml:space="preserve">2016-11-14 </v>
      </c>
      <c r="E827" t="str">
        <f>TEXT(Demand_Data___Hourly_OverviewSearch_1_csv[[#This Row],[Day]],"dddd")</f>
        <v>Sunday</v>
      </c>
      <c r="F827">
        <v>4</v>
      </c>
      <c r="G827">
        <v>25</v>
      </c>
      <c r="H827">
        <v>86</v>
      </c>
      <c r="I827">
        <f>VLOOKUP(Demand_Data___Hourly_OverviewSearch_1_csv[[#This Row],[Date]],Supply_Data___Hourly_DriverActivity_1_csv__3[#All],2,FALSE)</f>
        <v>68</v>
      </c>
      <c r="J827">
        <f>VLOOKUP(Demand_Data___Hourly_OverviewSearch_1_csv[[#This Row],[Date]],Supply_Data___Hourly_DriverActivity_1_csv__3[#All],3,FALSE)</f>
        <v>25</v>
      </c>
      <c r="K827">
        <f>VLOOKUP(Demand_Data___Hourly_OverviewSearch_1_csv[[#This Row],[Date]],Supply_Data___Hourly_DriverActivity_1_csv__3[#All],4,FALSE)</f>
        <v>2</v>
      </c>
      <c r="L827">
        <f>VLOOKUP(Demand_Data___Hourly_OverviewSearch_1_csv[[#This Row],[Date]],Supply_Data___Hourly_DriverActivity_1_csv__3[#All],5,FALSE)</f>
        <v>23</v>
      </c>
      <c r="M827">
        <f>VLOOKUP(Demand_Data___Hourly_OverviewSearch_1_csv[[#This Row],[Date]],Supply_Data___Hourly_DriverActivity_1_csv__3[#All],6,FALSE)</f>
        <v>0.4</v>
      </c>
      <c r="N827">
        <f>VLOOKUP(Demand_Data___Hourly_OverviewSearch_1_csv[[#This Row],[Date]],Supply_Data___Hourly_DriverActivity_1_csv__3[#All],7,FALSE)</f>
        <v>0.16</v>
      </c>
      <c r="O827">
        <f>VLOOKUP(Demand_Data___Hourly_OverviewSearch_1_csv[[#This Row],[Date]],Supply_Data___Hourly_DriverActivity_1_csv__3[#All],8,FALSE)</f>
        <v>4</v>
      </c>
      <c r="P827">
        <f>(Demand_Data___Hourly_OverviewSearch_1_csv[[#This Row],[People saw 0 cars (unique)]]+Demand_Data___Hourly_OverviewSearch_1_csv[[#This Row],[People saw +1 cars (unique)]])</f>
        <v>29</v>
      </c>
      <c r="Q827" s="143">
        <f t="shared" si="51"/>
        <v>23</v>
      </c>
    </row>
    <row r="828" spans="1:17" x14ac:dyDescent="0.3">
      <c r="A828" t="s">
        <v>835</v>
      </c>
      <c r="B828" t="str">
        <f t="shared" si="48"/>
        <v xml:space="preserve"> 12</v>
      </c>
      <c r="C828">
        <f t="shared" si="49"/>
        <v>1</v>
      </c>
      <c r="D828" t="str">
        <f t="shared" si="50"/>
        <v xml:space="preserve">2016-11-14 </v>
      </c>
      <c r="E828" t="str">
        <f>TEXT(Demand_Data___Hourly_OverviewSearch_1_csv[[#This Row],[Day]],"dddd")</f>
        <v>Sunday</v>
      </c>
      <c r="F828">
        <v>3</v>
      </c>
      <c r="G828">
        <v>19</v>
      </c>
      <c r="H828">
        <v>86</v>
      </c>
      <c r="I828">
        <f>VLOOKUP(Demand_Data___Hourly_OverviewSearch_1_csv[[#This Row],[Date]],Supply_Data___Hourly_DriverActivity_1_csv__3[#All],2,FALSE)</f>
        <v>72</v>
      </c>
      <c r="J828">
        <f>VLOOKUP(Demand_Data___Hourly_OverviewSearch_1_csv[[#This Row],[Date]],Supply_Data___Hourly_DriverActivity_1_csv__3[#All],3,FALSE)</f>
        <v>25</v>
      </c>
      <c r="K828">
        <f>VLOOKUP(Demand_Data___Hourly_OverviewSearch_1_csv[[#This Row],[Date]],Supply_Data___Hourly_DriverActivity_1_csv__3[#All],4,FALSE)</f>
        <v>2</v>
      </c>
      <c r="L828">
        <f>VLOOKUP(Demand_Data___Hourly_OverviewSearch_1_csv[[#This Row],[Date]],Supply_Data___Hourly_DriverActivity_1_csv__3[#All],5,FALSE)</f>
        <v>23</v>
      </c>
      <c r="M828">
        <f>VLOOKUP(Demand_Data___Hourly_OverviewSearch_1_csv[[#This Row],[Date]],Supply_Data___Hourly_DriverActivity_1_csv__3[#All],6,FALSE)</f>
        <v>0.3</v>
      </c>
      <c r="N828">
        <f>VLOOKUP(Demand_Data___Hourly_OverviewSearch_1_csv[[#This Row],[Date]],Supply_Data___Hourly_DriverActivity_1_csv__3[#All],7,FALSE)</f>
        <v>0.16</v>
      </c>
      <c r="O828">
        <f>VLOOKUP(Demand_Data___Hourly_OverviewSearch_1_csv[[#This Row],[Date]],Supply_Data___Hourly_DriverActivity_1_csv__3[#All],8,FALSE)</f>
        <v>4</v>
      </c>
      <c r="P828">
        <f>(Demand_Data___Hourly_OverviewSearch_1_csv[[#This Row],[People saw 0 cars (unique)]]+Demand_Data___Hourly_OverviewSearch_1_csv[[#This Row],[People saw +1 cars (unique)]])</f>
        <v>22</v>
      </c>
      <c r="Q828" s="143">
        <f t="shared" si="51"/>
        <v>23</v>
      </c>
    </row>
    <row r="829" spans="1:17" x14ac:dyDescent="0.3">
      <c r="A829" t="s">
        <v>836</v>
      </c>
      <c r="B829" t="str">
        <f t="shared" si="48"/>
        <v xml:space="preserve"> 11</v>
      </c>
      <c r="C829">
        <f t="shared" si="49"/>
        <v>1</v>
      </c>
      <c r="D829" t="str">
        <f t="shared" si="50"/>
        <v xml:space="preserve">2016-11-14 </v>
      </c>
      <c r="E829" t="str">
        <f>TEXT(Demand_Data___Hourly_OverviewSearch_1_csv[[#This Row],[Day]],"dddd")</f>
        <v>Sunday</v>
      </c>
      <c r="F829">
        <v>5</v>
      </c>
      <c r="G829">
        <v>22</v>
      </c>
      <c r="H829">
        <v>81</v>
      </c>
      <c r="I829">
        <f>VLOOKUP(Demand_Data___Hourly_OverviewSearch_1_csv[[#This Row],[Date]],Supply_Data___Hourly_DriverActivity_1_csv__3[#All],2,FALSE)</f>
        <v>69</v>
      </c>
      <c r="J829">
        <f>VLOOKUP(Demand_Data___Hourly_OverviewSearch_1_csv[[#This Row],[Date]],Supply_Data___Hourly_DriverActivity_1_csv__3[#All],3,FALSE)</f>
        <v>27</v>
      </c>
      <c r="K829">
        <f>VLOOKUP(Demand_Data___Hourly_OverviewSearch_1_csv[[#This Row],[Date]],Supply_Data___Hourly_DriverActivity_1_csv__3[#All],4,FALSE)</f>
        <v>4</v>
      </c>
      <c r="L829">
        <f>VLOOKUP(Demand_Data___Hourly_OverviewSearch_1_csv[[#This Row],[Date]],Supply_Data___Hourly_DriverActivity_1_csv__3[#All],5,FALSE)</f>
        <v>23</v>
      </c>
      <c r="M829">
        <f>VLOOKUP(Demand_Data___Hourly_OverviewSearch_1_csv[[#This Row],[Date]],Supply_Data___Hourly_DriverActivity_1_csv__3[#All],6,FALSE)</f>
        <v>0.4</v>
      </c>
      <c r="N829">
        <f>VLOOKUP(Demand_Data___Hourly_OverviewSearch_1_csv[[#This Row],[Date]],Supply_Data___Hourly_DriverActivity_1_csv__3[#All],7,FALSE)</f>
        <v>0.3</v>
      </c>
      <c r="O829">
        <f>VLOOKUP(Demand_Data___Hourly_OverviewSearch_1_csv[[#This Row],[Date]],Supply_Data___Hourly_DriverActivity_1_csv__3[#All],8,FALSE)</f>
        <v>8</v>
      </c>
      <c r="P829">
        <f>(Demand_Data___Hourly_OverviewSearch_1_csv[[#This Row],[People saw 0 cars (unique)]]+Demand_Data___Hourly_OverviewSearch_1_csv[[#This Row],[People saw +1 cars (unique)]])</f>
        <v>27</v>
      </c>
      <c r="Q829" s="143">
        <f t="shared" si="51"/>
        <v>23</v>
      </c>
    </row>
    <row r="830" spans="1:17" x14ac:dyDescent="0.3">
      <c r="A830" t="s">
        <v>837</v>
      </c>
      <c r="B830" t="str">
        <f t="shared" si="48"/>
        <v xml:space="preserve"> 10</v>
      </c>
      <c r="C830">
        <f t="shared" si="49"/>
        <v>1</v>
      </c>
      <c r="D830" t="str">
        <f t="shared" si="50"/>
        <v xml:space="preserve">2016-11-14 </v>
      </c>
      <c r="E830" t="str">
        <f>TEXT(Demand_Data___Hourly_OverviewSearch_1_csv[[#This Row],[Day]],"dddd")</f>
        <v>Sunday</v>
      </c>
      <c r="F830">
        <v>12</v>
      </c>
      <c r="G830">
        <v>43</v>
      </c>
      <c r="H830">
        <v>78</v>
      </c>
      <c r="I830">
        <f>VLOOKUP(Demand_Data___Hourly_OverviewSearch_1_csv[[#This Row],[Date]],Supply_Data___Hourly_DriverActivity_1_csv__3[#All],2,FALSE)</f>
        <v>65</v>
      </c>
      <c r="J830">
        <f>VLOOKUP(Demand_Data___Hourly_OverviewSearch_1_csv[[#This Row],[Date]],Supply_Data___Hourly_DriverActivity_1_csv__3[#All],3,FALSE)</f>
        <v>24</v>
      </c>
      <c r="K830">
        <f>VLOOKUP(Demand_Data___Hourly_OverviewSearch_1_csv[[#This Row],[Date]],Supply_Data___Hourly_DriverActivity_1_csv__3[#All],4,FALSE)</f>
        <v>7</v>
      </c>
      <c r="L830">
        <f>VLOOKUP(Demand_Data___Hourly_OverviewSearch_1_csv[[#This Row],[Date]],Supply_Data___Hourly_DriverActivity_1_csv__3[#All],5,FALSE)</f>
        <v>17</v>
      </c>
      <c r="M830">
        <f>VLOOKUP(Demand_Data___Hourly_OverviewSearch_1_csv[[#This Row],[Date]],Supply_Data___Hourly_DriverActivity_1_csv__3[#All],6,FALSE)</f>
        <v>0.4</v>
      </c>
      <c r="N830">
        <f>VLOOKUP(Demand_Data___Hourly_OverviewSearch_1_csv[[#This Row],[Date]],Supply_Data___Hourly_DriverActivity_1_csv__3[#All],7,FALSE)</f>
        <v>0.54</v>
      </c>
      <c r="O830">
        <f>VLOOKUP(Demand_Data___Hourly_OverviewSearch_1_csv[[#This Row],[Date]],Supply_Data___Hourly_DriverActivity_1_csv__3[#All],8,FALSE)</f>
        <v>13</v>
      </c>
      <c r="P830">
        <f>(Demand_Data___Hourly_OverviewSearch_1_csv[[#This Row],[People saw 0 cars (unique)]]+Demand_Data___Hourly_OverviewSearch_1_csv[[#This Row],[People saw +1 cars (unique)]])</f>
        <v>55</v>
      </c>
      <c r="Q830" s="143">
        <f t="shared" si="51"/>
        <v>17</v>
      </c>
    </row>
    <row r="831" spans="1:17" x14ac:dyDescent="0.3">
      <c r="A831" t="s">
        <v>838</v>
      </c>
      <c r="B831" t="str">
        <f t="shared" si="48"/>
        <v xml:space="preserve"> 09</v>
      </c>
      <c r="C831">
        <f t="shared" si="49"/>
        <v>1</v>
      </c>
      <c r="D831" t="str">
        <f t="shared" si="50"/>
        <v xml:space="preserve">2016-11-14 </v>
      </c>
      <c r="E831" t="str">
        <f>TEXT(Demand_Data___Hourly_OverviewSearch_1_csv[[#This Row],[Day]],"dddd")</f>
        <v>Sunday</v>
      </c>
      <c r="F831">
        <v>43</v>
      </c>
      <c r="G831">
        <v>42</v>
      </c>
      <c r="H831">
        <v>49</v>
      </c>
      <c r="I831">
        <f>VLOOKUP(Demand_Data___Hourly_OverviewSearch_1_csv[[#This Row],[Date]],Supply_Data___Hourly_DriverActivity_1_csv__3[#All],2,FALSE)</f>
        <v>55</v>
      </c>
      <c r="J831">
        <f>VLOOKUP(Demand_Data___Hourly_OverviewSearch_1_csv[[#This Row],[Date]],Supply_Data___Hourly_DriverActivity_1_csv__3[#All],3,FALSE)</f>
        <v>20</v>
      </c>
      <c r="K831">
        <f>VLOOKUP(Demand_Data___Hourly_OverviewSearch_1_csv[[#This Row],[Date]],Supply_Data___Hourly_DriverActivity_1_csv__3[#All],4,FALSE)</f>
        <v>12</v>
      </c>
      <c r="L831">
        <f>VLOOKUP(Demand_Data___Hourly_OverviewSearch_1_csv[[#This Row],[Date]],Supply_Data___Hourly_DriverActivity_1_csv__3[#All],5,FALSE)</f>
        <v>7</v>
      </c>
      <c r="M831">
        <f>VLOOKUP(Demand_Data___Hourly_OverviewSearch_1_csv[[#This Row],[Date]],Supply_Data___Hourly_DriverActivity_1_csv__3[#All],6,FALSE)</f>
        <v>0.4</v>
      </c>
      <c r="N831">
        <f>VLOOKUP(Demand_Data___Hourly_OverviewSearch_1_csv[[#This Row],[Date]],Supply_Data___Hourly_DriverActivity_1_csv__3[#All],7,FALSE)</f>
        <v>0.95</v>
      </c>
      <c r="O831">
        <f>VLOOKUP(Demand_Data___Hourly_OverviewSearch_1_csv[[#This Row],[Date]],Supply_Data___Hourly_DriverActivity_1_csv__3[#All],8,FALSE)</f>
        <v>19</v>
      </c>
      <c r="P831">
        <f>(Demand_Data___Hourly_OverviewSearch_1_csv[[#This Row],[People saw 0 cars (unique)]]+Demand_Data___Hourly_OverviewSearch_1_csv[[#This Row],[People saw +1 cars (unique)]])</f>
        <v>85</v>
      </c>
      <c r="Q831" s="143">
        <f t="shared" si="51"/>
        <v>8</v>
      </c>
    </row>
    <row r="832" spans="1:17" x14ac:dyDescent="0.3">
      <c r="A832" t="s">
        <v>839</v>
      </c>
      <c r="B832" t="str">
        <f t="shared" si="48"/>
        <v xml:space="preserve"> 08</v>
      </c>
      <c r="C832">
        <f t="shared" si="49"/>
        <v>1</v>
      </c>
      <c r="D832" t="str">
        <f t="shared" si="50"/>
        <v xml:space="preserve">2016-11-14 </v>
      </c>
      <c r="E832" t="str">
        <f>TEXT(Demand_Data___Hourly_OverviewSearch_1_csv[[#This Row],[Day]],"dddd")</f>
        <v>Sunday</v>
      </c>
      <c r="F832">
        <v>38</v>
      </c>
      <c r="G832">
        <v>39</v>
      </c>
      <c r="H832">
        <v>51</v>
      </c>
      <c r="I832">
        <f>VLOOKUP(Demand_Data___Hourly_OverviewSearch_1_csv[[#This Row],[Date]],Supply_Data___Hourly_DriverActivity_1_csv__3[#All],2,FALSE)</f>
        <v>47</v>
      </c>
      <c r="J832">
        <f>VLOOKUP(Demand_Data___Hourly_OverviewSearch_1_csv[[#This Row],[Date]],Supply_Data___Hourly_DriverActivity_1_csv__3[#All],3,FALSE)</f>
        <v>16</v>
      </c>
      <c r="K832">
        <f>VLOOKUP(Demand_Data___Hourly_OverviewSearch_1_csv[[#This Row],[Date]],Supply_Data___Hourly_DriverActivity_1_csv__3[#All],4,FALSE)</f>
        <v>9</v>
      </c>
      <c r="L832">
        <f>VLOOKUP(Demand_Data___Hourly_OverviewSearch_1_csv[[#This Row],[Date]],Supply_Data___Hourly_DriverActivity_1_csv__3[#All],5,FALSE)</f>
        <v>7</v>
      </c>
      <c r="M832">
        <f>VLOOKUP(Demand_Data___Hourly_OverviewSearch_1_csv[[#This Row],[Date]],Supply_Data___Hourly_DriverActivity_1_csv__3[#All],6,FALSE)</f>
        <v>0.3</v>
      </c>
      <c r="N832">
        <f>VLOOKUP(Demand_Data___Hourly_OverviewSearch_1_csv[[#This Row],[Date]],Supply_Data___Hourly_DriverActivity_1_csv__3[#All],7,FALSE)</f>
        <v>1.19</v>
      </c>
      <c r="O832">
        <f>VLOOKUP(Demand_Data___Hourly_OverviewSearch_1_csv[[#This Row],[Date]],Supply_Data___Hourly_DriverActivity_1_csv__3[#All],8,FALSE)</f>
        <v>19</v>
      </c>
      <c r="P832">
        <f>(Demand_Data___Hourly_OverviewSearch_1_csv[[#This Row],[People saw 0 cars (unique)]]+Demand_Data___Hourly_OverviewSearch_1_csv[[#This Row],[People saw +1 cars (unique)]])</f>
        <v>77</v>
      </c>
      <c r="Q832" s="143">
        <f t="shared" si="51"/>
        <v>7</v>
      </c>
    </row>
    <row r="833" spans="1:17" x14ac:dyDescent="0.3">
      <c r="A833" t="s">
        <v>840</v>
      </c>
      <c r="B833" t="str">
        <f t="shared" si="48"/>
        <v xml:space="preserve"> 07</v>
      </c>
      <c r="C833">
        <f t="shared" si="49"/>
        <v>1</v>
      </c>
      <c r="D833" t="str">
        <f t="shared" si="50"/>
        <v xml:space="preserve">2016-11-14 </v>
      </c>
      <c r="E833" t="str">
        <f>TEXT(Demand_Data___Hourly_OverviewSearch_1_csv[[#This Row],[Day]],"dddd")</f>
        <v>Sunday</v>
      </c>
      <c r="F833">
        <v>22</v>
      </c>
      <c r="G833">
        <v>25</v>
      </c>
      <c r="H833">
        <v>53</v>
      </c>
      <c r="I833">
        <f>VLOOKUP(Demand_Data___Hourly_OverviewSearch_1_csv[[#This Row],[Date]],Supply_Data___Hourly_DriverActivity_1_csv__3[#All],2,FALSE)</f>
        <v>37</v>
      </c>
      <c r="J833">
        <f>VLOOKUP(Demand_Data___Hourly_OverviewSearch_1_csv[[#This Row],[Date]],Supply_Data___Hourly_DriverActivity_1_csv__3[#All],3,FALSE)</f>
        <v>9</v>
      </c>
      <c r="K833">
        <f>VLOOKUP(Demand_Data___Hourly_OverviewSearch_1_csv[[#This Row],[Date]],Supply_Data___Hourly_DriverActivity_1_csv__3[#All],4,FALSE)</f>
        <v>4</v>
      </c>
      <c r="L833">
        <f>VLOOKUP(Demand_Data___Hourly_OverviewSearch_1_csv[[#This Row],[Date]],Supply_Data___Hourly_DriverActivity_1_csv__3[#All],5,FALSE)</f>
        <v>6</v>
      </c>
      <c r="M833">
        <f>VLOOKUP(Demand_Data___Hourly_OverviewSearch_1_csv[[#This Row],[Date]],Supply_Data___Hourly_DriverActivity_1_csv__3[#All],6,FALSE)</f>
        <v>0.2</v>
      </c>
      <c r="N833">
        <f>VLOOKUP(Demand_Data___Hourly_OverviewSearch_1_csv[[#This Row],[Date]],Supply_Data___Hourly_DriverActivity_1_csv__3[#All],7,FALSE)</f>
        <v>1.1100000000000001</v>
      </c>
      <c r="O833">
        <f>VLOOKUP(Demand_Data___Hourly_OverviewSearch_1_csv[[#This Row],[Date]],Supply_Data___Hourly_DriverActivity_1_csv__3[#All],8,FALSE)</f>
        <v>10</v>
      </c>
      <c r="P833">
        <f>(Demand_Data___Hourly_OverviewSearch_1_csv[[#This Row],[People saw 0 cars (unique)]]+Demand_Data___Hourly_OverviewSearch_1_csv[[#This Row],[People saw +1 cars (unique)]])</f>
        <v>47</v>
      </c>
      <c r="Q833" s="143">
        <f t="shared" si="51"/>
        <v>5</v>
      </c>
    </row>
    <row r="834" spans="1:17" x14ac:dyDescent="0.3">
      <c r="A834" t="s">
        <v>841</v>
      </c>
      <c r="B834" t="str">
        <f t="shared" ref="B834:B840" si="52">RIGHT(A834,3)</f>
        <v xml:space="preserve"> 06</v>
      </c>
      <c r="C834">
        <f t="shared" ref="C834:C840" si="53">WEEKDAY(DATEVALUE(LEFT(A834,FIND(" ",A834))),2)</f>
        <v>1</v>
      </c>
      <c r="D834" t="str">
        <f t="shared" ref="D834:D840" si="54">LEFT(A834,11)</f>
        <v xml:space="preserve">2016-11-14 </v>
      </c>
      <c r="E834" t="str">
        <f>TEXT(Demand_Data___Hourly_OverviewSearch_1_csv[[#This Row],[Day]],"dddd")</f>
        <v>Sunday</v>
      </c>
      <c r="F834">
        <v>1</v>
      </c>
      <c r="G834">
        <v>5</v>
      </c>
      <c r="H834">
        <v>83</v>
      </c>
      <c r="I834">
        <f>VLOOKUP(Demand_Data___Hourly_OverviewSearch_1_csv[[#This Row],[Date]],Supply_Data___Hourly_DriverActivity_1_csv__3[#All],2,FALSE)</f>
        <v>23</v>
      </c>
      <c r="J834">
        <f>VLOOKUP(Demand_Data___Hourly_OverviewSearch_1_csv[[#This Row],[Date]],Supply_Data___Hourly_DriverActivity_1_csv__3[#All],3,FALSE)</f>
        <v>7</v>
      </c>
      <c r="K834">
        <f>VLOOKUP(Demand_Data___Hourly_OverviewSearch_1_csv[[#This Row],[Date]],Supply_Data___Hourly_DriverActivity_1_csv__3[#All],4,FALSE)</f>
        <v>1</v>
      </c>
      <c r="L834">
        <f>VLOOKUP(Demand_Data___Hourly_OverviewSearch_1_csv[[#This Row],[Date]],Supply_Data___Hourly_DriverActivity_1_csv__3[#All],5,FALSE)</f>
        <v>6</v>
      </c>
      <c r="M834">
        <f>VLOOKUP(Demand_Data___Hourly_OverviewSearch_1_csv[[#This Row],[Date]],Supply_Data___Hourly_DriverActivity_1_csv__3[#All],6,FALSE)</f>
        <v>0.3</v>
      </c>
      <c r="N834">
        <f>VLOOKUP(Demand_Data___Hourly_OverviewSearch_1_csv[[#This Row],[Date]],Supply_Data___Hourly_DriverActivity_1_csv__3[#All],7,FALSE)</f>
        <v>0.14000000000000001</v>
      </c>
      <c r="O834">
        <f>VLOOKUP(Demand_Data___Hourly_OverviewSearch_1_csv[[#This Row],[Date]],Supply_Data___Hourly_DriverActivity_1_csv__3[#All],8,FALSE)</f>
        <v>1</v>
      </c>
      <c r="P834">
        <f>(Demand_Data___Hourly_OverviewSearch_1_csv[[#This Row],[People saw 0 cars (unique)]]+Demand_Data___Hourly_OverviewSearch_1_csv[[#This Row],[People saw +1 cars (unique)]])</f>
        <v>6</v>
      </c>
      <c r="Q834" s="143">
        <f t="shared" ref="Q834:Q840" si="55">(J834-K834)</f>
        <v>6</v>
      </c>
    </row>
    <row r="835" spans="1:17" x14ac:dyDescent="0.3">
      <c r="A835" t="s">
        <v>842</v>
      </c>
      <c r="B835" t="str">
        <f t="shared" si="52"/>
        <v xml:space="preserve"> 05</v>
      </c>
      <c r="C835">
        <f t="shared" si="53"/>
        <v>1</v>
      </c>
      <c r="D835" t="str">
        <f t="shared" si="54"/>
        <v xml:space="preserve">2016-11-14 </v>
      </c>
      <c r="E835" t="str">
        <f>TEXT(Demand_Data___Hourly_OverviewSearch_1_csv[[#This Row],[Day]],"dddd")</f>
        <v>Sunday</v>
      </c>
      <c r="F835">
        <v>4</v>
      </c>
      <c r="G835">
        <v>4</v>
      </c>
      <c r="H835">
        <v>50</v>
      </c>
      <c r="I835">
        <f>VLOOKUP(Demand_Data___Hourly_OverviewSearch_1_csv[[#This Row],[Date]],Supply_Data___Hourly_DriverActivity_1_csv__3[#All],2,FALSE)</f>
        <v>16</v>
      </c>
      <c r="J835">
        <f>VLOOKUP(Demand_Data___Hourly_OverviewSearch_1_csv[[#This Row],[Date]],Supply_Data___Hourly_DriverActivity_1_csv__3[#All],3,FALSE)</f>
        <v>6</v>
      </c>
      <c r="K835">
        <f>VLOOKUP(Demand_Data___Hourly_OverviewSearch_1_csv[[#This Row],[Date]],Supply_Data___Hourly_DriverActivity_1_csv__3[#All],4,FALSE)</f>
        <v>1</v>
      </c>
      <c r="L835">
        <f>VLOOKUP(Demand_Data___Hourly_OverviewSearch_1_csv[[#This Row],[Date]],Supply_Data___Hourly_DriverActivity_1_csv__3[#All],5,FALSE)</f>
        <v>5</v>
      </c>
      <c r="M835">
        <f>VLOOKUP(Demand_Data___Hourly_OverviewSearch_1_csv[[#This Row],[Date]],Supply_Data___Hourly_DriverActivity_1_csv__3[#All],6,FALSE)</f>
        <v>0.4</v>
      </c>
      <c r="N835">
        <f>VLOOKUP(Demand_Data___Hourly_OverviewSearch_1_csv[[#This Row],[Date]],Supply_Data___Hourly_DriverActivity_1_csv__3[#All],7,FALSE)</f>
        <v>0.5</v>
      </c>
      <c r="O835">
        <f>VLOOKUP(Demand_Data___Hourly_OverviewSearch_1_csv[[#This Row],[Date]],Supply_Data___Hourly_DriverActivity_1_csv__3[#All],8,FALSE)</f>
        <v>3</v>
      </c>
      <c r="P835">
        <f>(Demand_Data___Hourly_OverviewSearch_1_csv[[#This Row],[People saw 0 cars (unique)]]+Demand_Data___Hourly_OverviewSearch_1_csv[[#This Row],[People saw +1 cars (unique)]])</f>
        <v>8</v>
      </c>
      <c r="Q835" s="143">
        <f t="shared" si="55"/>
        <v>5</v>
      </c>
    </row>
    <row r="836" spans="1:17" x14ac:dyDescent="0.3">
      <c r="A836" t="s">
        <v>843</v>
      </c>
      <c r="B836" t="str">
        <f t="shared" si="52"/>
        <v xml:space="preserve"> 04</v>
      </c>
      <c r="C836">
        <f t="shared" si="53"/>
        <v>1</v>
      </c>
      <c r="D836" t="str">
        <f t="shared" si="54"/>
        <v xml:space="preserve">2016-11-14 </v>
      </c>
      <c r="E836" t="str">
        <f>TEXT(Demand_Data___Hourly_OverviewSearch_1_csv[[#This Row],[Day]],"dddd")</f>
        <v>Sunday</v>
      </c>
      <c r="F836">
        <v>4</v>
      </c>
      <c r="G836">
        <v>4</v>
      </c>
      <c r="H836">
        <v>50</v>
      </c>
      <c r="I836">
        <f>VLOOKUP(Demand_Data___Hourly_OverviewSearch_1_csv[[#This Row],[Date]],Supply_Data___Hourly_DriverActivity_1_csv__3[#All],2,FALSE)</f>
        <v>15</v>
      </c>
      <c r="J836">
        <f>VLOOKUP(Demand_Data___Hourly_OverviewSearch_1_csv[[#This Row],[Date]],Supply_Data___Hourly_DriverActivity_1_csv__3[#All],3,FALSE)</f>
        <v>6</v>
      </c>
      <c r="K836">
        <f>VLOOKUP(Demand_Data___Hourly_OverviewSearch_1_csv[[#This Row],[Date]],Supply_Data___Hourly_DriverActivity_1_csv__3[#All],4,FALSE)</f>
        <v>0</v>
      </c>
      <c r="L836">
        <f>VLOOKUP(Demand_Data___Hourly_OverviewSearch_1_csv[[#This Row],[Date]],Supply_Data___Hourly_DriverActivity_1_csv__3[#All],5,FALSE)</f>
        <v>6</v>
      </c>
      <c r="M836">
        <f>VLOOKUP(Demand_Data___Hourly_OverviewSearch_1_csv[[#This Row],[Date]],Supply_Data___Hourly_DriverActivity_1_csv__3[#All],6,FALSE)</f>
        <v>0.4</v>
      </c>
      <c r="N836">
        <f>VLOOKUP(Demand_Data___Hourly_OverviewSearch_1_csv[[#This Row],[Date]],Supply_Data___Hourly_DriverActivity_1_csv__3[#All],7,FALSE)</f>
        <v>0</v>
      </c>
      <c r="O836">
        <f>VLOOKUP(Demand_Data___Hourly_OverviewSearch_1_csv[[#This Row],[Date]],Supply_Data___Hourly_DriverActivity_1_csv__3[#All],8,FALSE)</f>
        <v>0</v>
      </c>
      <c r="P836">
        <f>(Demand_Data___Hourly_OverviewSearch_1_csv[[#This Row],[People saw 0 cars (unique)]]+Demand_Data___Hourly_OverviewSearch_1_csv[[#This Row],[People saw +1 cars (unique)]])</f>
        <v>8</v>
      </c>
      <c r="Q836" s="143">
        <f t="shared" si="55"/>
        <v>6</v>
      </c>
    </row>
    <row r="837" spans="1:17" x14ac:dyDescent="0.3">
      <c r="A837" t="s">
        <v>844</v>
      </c>
      <c r="B837" t="str">
        <f t="shared" si="52"/>
        <v xml:space="preserve"> 03</v>
      </c>
      <c r="C837">
        <f t="shared" si="53"/>
        <v>1</v>
      </c>
      <c r="D837" t="str">
        <f t="shared" si="54"/>
        <v xml:space="preserve">2016-11-14 </v>
      </c>
      <c r="E837" t="str">
        <f>TEXT(Demand_Data___Hourly_OverviewSearch_1_csv[[#This Row],[Day]],"dddd")</f>
        <v>Sunday</v>
      </c>
      <c r="F837">
        <v>1</v>
      </c>
      <c r="G837">
        <v>2</v>
      </c>
      <c r="H837">
        <v>67</v>
      </c>
      <c r="I837">
        <f>VLOOKUP(Demand_Data___Hourly_OverviewSearch_1_csv[[#This Row],[Date]],Supply_Data___Hourly_DriverActivity_1_csv__3[#All],2,FALSE)</f>
        <v>18</v>
      </c>
      <c r="J837">
        <f>VLOOKUP(Demand_Data___Hourly_OverviewSearch_1_csv[[#This Row],[Date]],Supply_Data___Hourly_DriverActivity_1_csv__3[#All],3,FALSE)</f>
        <v>7</v>
      </c>
      <c r="K837">
        <f>VLOOKUP(Demand_Data___Hourly_OverviewSearch_1_csv[[#This Row],[Date]],Supply_Data___Hourly_DriverActivity_1_csv__3[#All],4,FALSE)</f>
        <v>0</v>
      </c>
      <c r="L837">
        <f>VLOOKUP(Demand_Data___Hourly_OverviewSearch_1_csv[[#This Row],[Date]],Supply_Data___Hourly_DriverActivity_1_csv__3[#All],5,FALSE)</f>
        <v>7</v>
      </c>
      <c r="M837">
        <f>VLOOKUP(Demand_Data___Hourly_OverviewSearch_1_csv[[#This Row],[Date]],Supply_Data___Hourly_DriverActivity_1_csv__3[#All],6,FALSE)</f>
        <v>0.4</v>
      </c>
      <c r="N837">
        <f>VLOOKUP(Demand_Data___Hourly_OverviewSearch_1_csv[[#This Row],[Date]],Supply_Data___Hourly_DriverActivity_1_csv__3[#All],7,FALSE)</f>
        <v>0</v>
      </c>
      <c r="O837">
        <f>VLOOKUP(Demand_Data___Hourly_OverviewSearch_1_csv[[#This Row],[Date]],Supply_Data___Hourly_DriverActivity_1_csv__3[#All],8,FALSE)</f>
        <v>0</v>
      </c>
      <c r="P837">
        <f>(Demand_Data___Hourly_OverviewSearch_1_csv[[#This Row],[People saw 0 cars (unique)]]+Demand_Data___Hourly_OverviewSearch_1_csv[[#This Row],[People saw +1 cars (unique)]])</f>
        <v>3</v>
      </c>
      <c r="Q837" s="143">
        <f t="shared" si="55"/>
        <v>7</v>
      </c>
    </row>
    <row r="838" spans="1:17" x14ac:dyDescent="0.3">
      <c r="A838" t="s">
        <v>845</v>
      </c>
      <c r="B838" t="str">
        <f t="shared" si="52"/>
        <v xml:space="preserve"> 02</v>
      </c>
      <c r="C838">
        <f t="shared" si="53"/>
        <v>1</v>
      </c>
      <c r="D838" t="str">
        <f t="shared" si="54"/>
        <v xml:space="preserve">2016-11-14 </v>
      </c>
      <c r="E838" t="str">
        <f>TEXT(Demand_Data___Hourly_OverviewSearch_1_csv[[#This Row],[Day]],"dddd")</f>
        <v>Sunday</v>
      </c>
      <c r="F838">
        <v>3</v>
      </c>
      <c r="G838">
        <v>6</v>
      </c>
      <c r="H838">
        <v>67</v>
      </c>
      <c r="I838">
        <f>VLOOKUP(Demand_Data___Hourly_OverviewSearch_1_csv[[#This Row],[Date]],Supply_Data___Hourly_DriverActivity_1_csv__3[#All],2,FALSE)</f>
        <v>21</v>
      </c>
      <c r="J838">
        <f>VLOOKUP(Demand_Data___Hourly_OverviewSearch_1_csv[[#This Row],[Date]],Supply_Data___Hourly_DriverActivity_1_csv__3[#All],3,FALSE)</f>
        <v>7</v>
      </c>
      <c r="K838">
        <f>VLOOKUP(Demand_Data___Hourly_OverviewSearch_1_csv[[#This Row],[Date]],Supply_Data___Hourly_DriverActivity_1_csv__3[#All],4,FALSE)</f>
        <v>0</v>
      </c>
      <c r="L838">
        <f>VLOOKUP(Demand_Data___Hourly_OverviewSearch_1_csv[[#This Row],[Date]],Supply_Data___Hourly_DriverActivity_1_csv__3[#All],5,FALSE)</f>
        <v>7</v>
      </c>
      <c r="M838">
        <f>VLOOKUP(Demand_Data___Hourly_OverviewSearch_1_csv[[#This Row],[Date]],Supply_Data___Hourly_DriverActivity_1_csv__3[#All],6,FALSE)</f>
        <v>0.3</v>
      </c>
      <c r="N838">
        <f>VLOOKUP(Demand_Data___Hourly_OverviewSearch_1_csv[[#This Row],[Date]],Supply_Data___Hourly_DriverActivity_1_csv__3[#All],7,FALSE)</f>
        <v>0.14000000000000001</v>
      </c>
      <c r="O838">
        <f>VLOOKUP(Demand_Data___Hourly_OverviewSearch_1_csv[[#This Row],[Date]],Supply_Data___Hourly_DriverActivity_1_csv__3[#All],8,FALSE)</f>
        <v>1</v>
      </c>
      <c r="P838">
        <f>(Demand_Data___Hourly_OverviewSearch_1_csv[[#This Row],[People saw 0 cars (unique)]]+Demand_Data___Hourly_OverviewSearch_1_csv[[#This Row],[People saw +1 cars (unique)]])</f>
        <v>9</v>
      </c>
      <c r="Q838" s="143">
        <f t="shared" si="55"/>
        <v>7</v>
      </c>
    </row>
    <row r="839" spans="1:17" x14ac:dyDescent="0.3">
      <c r="A839" t="s">
        <v>846</v>
      </c>
      <c r="B839" t="str">
        <f t="shared" si="52"/>
        <v xml:space="preserve"> 01</v>
      </c>
      <c r="C839">
        <f t="shared" si="53"/>
        <v>1</v>
      </c>
      <c r="D839" t="str">
        <f t="shared" si="54"/>
        <v xml:space="preserve">2016-11-14 </v>
      </c>
      <c r="E839" t="str">
        <f>TEXT(Demand_Data___Hourly_OverviewSearch_1_csv[[#This Row],[Day]],"dddd")</f>
        <v>Sunday</v>
      </c>
      <c r="F839">
        <v>8</v>
      </c>
      <c r="G839">
        <v>8</v>
      </c>
      <c r="H839">
        <v>50</v>
      </c>
      <c r="I839">
        <f>VLOOKUP(Demand_Data___Hourly_OverviewSearch_1_csv[[#This Row],[Date]],Supply_Data___Hourly_DriverActivity_1_csv__3[#All],2,FALSE)</f>
        <v>29</v>
      </c>
      <c r="J839">
        <f>VLOOKUP(Demand_Data___Hourly_OverviewSearch_1_csv[[#This Row],[Date]],Supply_Data___Hourly_DriverActivity_1_csv__3[#All],3,FALSE)</f>
        <v>9</v>
      </c>
      <c r="K839">
        <f>VLOOKUP(Demand_Data___Hourly_OverviewSearch_1_csv[[#This Row],[Date]],Supply_Data___Hourly_DriverActivity_1_csv__3[#All],4,FALSE)</f>
        <v>1</v>
      </c>
      <c r="L839">
        <f>VLOOKUP(Demand_Data___Hourly_OverviewSearch_1_csv[[#This Row],[Date]],Supply_Data___Hourly_DriverActivity_1_csv__3[#All],5,FALSE)</f>
        <v>8</v>
      </c>
      <c r="M839">
        <f>VLOOKUP(Demand_Data___Hourly_OverviewSearch_1_csv[[#This Row],[Date]],Supply_Data___Hourly_DriverActivity_1_csv__3[#All],6,FALSE)</f>
        <v>0.3</v>
      </c>
      <c r="N839">
        <f>VLOOKUP(Demand_Data___Hourly_OverviewSearch_1_csv[[#This Row],[Date]],Supply_Data___Hourly_DriverActivity_1_csv__3[#All],7,FALSE)</f>
        <v>0.22</v>
      </c>
      <c r="O839">
        <f>VLOOKUP(Demand_Data___Hourly_OverviewSearch_1_csv[[#This Row],[Date]],Supply_Data___Hourly_DriverActivity_1_csv__3[#All],8,FALSE)</f>
        <v>2</v>
      </c>
      <c r="P839">
        <f>(Demand_Data___Hourly_OverviewSearch_1_csv[[#This Row],[People saw 0 cars (unique)]]+Demand_Data___Hourly_OverviewSearch_1_csv[[#This Row],[People saw +1 cars (unique)]])</f>
        <v>16</v>
      </c>
      <c r="Q839" s="143">
        <f t="shared" si="55"/>
        <v>8</v>
      </c>
    </row>
    <row r="840" spans="1:17" x14ac:dyDescent="0.3">
      <c r="A840" t="s">
        <v>847</v>
      </c>
      <c r="B840" t="str">
        <f t="shared" si="52"/>
        <v xml:space="preserve"> 00</v>
      </c>
      <c r="C840">
        <f t="shared" si="53"/>
        <v>1</v>
      </c>
      <c r="D840" t="str">
        <f t="shared" si="54"/>
        <v xml:space="preserve">2016-11-14 </v>
      </c>
      <c r="E840" t="str">
        <f>TEXT(Demand_Data___Hourly_OverviewSearch_1_csv[[#This Row],[Day]],"dddd")</f>
        <v>Sunday</v>
      </c>
      <c r="F840">
        <v>9</v>
      </c>
      <c r="G840">
        <v>15</v>
      </c>
      <c r="H840">
        <v>63</v>
      </c>
      <c r="I840">
        <f>VLOOKUP(Demand_Data___Hourly_OverviewSearch_1_csv[[#This Row],[Date]],Supply_Data___Hourly_DriverActivity_1_csv__3[#All],2,FALSE)</f>
        <v>38</v>
      </c>
      <c r="J840">
        <f>VLOOKUP(Demand_Data___Hourly_OverviewSearch_1_csv[[#This Row],[Date]],Supply_Data___Hourly_DriverActivity_1_csv__3[#All],3,FALSE)</f>
        <v>14</v>
      </c>
      <c r="K840">
        <f>VLOOKUP(Demand_Data___Hourly_OverviewSearch_1_csv[[#This Row],[Date]],Supply_Data___Hourly_DriverActivity_1_csv__3[#All],4,FALSE)</f>
        <v>3</v>
      </c>
      <c r="L840">
        <f>VLOOKUP(Demand_Data___Hourly_OverviewSearch_1_csv[[#This Row],[Date]],Supply_Data___Hourly_DriverActivity_1_csv__3[#All],5,FALSE)</f>
        <v>11</v>
      </c>
      <c r="M840">
        <f>VLOOKUP(Demand_Data___Hourly_OverviewSearch_1_csv[[#This Row],[Date]],Supply_Data___Hourly_DriverActivity_1_csv__3[#All],6,FALSE)</f>
        <v>0.4</v>
      </c>
      <c r="N840">
        <f>VLOOKUP(Demand_Data___Hourly_OverviewSearch_1_csv[[#This Row],[Date]],Supply_Data___Hourly_DriverActivity_1_csv__3[#All],7,FALSE)</f>
        <v>0.43</v>
      </c>
      <c r="O840">
        <f>VLOOKUP(Demand_Data___Hourly_OverviewSearch_1_csv[[#This Row],[Date]],Supply_Data___Hourly_DriverActivity_1_csv__3[#All],8,FALSE)</f>
        <v>6</v>
      </c>
      <c r="P840">
        <f>(Demand_Data___Hourly_OverviewSearch_1_csv[[#This Row],[People saw 0 cars (unique)]]+Demand_Data___Hourly_OverviewSearch_1_csv[[#This Row],[People saw +1 cars (unique)]])</f>
        <v>24</v>
      </c>
      <c r="Q840" s="143">
        <f t="shared" si="55"/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CADA-57B6-43A1-AD96-33AFCF5E4642}">
  <dimension ref="A1:H841"/>
  <sheetViews>
    <sheetView topLeftCell="A818" workbookViewId="0">
      <selection activeCell="C2" sqref="C2:C841"/>
    </sheetView>
  </sheetViews>
  <sheetFormatPr defaultRowHeight="14.4" x14ac:dyDescent="0.3"/>
  <cols>
    <col min="1" max="1" width="12.77734375" bestFit="1" customWidth="1"/>
    <col min="2" max="2" width="14.5546875" bestFit="1" customWidth="1"/>
    <col min="3" max="3" width="11.5546875" bestFit="1" customWidth="1"/>
    <col min="4" max="4" width="16.5546875" bestFit="1" customWidth="1"/>
    <col min="5" max="5" width="23" bestFit="1" customWidth="1"/>
    <col min="6" max="6" width="22.33203125" bestFit="1" customWidth="1"/>
    <col min="7" max="7" width="21.2187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52</v>
      </c>
      <c r="C2">
        <v>18</v>
      </c>
      <c r="D2">
        <v>6</v>
      </c>
      <c r="E2">
        <v>11</v>
      </c>
      <c r="F2">
        <v>0.3</v>
      </c>
      <c r="G2">
        <v>0.67</v>
      </c>
      <c r="H2">
        <v>12</v>
      </c>
    </row>
    <row r="3" spans="1:8" x14ac:dyDescent="0.3">
      <c r="A3" t="s">
        <v>9</v>
      </c>
      <c r="B3">
        <v>59</v>
      </c>
      <c r="C3">
        <v>20</v>
      </c>
      <c r="D3">
        <v>11</v>
      </c>
      <c r="E3">
        <v>9</v>
      </c>
      <c r="F3">
        <v>0.3</v>
      </c>
      <c r="G3">
        <v>1.4</v>
      </c>
      <c r="H3">
        <v>28</v>
      </c>
    </row>
    <row r="4" spans="1:8" x14ac:dyDescent="0.3">
      <c r="A4" t="s">
        <v>10</v>
      </c>
      <c r="B4">
        <v>72</v>
      </c>
      <c r="C4">
        <v>25</v>
      </c>
      <c r="D4">
        <v>7</v>
      </c>
      <c r="E4">
        <v>18</v>
      </c>
      <c r="F4">
        <v>0.3</v>
      </c>
      <c r="G4">
        <v>0.64</v>
      </c>
      <c r="H4">
        <v>16</v>
      </c>
    </row>
    <row r="5" spans="1:8" x14ac:dyDescent="0.3">
      <c r="A5" t="s">
        <v>11</v>
      </c>
      <c r="B5">
        <v>86</v>
      </c>
      <c r="C5">
        <v>29</v>
      </c>
      <c r="D5">
        <v>7</v>
      </c>
      <c r="E5">
        <v>23</v>
      </c>
      <c r="F5">
        <v>0.3</v>
      </c>
      <c r="G5">
        <v>0.52</v>
      </c>
      <c r="H5">
        <v>15</v>
      </c>
    </row>
    <row r="6" spans="1:8" x14ac:dyDescent="0.3">
      <c r="A6" t="s">
        <v>12</v>
      </c>
      <c r="B6">
        <v>82</v>
      </c>
      <c r="C6">
        <v>31</v>
      </c>
      <c r="D6">
        <v>14</v>
      </c>
      <c r="E6">
        <v>17</v>
      </c>
      <c r="F6">
        <v>0.4</v>
      </c>
      <c r="G6">
        <v>1.1599999999999999</v>
      </c>
      <c r="H6">
        <v>36</v>
      </c>
    </row>
    <row r="7" spans="1:8" x14ac:dyDescent="0.3">
      <c r="A7" t="s">
        <v>13</v>
      </c>
      <c r="B7">
        <v>81</v>
      </c>
      <c r="C7">
        <v>32</v>
      </c>
      <c r="D7">
        <v>14</v>
      </c>
      <c r="E7">
        <v>18</v>
      </c>
      <c r="F7">
        <v>0.4</v>
      </c>
      <c r="G7">
        <v>1</v>
      </c>
      <c r="H7">
        <v>32</v>
      </c>
    </row>
    <row r="8" spans="1:8" x14ac:dyDescent="0.3">
      <c r="A8" t="s">
        <v>14</v>
      </c>
      <c r="B8">
        <v>72</v>
      </c>
      <c r="C8">
        <v>30</v>
      </c>
      <c r="D8">
        <v>13</v>
      </c>
      <c r="E8">
        <v>17</v>
      </c>
      <c r="F8">
        <v>0.4</v>
      </c>
      <c r="G8">
        <v>0.87</v>
      </c>
      <c r="H8">
        <v>26</v>
      </c>
    </row>
    <row r="9" spans="1:8" x14ac:dyDescent="0.3">
      <c r="A9" t="s">
        <v>15</v>
      </c>
      <c r="B9">
        <v>68</v>
      </c>
      <c r="C9">
        <v>23</v>
      </c>
      <c r="D9">
        <v>9</v>
      </c>
      <c r="E9">
        <v>13</v>
      </c>
      <c r="F9">
        <v>0.3</v>
      </c>
      <c r="G9">
        <v>1.04</v>
      </c>
      <c r="H9">
        <v>24</v>
      </c>
    </row>
    <row r="10" spans="1:8" x14ac:dyDescent="0.3">
      <c r="A10" t="s">
        <v>16</v>
      </c>
      <c r="B10">
        <v>65</v>
      </c>
      <c r="C10">
        <v>24</v>
      </c>
      <c r="D10">
        <v>5</v>
      </c>
      <c r="E10">
        <v>19</v>
      </c>
      <c r="F10">
        <v>0.4</v>
      </c>
      <c r="G10">
        <v>0.5</v>
      </c>
      <c r="H10">
        <v>12</v>
      </c>
    </row>
    <row r="11" spans="1:8" x14ac:dyDescent="0.3">
      <c r="A11" t="s">
        <v>17</v>
      </c>
      <c r="B11">
        <v>50</v>
      </c>
      <c r="C11">
        <v>17</v>
      </c>
      <c r="D11">
        <v>7</v>
      </c>
      <c r="E11">
        <v>10</v>
      </c>
      <c r="F11">
        <v>0.3</v>
      </c>
      <c r="G11">
        <v>0.82</v>
      </c>
      <c r="H11">
        <v>14</v>
      </c>
    </row>
    <row r="12" spans="1:8" x14ac:dyDescent="0.3">
      <c r="A12" t="s">
        <v>18</v>
      </c>
      <c r="B12">
        <v>44</v>
      </c>
      <c r="C12">
        <v>15</v>
      </c>
      <c r="D12">
        <v>7</v>
      </c>
      <c r="E12">
        <v>7</v>
      </c>
      <c r="F12">
        <v>0.3</v>
      </c>
      <c r="G12">
        <v>1.47</v>
      </c>
      <c r="H12">
        <v>22</v>
      </c>
    </row>
    <row r="13" spans="1:8" x14ac:dyDescent="0.3">
      <c r="A13" t="s">
        <v>19</v>
      </c>
      <c r="B13">
        <v>40</v>
      </c>
      <c r="C13">
        <v>15</v>
      </c>
      <c r="D13">
        <v>3</v>
      </c>
      <c r="E13">
        <v>11</v>
      </c>
      <c r="F13">
        <v>0.4</v>
      </c>
      <c r="G13">
        <v>0.67</v>
      </c>
      <c r="H13">
        <v>10</v>
      </c>
    </row>
    <row r="14" spans="1:8" x14ac:dyDescent="0.3">
      <c r="A14" t="s">
        <v>20</v>
      </c>
      <c r="B14">
        <v>38</v>
      </c>
      <c r="C14">
        <v>10</v>
      </c>
      <c r="D14">
        <v>2</v>
      </c>
      <c r="E14">
        <v>8</v>
      </c>
      <c r="F14">
        <v>0.3</v>
      </c>
      <c r="G14">
        <v>0.5</v>
      </c>
      <c r="H14">
        <v>5</v>
      </c>
    </row>
    <row r="15" spans="1:8" x14ac:dyDescent="0.3">
      <c r="A15" t="s">
        <v>21</v>
      </c>
      <c r="B15">
        <v>29</v>
      </c>
      <c r="C15">
        <v>9</v>
      </c>
      <c r="D15">
        <v>1</v>
      </c>
      <c r="E15">
        <v>8</v>
      </c>
      <c r="F15">
        <v>0.3</v>
      </c>
      <c r="G15">
        <v>0.22</v>
      </c>
      <c r="H15">
        <v>2</v>
      </c>
    </row>
    <row r="16" spans="1:8" x14ac:dyDescent="0.3">
      <c r="A16" t="s">
        <v>22</v>
      </c>
      <c r="B16">
        <v>22</v>
      </c>
      <c r="C16">
        <v>7</v>
      </c>
      <c r="D16">
        <v>1</v>
      </c>
      <c r="E16">
        <v>6</v>
      </c>
      <c r="F16">
        <v>0.3</v>
      </c>
      <c r="G16">
        <v>0.14000000000000001</v>
      </c>
      <c r="H16">
        <v>1</v>
      </c>
    </row>
    <row r="17" spans="1:8" x14ac:dyDescent="0.3">
      <c r="A17" t="s">
        <v>23</v>
      </c>
      <c r="B17">
        <v>24</v>
      </c>
      <c r="C17">
        <v>7</v>
      </c>
      <c r="D17">
        <v>1</v>
      </c>
      <c r="E17">
        <v>6</v>
      </c>
      <c r="F17">
        <v>0.3</v>
      </c>
      <c r="G17">
        <v>0.28999999999999998</v>
      </c>
      <c r="H17">
        <v>2</v>
      </c>
    </row>
    <row r="18" spans="1:8" x14ac:dyDescent="0.3">
      <c r="A18" t="s">
        <v>24</v>
      </c>
      <c r="B18">
        <v>28</v>
      </c>
      <c r="C18">
        <v>9</v>
      </c>
      <c r="D18">
        <v>1</v>
      </c>
      <c r="E18">
        <v>8</v>
      </c>
      <c r="F18">
        <v>0.3</v>
      </c>
      <c r="G18">
        <v>0</v>
      </c>
    </row>
    <row r="19" spans="1:8" x14ac:dyDescent="0.3">
      <c r="A19" t="s">
        <v>25</v>
      </c>
      <c r="B19">
        <v>38</v>
      </c>
      <c r="C19">
        <v>12</v>
      </c>
      <c r="D19">
        <v>3</v>
      </c>
      <c r="E19">
        <v>9</v>
      </c>
      <c r="F19">
        <v>0.3</v>
      </c>
      <c r="G19">
        <v>0.42</v>
      </c>
      <c r="H19">
        <v>5</v>
      </c>
    </row>
    <row r="20" spans="1:8" x14ac:dyDescent="0.3">
      <c r="A20" t="s">
        <v>26</v>
      </c>
      <c r="B20">
        <v>46</v>
      </c>
      <c r="C20">
        <v>16</v>
      </c>
      <c r="D20">
        <v>7</v>
      </c>
      <c r="E20">
        <v>9</v>
      </c>
      <c r="F20">
        <v>0.3</v>
      </c>
      <c r="G20">
        <v>0.69</v>
      </c>
      <c r="H20">
        <v>11</v>
      </c>
    </row>
    <row r="21" spans="1:8" x14ac:dyDescent="0.3">
      <c r="A21" t="s">
        <v>27</v>
      </c>
      <c r="B21">
        <v>46</v>
      </c>
      <c r="C21">
        <v>16</v>
      </c>
      <c r="D21">
        <v>12</v>
      </c>
      <c r="E21">
        <v>4</v>
      </c>
      <c r="F21">
        <v>0.3</v>
      </c>
      <c r="G21">
        <v>1.88</v>
      </c>
      <c r="H21">
        <v>30</v>
      </c>
    </row>
    <row r="22" spans="1:8" x14ac:dyDescent="0.3">
      <c r="A22" t="s">
        <v>28</v>
      </c>
      <c r="B22">
        <v>54</v>
      </c>
      <c r="C22">
        <v>23</v>
      </c>
      <c r="D22">
        <v>10</v>
      </c>
      <c r="E22">
        <v>12</v>
      </c>
      <c r="F22">
        <v>0.4</v>
      </c>
      <c r="G22">
        <v>1.17</v>
      </c>
      <c r="H22">
        <v>27</v>
      </c>
    </row>
    <row r="23" spans="1:8" x14ac:dyDescent="0.3">
      <c r="A23" t="s">
        <v>29</v>
      </c>
      <c r="B23">
        <v>68</v>
      </c>
      <c r="C23">
        <v>25</v>
      </c>
      <c r="D23">
        <v>7</v>
      </c>
      <c r="E23">
        <v>18</v>
      </c>
      <c r="F23">
        <v>0.4</v>
      </c>
      <c r="G23">
        <v>1</v>
      </c>
      <c r="H23">
        <v>25</v>
      </c>
    </row>
    <row r="24" spans="1:8" x14ac:dyDescent="0.3">
      <c r="A24" t="s">
        <v>30</v>
      </c>
      <c r="B24">
        <v>79</v>
      </c>
      <c r="C24">
        <v>25</v>
      </c>
      <c r="D24">
        <v>13</v>
      </c>
      <c r="E24">
        <v>12</v>
      </c>
      <c r="F24">
        <v>0.3</v>
      </c>
      <c r="G24">
        <v>1.1599999999999999</v>
      </c>
      <c r="H24">
        <v>29</v>
      </c>
    </row>
    <row r="25" spans="1:8" x14ac:dyDescent="0.3">
      <c r="A25" t="s">
        <v>31</v>
      </c>
      <c r="B25">
        <v>89</v>
      </c>
      <c r="C25">
        <v>35</v>
      </c>
      <c r="D25">
        <v>11</v>
      </c>
      <c r="E25">
        <v>24</v>
      </c>
      <c r="F25">
        <v>0.4</v>
      </c>
      <c r="G25">
        <v>1.03</v>
      </c>
      <c r="H25">
        <v>36</v>
      </c>
    </row>
    <row r="26" spans="1:8" x14ac:dyDescent="0.3">
      <c r="A26" t="s">
        <v>32</v>
      </c>
      <c r="B26">
        <v>100</v>
      </c>
      <c r="C26">
        <v>38</v>
      </c>
      <c r="D26">
        <v>12</v>
      </c>
      <c r="E26">
        <v>27</v>
      </c>
      <c r="F26">
        <v>0.4</v>
      </c>
      <c r="G26">
        <v>0.82</v>
      </c>
      <c r="H26">
        <v>31</v>
      </c>
    </row>
    <row r="27" spans="1:8" x14ac:dyDescent="0.3">
      <c r="A27" t="s">
        <v>33</v>
      </c>
      <c r="B27">
        <v>114</v>
      </c>
      <c r="C27">
        <v>44</v>
      </c>
      <c r="D27">
        <v>14</v>
      </c>
      <c r="E27">
        <v>31</v>
      </c>
      <c r="F27">
        <v>0.4</v>
      </c>
      <c r="G27">
        <v>0.73</v>
      </c>
      <c r="H27">
        <v>32</v>
      </c>
    </row>
    <row r="28" spans="1:8" x14ac:dyDescent="0.3">
      <c r="A28" t="s">
        <v>34</v>
      </c>
      <c r="B28">
        <v>103</v>
      </c>
      <c r="C28">
        <v>39</v>
      </c>
      <c r="D28">
        <v>18</v>
      </c>
      <c r="E28">
        <v>21</v>
      </c>
      <c r="F28">
        <v>0.4</v>
      </c>
      <c r="G28">
        <v>1.21</v>
      </c>
      <c r="H28">
        <v>47</v>
      </c>
    </row>
    <row r="29" spans="1:8" x14ac:dyDescent="0.3">
      <c r="A29" t="s">
        <v>35</v>
      </c>
      <c r="B29">
        <v>88</v>
      </c>
      <c r="C29">
        <v>32</v>
      </c>
      <c r="D29">
        <v>19</v>
      </c>
      <c r="E29">
        <v>13</v>
      </c>
      <c r="F29">
        <v>0.4</v>
      </c>
      <c r="G29">
        <v>1.5</v>
      </c>
      <c r="H29">
        <v>48</v>
      </c>
    </row>
    <row r="30" spans="1:8" x14ac:dyDescent="0.3">
      <c r="A30" t="s">
        <v>36</v>
      </c>
      <c r="B30">
        <v>84</v>
      </c>
      <c r="C30">
        <v>28</v>
      </c>
      <c r="D30">
        <v>16</v>
      </c>
      <c r="E30">
        <v>13</v>
      </c>
      <c r="F30">
        <v>0.3</v>
      </c>
      <c r="G30">
        <v>1.36</v>
      </c>
      <c r="H30">
        <v>38</v>
      </c>
    </row>
    <row r="31" spans="1:8" x14ac:dyDescent="0.3">
      <c r="A31" t="s">
        <v>37</v>
      </c>
      <c r="B31">
        <v>82</v>
      </c>
      <c r="C31">
        <v>30</v>
      </c>
      <c r="D31">
        <v>7</v>
      </c>
      <c r="E31">
        <v>23</v>
      </c>
      <c r="F31">
        <v>0.4</v>
      </c>
      <c r="G31">
        <v>0.67</v>
      </c>
      <c r="H31">
        <v>20</v>
      </c>
    </row>
    <row r="32" spans="1:8" x14ac:dyDescent="0.3">
      <c r="A32" t="s">
        <v>38</v>
      </c>
      <c r="B32">
        <v>69</v>
      </c>
      <c r="C32">
        <v>23</v>
      </c>
      <c r="D32">
        <v>10</v>
      </c>
      <c r="E32">
        <v>14</v>
      </c>
      <c r="F32">
        <v>0.3</v>
      </c>
      <c r="G32">
        <v>0.91</v>
      </c>
      <c r="H32">
        <v>21</v>
      </c>
    </row>
    <row r="33" spans="1:8" x14ac:dyDescent="0.3">
      <c r="A33" t="s">
        <v>39</v>
      </c>
      <c r="B33">
        <v>70</v>
      </c>
      <c r="C33">
        <v>22</v>
      </c>
      <c r="D33">
        <v>7</v>
      </c>
      <c r="E33">
        <v>14</v>
      </c>
      <c r="F33">
        <v>0.3</v>
      </c>
      <c r="G33">
        <v>0.91</v>
      </c>
      <c r="H33">
        <v>20</v>
      </c>
    </row>
    <row r="34" spans="1:8" x14ac:dyDescent="0.3">
      <c r="A34" t="s">
        <v>40</v>
      </c>
      <c r="B34">
        <v>62</v>
      </c>
      <c r="C34">
        <v>21</v>
      </c>
      <c r="D34">
        <v>6</v>
      </c>
      <c r="E34">
        <v>15</v>
      </c>
      <c r="F34">
        <v>0.3</v>
      </c>
      <c r="G34">
        <v>0.67</v>
      </c>
      <c r="H34">
        <v>14</v>
      </c>
    </row>
    <row r="35" spans="1:8" x14ac:dyDescent="0.3">
      <c r="A35" t="s">
        <v>41</v>
      </c>
      <c r="B35">
        <v>49</v>
      </c>
      <c r="C35">
        <v>14</v>
      </c>
      <c r="D35">
        <v>7</v>
      </c>
      <c r="E35">
        <v>7</v>
      </c>
      <c r="F35">
        <v>0.3</v>
      </c>
      <c r="G35">
        <v>1.21</v>
      </c>
      <c r="H35">
        <v>17</v>
      </c>
    </row>
    <row r="36" spans="1:8" x14ac:dyDescent="0.3">
      <c r="A36" t="s">
        <v>42</v>
      </c>
      <c r="B36">
        <v>40</v>
      </c>
      <c r="C36">
        <v>13</v>
      </c>
      <c r="D36">
        <v>4</v>
      </c>
      <c r="E36">
        <v>9</v>
      </c>
      <c r="F36">
        <v>0.3</v>
      </c>
      <c r="G36">
        <v>0.69</v>
      </c>
      <c r="H36">
        <v>9</v>
      </c>
    </row>
    <row r="37" spans="1:8" x14ac:dyDescent="0.3">
      <c r="A37" t="s">
        <v>43</v>
      </c>
      <c r="B37">
        <v>41</v>
      </c>
      <c r="C37">
        <v>15</v>
      </c>
      <c r="D37">
        <v>3</v>
      </c>
      <c r="E37">
        <v>12</v>
      </c>
      <c r="F37">
        <v>0.4</v>
      </c>
      <c r="G37">
        <v>0.4</v>
      </c>
      <c r="H37">
        <v>6</v>
      </c>
    </row>
    <row r="38" spans="1:8" x14ac:dyDescent="0.3">
      <c r="A38" t="s">
        <v>44</v>
      </c>
      <c r="B38">
        <v>34</v>
      </c>
      <c r="C38">
        <v>12</v>
      </c>
      <c r="D38">
        <v>5</v>
      </c>
      <c r="E38">
        <v>7</v>
      </c>
      <c r="F38">
        <v>0.4</v>
      </c>
      <c r="G38">
        <v>1.08</v>
      </c>
      <c r="H38">
        <v>13</v>
      </c>
    </row>
    <row r="39" spans="1:8" x14ac:dyDescent="0.3">
      <c r="A39" t="s">
        <v>45</v>
      </c>
      <c r="B39">
        <v>28</v>
      </c>
      <c r="C39">
        <v>6</v>
      </c>
      <c r="D39">
        <v>2</v>
      </c>
      <c r="E39">
        <v>3</v>
      </c>
      <c r="F39">
        <v>0.2</v>
      </c>
      <c r="G39">
        <v>1</v>
      </c>
      <c r="H39">
        <v>6</v>
      </c>
    </row>
    <row r="40" spans="1:8" x14ac:dyDescent="0.3">
      <c r="A40" t="s">
        <v>46</v>
      </c>
      <c r="B40">
        <v>23</v>
      </c>
      <c r="C40">
        <v>7</v>
      </c>
      <c r="D40">
        <v>4</v>
      </c>
      <c r="E40">
        <v>2</v>
      </c>
      <c r="F40">
        <v>0.3</v>
      </c>
      <c r="G40">
        <v>1.1399999999999999</v>
      </c>
      <c r="H40">
        <v>8</v>
      </c>
    </row>
    <row r="41" spans="1:8" x14ac:dyDescent="0.3">
      <c r="A41" t="s">
        <v>47</v>
      </c>
      <c r="B41">
        <v>23</v>
      </c>
      <c r="C41">
        <v>6</v>
      </c>
      <c r="D41">
        <v>1</v>
      </c>
      <c r="E41">
        <v>4</v>
      </c>
      <c r="F41">
        <v>0.3</v>
      </c>
      <c r="G41">
        <v>0.67</v>
      </c>
      <c r="H41">
        <v>4</v>
      </c>
    </row>
    <row r="42" spans="1:8" x14ac:dyDescent="0.3">
      <c r="A42" t="s">
        <v>48</v>
      </c>
      <c r="B42">
        <v>20</v>
      </c>
      <c r="C42">
        <v>7</v>
      </c>
      <c r="D42">
        <v>2</v>
      </c>
      <c r="E42">
        <v>6</v>
      </c>
      <c r="F42">
        <v>0.3</v>
      </c>
      <c r="G42">
        <v>0.71</v>
      </c>
      <c r="H42">
        <v>5</v>
      </c>
    </row>
    <row r="43" spans="1:8" x14ac:dyDescent="0.3">
      <c r="A43" t="s">
        <v>49</v>
      </c>
      <c r="B43">
        <v>36</v>
      </c>
      <c r="C43">
        <v>7</v>
      </c>
      <c r="D43">
        <v>3</v>
      </c>
      <c r="E43">
        <v>4</v>
      </c>
      <c r="F43">
        <v>0.2</v>
      </c>
      <c r="G43">
        <v>0.43</v>
      </c>
      <c r="H43">
        <v>3</v>
      </c>
    </row>
    <row r="44" spans="1:8" x14ac:dyDescent="0.3">
      <c r="A44" t="s">
        <v>50</v>
      </c>
      <c r="B44">
        <v>51</v>
      </c>
      <c r="C44">
        <v>11</v>
      </c>
      <c r="D44">
        <v>6</v>
      </c>
      <c r="E44">
        <v>5</v>
      </c>
      <c r="F44">
        <v>0.2</v>
      </c>
      <c r="G44">
        <v>0.91</v>
      </c>
      <c r="H44">
        <v>10</v>
      </c>
    </row>
    <row r="45" spans="1:8" x14ac:dyDescent="0.3">
      <c r="A45" t="s">
        <v>51</v>
      </c>
      <c r="B45">
        <v>46</v>
      </c>
      <c r="C45">
        <v>14</v>
      </c>
      <c r="D45">
        <v>11</v>
      </c>
      <c r="E45">
        <v>3</v>
      </c>
      <c r="F45">
        <v>0.3</v>
      </c>
      <c r="G45">
        <v>1.86</v>
      </c>
      <c r="H45">
        <v>26</v>
      </c>
    </row>
    <row r="46" spans="1:8" x14ac:dyDescent="0.3">
      <c r="A46" t="s">
        <v>52</v>
      </c>
      <c r="B46">
        <v>64</v>
      </c>
      <c r="C46">
        <v>21</v>
      </c>
      <c r="D46">
        <v>16</v>
      </c>
      <c r="E46">
        <v>5</v>
      </c>
      <c r="F46">
        <v>0.3</v>
      </c>
      <c r="G46">
        <v>1.76</v>
      </c>
      <c r="H46">
        <v>37</v>
      </c>
    </row>
    <row r="47" spans="1:8" x14ac:dyDescent="0.3">
      <c r="A47" t="s">
        <v>53</v>
      </c>
      <c r="B47">
        <v>74</v>
      </c>
      <c r="C47">
        <v>27</v>
      </c>
      <c r="D47">
        <v>19</v>
      </c>
      <c r="E47">
        <v>8</v>
      </c>
      <c r="F47">
        <v>0.4</v>
      </c>
      <c r="G47">
        <v>1.52</v>
      </c>
      <c r="H47">
        <v>41</v>
      </c>
    </row>
    <row r="48" spans="1:8" x14ac:dyDescent="0.3">
      <c r="A48" t="s">
        <v>54</v>
      </c>
      <c r="B48">
        <v>83</v>
      </c>
      <c r="C48">
        <v>29</v>
      </c>
      <c r="D48">
        <v>20</v>
      </c>
      <c r="E48">
        <v>9</v>
      </c>
      <c r="F48">
        <v>0.3</v>
      </c>
      <c r="G48">
        <v>2.0299999999999998</v>
      </c>
      <c r="H48">
        <v>59</v>
      </c>
    </row>
    <row r="49" spans="1:8" x14ac:dyDescent="0.3">
      <c r="A49" t="s">
        <v>55</v>
      </c>
      <c r="B49">
        <v>95</v>
      </c>
      <c r="C49">
        <v>34</v>
      </c>
      <c r="D49">
        <v>22</v>
      </c>
      <c r="E49">
        <v>12</v>
      </c>
      <c r="F49">
        <v>0.4</v>
      </c>
      <c r="G49">
        <v>1.38</v>
      </c>
      <c r="H49">
        <v>47</v>
      </c>
    </row>
    <row r="50" spans="1:8" x14ac:dyDescent="0.3">
      <c r="A50" t="s">
        <v>56</v>
      </c>
      <c r="B50">
        <v>119</v>
      </c>
      <c r="C50">
        <v>43</v>
      </c>
      <c r="D50">
        <v>17</v>
      </c>
      <c r="E50">
        <v>26</v>
      </c>
      <c r="F50">
        <v>0.4</v>
      </c>
      <c r="G50">
        <v>1.1399999999999999</v>
      </c>
      <c r="H50">
        <v>49</v>
      </c>
    </row>
    <row r="51" spans="1:8" x14ac:dyDescent="0.3">
      <c r="A51" t="s">
        <v>57</v>
      </c>
      <c r="B51">
        <v>129</v>
      </c>
      <c r="C51">
        <v>47</v>
      </c>
      <c r="D51">
        <v>17</v>
      </c>
      <c r="E51">
        <v>30</v>
      </c>
      <c r="F51">
        <v>0.4</v>
      </c>
      <c r="G51">
        <v>0.98</v>
      </c>
      <c r="H51">
        <v>46</v>
      </c>
    </row>
    <row r="52" spans="1:8" x14ac:dyDescent="0.3">
      <c r="A52" t="s">
        <v>58</v>
      </c>
      <c r="B52">
        <v>126</v>
      </c>
      <c r="C52">
        <v>50</v>
      </c>
      <c r="D52">
        <v>22</v>
      </c>
      <c r="E52">
        <v>28</v>
      </c>
      <c r="F52">
        <v>0.4</v>
      </c>
      <c r="G52">
        <v>0.8</v>
      </c>
      <c r="H52">
        <v>40</v>
      </c>
    </row>
    <row r="53" spans="1:8" x14ac:dyDescent="0.3">
      <c r="A53" t="s">
        <v>59</v>
      </c>
      <c r="B53">
        <v>108</v>
      </c>
      <c r="C53">
        <v>38</v>
      </c>
      <c r="D53">
        <v>25</v>
      </c>
      <c r="E53">
        <v>13</v>
      </c>
      <c r="F53">
        <v>0.4</v>
      </c>
      <c r="G53">
        <v>1.63</v>
      </c>
      <c r="H53">
        <v>62</v>
      </c>
    </row>
    <row r="54" spans="1:8" x14ac:dyDescent="0.3">
      <c r="A54" t="s">
        <v>60</v>
      </c>
      <c r="B54">
        <v>93</v>
      </c>
      <c r="C54">
        <v>33</v>
      </c>
      <c r="D54">
        <v>24</v>
      </c>
      <c r="E54">
        <v>8</v>
      </c>
      <c r="F54">
        <v>0.4</v>
      </c>
      <c r="G54">
        <v>1.0900000000000001</v>
      </c>
      <c r="H54">
        <v>36</v>
      </c>
    </row>
    <row r="55" spans="1:8" x14ac:dyDescent="0.3">
      <c r="A55" t="s">
        <v>61</v>
      </c>
      <c r="B55">
        <v>92</v>
      </c>
      <c r="C55">
        <v>41</v>
      </c>
      <c r="D55">
        <v>29</v>
      </c>
      <c r="E55">
        <v>11</v>
      </c>
      <c r="F55">
        <v>0.4</v>
      </c>
      <c r="G55">
        <v>1.1499999999999999</v>
      </c>
      <c r="H55">
        <v>47</v>
      </c>
    </row>
    <row r="56" spans="1:8" x14ac:dyDescent="0.3">
      <c r="A56" t="s">
        <v>62</v>
      </c>
      <c r="B56">
        <v>91</v>
      </c>
      <c r="C56">
        <v>36</v>
      </c>
      <c r="D56">
        <v>17</v>
      </c>
      <c r="E56">
        <v>18</v>
      </c>
      <c r="F56">
        <v>0.4</v>
      </c>
      <c r="G56">
        <v>0.89</v>
      </c>
      <c r="H56">
        <v>32</v>
      </c>
    </row>
    <row r="57" spans="1:8" x14ac:dyDescent="0.3">
      <c r="A57" t="s">
        <v>63</v>
      </c>
      <c r="B57">
        <v>61</v>
      </c>
      <c r="C57">
        <v>18</v>
      </c>
      <c r="D57">
        <v>12</v>
      </c>
      <c r="E57">
        <v>7</v>
      </c>
      <c r="F57">
        <v>0.3</v>
      </c>
      <c r="G57">
        <v>1</v>
      </c>
      <c r="H57">
        <v>18</v>
      </c>
    </row>
    <row r="58" spans="1:8" x14ac:dyDescent="0.3">
      <c r="A58" t="s">
        <v>64</v>
      </c>
      <c r="B58">
        <v>53</v>
      </c>
      <c r="C58">
        <v>14</v>
      </c>
      <c r="D58">
        <v>9</v>
      </c>
      <c r="E58">
        <v>5</v>
      </c>
      <c r="F58">
        <v>0.3</v>
      </c>
      <c r="G58">
        <v>0.93</v>
      </c>
      <c r="H58">
        <v>13</v>
      </c>
    </row>
    <row r="59" spans="1:8" x14ac:dyDescent="0.3">
      <c r="A59" t="s">
        <v>65</v>
      </c>
      <c r="B59">
        <v>56</v>
      </c>
      <c r="C59">
        <v>12</v>
      </c>
      <c r="D59">
        <v>6</v>
      </c>
      <c r="E59">
        <v>7</v>
      </c>
      <c r="F59">
        <v>0.2</v>
      </c>
      <c r="G59">
        <v>1</v>
      </c>
      <c r="H59">
        <v>12</v>
      </c>
    </row>
    <row r="60" spans="1:8" x14ac:dyDescent="0.3">
      <c r="A60" t="s">
        <v>66</v>
      </c>
      <c r="B60">
        <v>43</v>
      </c>
      <c r="C60">
        <v>14</v>
      </c>
      <c r="D60">
        <v>8</v>
      </c>
      <c r="E60">
        <v>5</v>
      </c>
      <c r="F60">
        <v>0.3</v>
      </c>
      <c r="G60">
        <v>0.71</v>
      </c>
      <c r="H60">
        <v>10</v>
      </c>
    </row>
    <row r="61" spans="1:8" x14ac:dyDescent="0.3">
      <c r="A61" t="s">
        <v>67</v>
      </c>
      <c r="B61">
        <v>44</v>
      </c>
      <c r="C61">
        <v>16</v>
      </c>
      <c r="D61">
        <v>8</v>
      </c>
      <c r="E61">
        <v>8</v>
      </c>
      <c r="F61">
        <v>0.4</v>
      </c>
      <c r="G61">
        <v>0.94</v>
      </c>
      <c r="H61">
        <v>15</v>
      </c>
    </row>
    <row r="62" spans="1:8" x14ac:dyDescent="0.3">
      <c r="A62" t="s">
        <v>68</v>
      </c>
      <c r="B62">
        <v>56</v>
      </c>
      <c r="C62">
        <v>20</v>
      </c>
      <c r="D62">
        <v>8</v>
      </c>
      <c r="E62">
        <v>12</v>
      </c>
      <c r="F62">
        <v>0.4</v>
      </c>
      <c r="G62">
        <v>0.5</v>
      </c>
      <c r="H62">
        <v>10</v>
      </c>
    </row>
    <row r="63" spans="1:8" x14ac:dyDescent="0.3">
      <c r="A63" t="s">
        <v>69</v>
      </c>
      <c r="B63">
        <v>53</v>
      </c>
      <c r="C63">
        <v>22</v>
      </c>
      <c r="D63">
        <v>11</v>
      </c>
      <c r="E63">
        <v>11</v>
      </c>
      <c r="F63">
        <v>0.4</v>
      </c>
      <c r="G63">
        <v>0.91</v>
      </c>
      <c r="H63">
        <v>20</v>
      </c>
    </row>
    <row r="64" spans="1:8" x14ac:dyDescent="0.3">
      <c r="A64" t="s">
        <v>70</v>
      </c>
      <c r="B64">
        <v>47</v>
      </c>
      <c r="C64">
        <v>22</v>
      </c>
      <c r="D64">
        <v>17</v>
      </c>
      <c r="E64">
        <v>5</v>
      </c>
      <c r="F64">
        <v>0.5</v>
      </c>
      <c r="G64">
        <v>1.59</v>
      </c>
      <c r="H64">
        <v>35</v>
      </c>
    </row>
    <row r="65" spans="1:8" x14ac:dyDescent="0.3">
      <c r="A65" t="s">
        <v>71</v>
      </c>
      <c r="B65">
        <v>40</v>
      </c>
      <c r="C65">
        <v>12</v>
      </c>
      <c r="D65">
        <v>8</v>
      </c>
      <c r="E65">
        <v>5</v>
      </c>
      <c r="F65">
        <v>0.3</v>
      </c>
      <c r="G65">
        <v>1.58</v>
      </c>
      <c r="H65">
        <v>19</v>
      </c>
    </row>
    <row r="66" spans="1:8" x14ac:dyDescent="0.3">
      <c r="A66" t="s">
        <v>72</v>
      </c>
      <c r="B66">
        <v>28</v>
      </c>
      <c r="C66">
        <v>7</v>
      </c>
      <c r="D66">
        <v>2</v>
      </c>
      <c r="E66">
        <v>5</v>
      </c>
      <c r="F66">
        <v>0.3</v>
      </c>
      <c r="G66">
        <v>0.86</v>
      </c>
      <c r="H66">
        <v>6</v>
      </c>
    </row>
    <row r="67" spans="1:8" x14ac:dyDescent="0.3">
      <c r="A67" t="s">
        <v>73</v>
      </c>
      <c r="B67">
        <v>17</v>
      </c>
      <c r="C67">
        <v>4</v>
      </c>
      <c r="D67">
        <v>0</v>
      </c>
      <c r="E67">
        <v>3</v>
      </c>
      <c r="F67">
        <v>0.2</v>
      </c>
      <c r="G67">
        <v>0</v>
      </c>
    </row>
    <row r="68" spans="1:8" x14ac:dyDescent="0.3">
      <c r="A68" t="s">
        <v>74</v>
      </c>
      <c r="B68">
        <v>20</v>
      </c>
      <c r="C68">
        <v>5</v>
      </c>
      <c r="D68">
        <v>1</v>
      </c>
      <c r="E68">
        <v>4</v>
      </c>
      <c r="F68">
        <v>0.3</v>
      </c>
      <c r="G68">
        <v>0.2</v>
      </c>
      <c r="H68">
        <v>1</v>
      </c>
    </row>
    <row r="69" spans="1:8" x14ac:dyDescent="0.3">
      <c r="A69" t="s">
        <v>75</v>
      </c>
      <c r="B69">
        <v>24</v>
      </c>
      <c r="C69">
        <v>4</v>
      </c>
      <c r="D69">
        <v>2</v>
      </c>
      <c r="E69">
        <v>3</v>
      </c>
      <c r="F69">
        <v>0.2</v>
      </c>
      <c r="G69">
        <v>1.25</v>
      </c>
      <c r="H69">
        <v>5</v>
      </c>
    </row>
    <row r="70" spans="1:8" x14ac:dyDescent="0.3">
      <c r="A70" t="s">
        <v>76</v>
      </c>
      <c r="B70">
        <v>23</v>
      </c>
      <c r="C70">
        <v>6</v>
      </c>
      <c r="D70">
        <v>3</v>
      </c>
      <c r="E70">
        <v>2</v>
      </c>
      <c r="F70">
        <v>0.3</v>
      </c>
      <c r="G70">
        <v>1</v>
      </c>
      <c r="H70">
        <v>6</v>
      </c>
    </row>
    <row r="71" spans="1:8" x14ac:dyDescent="0.3">
      <c r="A71" t="s">
        <v>77</v>
      </c>
      <c r="B71">
        <v>34</v>
      </c>
      <c r="C71">
        <v>12</v>
      </c>
      <c r="D71">
        <v>8</v>
      </c>
      <c r="E71">
        <v>4</v>
      </c>
      <c r="F71">
        <v>0.4</v>
      </c>
      <c r="G71">
        <v>1.25</v>
      </c>
      <c r="H71">
        <v>15</v>
      </c>
    </row>
    <row r="72" spans="1:8" x14ac:dyDescent="0.3">
      <c r="A72" t="s">
        <v>78</v>
      </c>
      <c r="B72">
        <v>43</v>
      </c>
      <c r="C72">
        <v>13</v>
      </c>
      <c r="D72">
        <v>8</v>
      </c>
      <c r="E72">
        <v>5</v>
      </c>
      <c r="F72">
        <v>0.3</v>
      </c>
      <c r="G72">
        <v>1.69</v>
      </c>
      <c r="H72">
        <v>22</v>
      </c>
    </row>
    <row r="73" spans="1:8" x14ac:dyDescent="0.3">
      <c r="A73" t="s">
        <v>79</v>
      </c>
      <c r="B73">
        <v>57</v>
      </c>
      <c r="C73">
        <v>22</v>
      </c>
      <c r="D73">
        <v>11</v>
      </c>
      <c r="E73">
        <v>11</v>
      </c>
      <c r="F73">
        <v>0.4</v>
      </c>
      <c r="G73">
        <v>1.18</v>
      </c>
      <c r="H73">
        <v>26</v>
      </c>
    </row>
    <row r="74" spans="1:8" x14ac:dyDescent="0.3">
      <c r="A74" t="s">
        <v>80</v>
      </c>
      <c r="B74">
        <v>67</v>
      </c>
      <c r="C74">
        <v>33</v>
      </c>
      <c r="D74">
        <v>21</v>
      </c>
      <c r="E74">
        <v>12</v>
      </c>
      <c r="F74">
        <v>0.5</v>
      </c>
      <c r="G74">
        <v>1.55</v>
      </c>
      <c r="H74">
        <v>51</v>
      </c>
    </row>
    <row r="75" spans="1:8" x14ac:dyDescent="0.3">
      <c r="A75" t="s">
        <v>81</v>
      </c>
      <c r="B75">
        <v>90</v>
      </c>
      <c r="C75">
        <v>36</v>
      </c>
      <c r="D75">
        <v>16</v>
      </c>
      <c r="E75">
        <v>20</v>
      </c>
      <c r="F75">
        <v>0.4</v>
      </c>
      <c r="G75">
        <v>1.19</v>
      </c>
      <c r="H75">
        <v>43</v>
      </c>
    </row>
    <row r="76" spans="1:8" x14ac:dyDescent="0.3">
      <c r="A76" t="s">
        <v>82</v>
      </c>
      <c r="B76">
        <v>95</v>
      </c>
      <c r="C76">
        <v>35</v>
      </c>
      <c r="D76">
        <v>17</v>
      </c>
      <c r="E76">
        <v>18</v>
      </c>
      <c r="F76">
        <v>0.4</v>
      </c>
      <c r="G76">
        <v>1.29</v>
      </c>
      <c r="H76">
        <v>45</v>
      </c>
    </row>
    <row r="77" spans="1:8" x14ac:dyDescent="0.3">
      <c r="A77" t="s">
        <v>83</v>
      </c>
      <c r="B77">
        <v>78</v>
      </c>
      <c r="C77">
        <v>33</v>
      </c>
      <c r="D77">
        <v>24</v>
      </c>
      <c r="E77">
        <v>9</v>
      </c>
      <c r="F77">
        <v>0.4</v>
      </c>
      <c r="G77">
        <v>1.52</v>
      </c>
      <c r="H77">
        <v>50</v>
      </c>
    </row>
    <row r="78" spans="1:8" x14ac:dyDescent="0.3">
      <c r="A78" t="s">
        <v>84</v>
      </c>
      <c r="B78">
        <v>70</v>
      </c>
      <c r="C78">
        <v>30</v>
      </c>
      <c r="D78">
        <v>26</v>
      </c>
      <c r="E78">
        <v>4</v>
      </c>
      <c r="F78">
        <v>0.4</v>
      </c>
      <c r="G78">
        <v>1.47</v>
      </c>
      <c r="H78">
        <v>44</v>
      </c>
    </row>
    <row r="79" spans="1:8" x14ac:dyDescent="0.3">
      <c r="A79" t="s">
        <v>85</v>
      </c>
      <c r="B79">
        <v>59</v>
      </c>
      <c r="C79">
        <v>25</v>
      </c>
      <c r="D79">
        <v>21</v>
      </c>
      <c r="E79">
        <v>4</v>
      </c>
      <c r="F79">
        <v>0.4</v>
      </c>
      <c r="G79">
        <v>1.72</v>
      </c>
      <c r="H79">
        <v>43</v>
      </c>
    </row>
    <row r="80" spans="1:8" x14ac:dyDescent="0.3">
      <c r="A80" t="s">
        <v>86</v>
      </c>
      <c r="B80">
        <v>63</v>
      </c>
      <c r="C80">
        <v>18</v>
      </c>
      <c r="D80">
        <v>12</v>
      </c>
      <c r="E80">
        <v>7</v>
      </c>
      <c r="F80">
        <v>0.3</v>
      </c>
      <c r="G80">
        <v>1.33</v>
      </c>
      <c r="H80">
        <v>24</v>
      </c>
    </row>
    <row r="81" spans="1:8" x14ac:dyDescent="0.3">
      <c r="A81" t="s">
        <v>87</v>
      </c>
      <c r="B81">
        <v>64</v>
      </c>
      <c r="C81">
        <v>18</v>
      </c>
      <c r="D81">
        <v>7</v>
      </c>
      <c r="E81">
        <v>11</v>
      </c>
      <c r="F81">
        <v>0.3</v>
      </c>
      <c r="G81">
        <v>0.89</v>
      </c>
      <c r="H81">
        <v>16</v>
      </c>
    </row>
    <row r="82" spans="1:8" x14ac:dyDescent="0.3">
      <c r="A82" t="s">
        <v>88</v>
      </c>
      <c r="B82">
        <v>61</v>
      </c>
      <c r="C82">
        <v>12</v>
      </c>
      <c r="D82">
        <v>3</v>
      </c>
      <c r="E82">
        <v>9</v>
      </c>
      <c r="F82">
        <v>0.2</v>
      </c>
      <c r="G82">
        <v>0.5</v>
      </c>
      <c r="H82">
        <v>6</v>
      </c>
    </row>
    <row r="83" spans="1:8" x14ac:dyDescent="0.3">
      <c r="A83" t="s">
        <v>89</v>
      </c>
      <c r="B83">
        <v>58</v>
      </c>
      <c r="C83">
        <v>14</v>
      </c>
      <c r="D83">
        <v>5</v>
      </c>
      <c r="E83">
        <v>9</v>
      </c>
      <c r="F83">
        <v>0.2</v>
      </c>
      <c r="G83">
        <v>0.64</v>
      </c>
      <c r="H83">
        <v>9</v>
      </c>
    </row>
    <row r="84" spans="1:8" x14ac:dyDescent="0.3">
      <c r="A84" t="s">
        <v>90</v>
      </c>
      <c r="B84">
        <v>50</v>
      </c>
      <c r="C84">
        <v>9</v>
      </c>
      <c r="D84">
        <v>3</v>
      </c>
      <c r="E84">
        <v>5</v>
      </c>
      <c r="F84">
        <v>0.2</v>
      </c>
      <c r="G84">
        <v>0.67</v>
      </c>
      <c r="H84">
        <v>6</v>
      </c>
    </row>
    <row r="85" spans="1:8" x14ac:dyDescent="0.3">
      <c r="A85" t="s">
        <v>91</v>
      </c>
      <c r="B85">
        <v>56</v>
      </c>
      <c r="C85">
        <v>18</v>
      </c>
      <c r="D85">
        <v>8</v>
      </c>
      <c r="E85">
        <v>10</v>
      </c>
      <c r="F85">
        <v>0.3</v>
      </c>
      <c r="G85">
        <v>0.44</v>
      </c>
      <c r="H85">
        <v>8</v>
      </c>
    </row>
    <row r="86" spans="1:8" x14ac:dyDescent="0.3">
      <c r="A86" t="s">
        <v>92</v>
      </c>
      <c r="B86">
        <v>63</v>
      </c>
      <c r="C86">
        <v>22</v>
      </c>
      <c r="D86">
        <v>8</v>
      </c>
      <c r="E86">
        <v>14</v>
      </c>
      <c r="F86">
        <v>0.3</v>
      </c>
      <c r="G86">
        <v>0.91</v>
      </c>
      <c r="H86">
        <v>20</v>
      </c>
    </row>
    <row r="87" spans="1:8" x14ac:dyDescent="0.3">
      <c r="A87" t="s">
        <v>93</v>
      </c>
      <c r="B87">
        <v>69</v>
      </c>
      <c r="C87">
        <v>26</v>
      </c>
      <c r="D87">
        <v>13</v>
      </c>
      <c r="E87">
        <v>13</v>
      </c>
      <c r="F87">
        <v>0.4</v>
      </c>
      <c r="G87">
        <v>0.85</v>
      </c>
      <c r="H87">
        <v>22</v>
      </c>
    </row>
    <row r="88" spans="1:8" x14ac:dyDescent="0.3">
      <c r="A88" t="s">
        <v>94</v>
      </c>
      <c r="B88">
        <v>54</v>
      </c>
      <c r="C88">
        <v>25</v>
      </c>
      <c r="D88">
        <v>18</v>
      </c>
      <c r="E88">
        <v>7</v>
      </c>
      <c r="F88">
        <v>0.5</v>
      </c>
      <c r="G88">
        <v>1.48</v>
      </c>
      <c r="H88">
        <v>37</v>
      </c>
    </row>
    <row r="89" spans="1:8" x14ac:dyDescent="0.3">
      <c r="A89" t="s">
        <v>95</v>
      </c>
      <c r="B89">
        <v>45</v>
      </c>
      <c r="C89">
        <v>15</v>
      </c>
      <c r="D89">
        <v>8</v>
      </c>
      <c r="E89">
        <v>7</v>
      </c>
      <c r="F89">
        <v>0.3</v>
      </c>
      <c r="G89">
        <v>1.47</v>
      </c>
      <c r="H89">
        <v>22</v>
      </c>
    </row>
    <row r="90" spans="1:8" x14ac:dyDescent="0.3">
      <c r="A90" t="s">
        <v>96</v>
      </c>
      <c r="B90">
        <v>35</v>
      </c>
      <c r="C90">
        <v>9</v>
      </c>
      <c r="D90">
        <v>3</v>
      </c>
      <c r="E90">
        <v>7</v>
      </c>
      <c r="F90">
        <v>0.3</v>
      </c>
      <c r="G90">
        <v>0.78</v>
      </c>
      <c r="H90">
        <v>7</v>
      </c>
    </row>
    <row r="91" spans="1:8" x14ac:dyDescent="0.3">
      <c r="A91" t="s">
        <v>97</v>
      </c>
      <c r="B91">
        <v>23</v>
      </c>
      <c r="C91">
        <v>9</v>
      </c>
      <c r="D91">
        <v>0</v>
      </c>
      <c r="E91">
        <v>9</v>
      </c>
      <c r="F91">
        <v>0.4</v>
      </c>
      <c r="G91">
        <v>0.11</v>
      </c>
      <c r="H91">
        <v>1</v>
      </c>
    </row>
    <row r="92" spans="1:8" x14ac:dyDescent="0.3">
      <c r="A92" t="s">
        <v>98</v>
      </c>
      <c r="B92">
        <v>14</v>
      </c>
      <c r="C92">
        <v>7</v>
      </c>
      <c r="D92">
        <v>1</v>
      </c>
      <c r="E92">
        <v>7</v>
      </c>
      <c r="F92">
        <v>0.5</v>
      </c>
      <c r="G92">
        <v>0.43</v>
      </c>
      <c r="H92">
        <v>3</v>
      </c>
    </row>
    <row r="93" spans="1:8" x14ac:dyDescent="0.3">
      <c r="A93" t="s">
        <v>99</v>
      </c>
      <c r="B93">
        <v>21</v>
      </c>
      <c r="C93">
        <v>6</v>
      </c>
      <c r="D93">
        <v>1</v>
      </c>
      <c r="E93">
        <v>5</v>
      </c>
      <c r="F93">
        <v>0.3</v>
      </c>
      <c r="G93">
        <v>0</v>
      </c>
    </row>
    <row r="94" spans="1:8" x14ac:dyDescent="0.3">
      <c r="A94" t="s">
        <v>100</v>
      </c>
      <c r="B94">
        <v>22</v>
      </c>
      <c r="C94">
        <v>7</v>
      </c>
      <c r="D94">
        <v>2</v>
      </c>
      <c r="E94">
        <v>5</v>
      </c>
      <c r="F94">
        <v>0.3</v>
      </c>
      <c r="G94">
        <v>0.71</v>
      </c>
      <c r="H94">
        <v>5</v>
      </c>
    </row>
    <row r="95" spans="1:8" x14ac:dyDescent="0.3">
      <c r="A95" t="s">
        <v>101</v>
      </c>
      <c r="B95">
        <v>27</v>
      </c>
      <c r="C95">
        <v>9</v>
      </c>
      <c r="D95">
        <v>4</v>
      </c>
      <c r="E95">
        <v>5</v>
      </c>
      <c r="F95">
        <v>0.3</v>
      </c>
      <c r="G95">
        <v>0.89</v>
      </c>
      <c r="H95">
        <v>8</v>
      </c>
    </row>
    <row r="96" spans="1:8" x14ac:dyDescent="0.3">
      <c r="A96" t="s">
        <v>102</v>
      </c>
      <c r="B96">
        <v>43</v>
      </c>
      <c r="C96">
        <v>16</v>
      </c>
      <c r="D96">
        <v>7</v>
      </c>
      <c r="E96">
        <v>9</v>
      </c>
      <c r="F96">
        <v>0.4</v>
      </c>
      <c r="G96">
        <v>0.81</v>
      </c>
      <c r="H96">
        <v>13</v>
      </c>
    </row>
    <row r="97" spans="1:8" x14ac:dyDescent="0.3">
      <c r="A97" t="s">
        <v>103</v>
      </c>
      <c r="B97">
        <v>52</v>
      </c>
      <c r="C97">
        <v>21</v>
      </c>
      <c r="D97">
        <v>12</v>
      </c>
      <c r="E97">
        <v>9</v>
      </c>
      <c r="F97">
        <v>0.4</v>
      </c>
      <c r="G97">
        <v>1.48</v>
      </c>
      <c r="H97">
        <v>31</v>
      </c>
    </row>
    <row r="98" spans="1:8" x14ac:dyDescent="0.3">
      <c r="A98" t="s">
        <v>104</v>
      </c>
      <c r="B98">
        <v>71</v>
      </c>
      <c r="C98">
        <v>28</v>
      </c>
      <c r="D98">
        <v>12</v>
      </c>
      <c r="E98">
        <v>15</v>
      </c>
      <c r="F98">
        <v>0.4</v>
      </c>
      <c r="G98">
        <v>1.25</v>
      </c>
      <c r="H98">
        <v>35</v>
      </c>
    </row>
    <row r="99" spans="1:8" x14ac:dyDescent="0.3">
      <c r="A99" t="s">
        <v>105</v>
      </c>
      <c r="B99">
        <v>80</v>
      </c>
      <c r="C99">
        <v>28</v>
      </c>
      <c r="D99">
        <v>12</v>
      </c>
      <c r="E99">
        <v>16</v>
      </c>
      <c r="F99">
        <v>0.3</v>
      </c>
      <c r="G99">
        <v>1.1100000000000001</v>
      </c>
      <c r="H99">
        <v>31</v>
      </c>
    </row>
    <row r="100" spans="1:8" x14ac:dyDescent="0.3">
      <c r="A100" t="s">
        <v>106</v>
      </c>
      <c r="B100">
        <v>85</v>
      </c>
      <c r="C100">
        <v>29</v>
      </c>
      <c r="D100">
        <v>12</v>
      </c>
      <c r="E100">
        <v>18</v>
      </c>
      <c r="F100">
        <v>0.3</v>
      </c>
      <c r="G100">
        <v>1.28</v>
      </c>
      <c r="H100">
        <v>37</v>
      </c>
    </row>
    <row r="101" spans="1:8" x14ac:dyDescent="0.3">
      <c r="A101" t="s">
        <v>107</v>
      </c>
      <c r="B101">
        <v>89</v>
      </c>
      <c r="C101">
        <v>37</v>
      </c>
      <c r="D101">
        <v>21</v>
      </c>
      <c r="E101">
        <v>16</v>
      </c>
      <c r="F101">
        <v>0.4</v>
      </c>
      <c r="G101">
        <v>0.92</v>
      </c>
      <c r="H101">
        <v>34</v>
      </c>
    </row>
    <row r="102" spans="1:8" x14ac:dyDescent="0.3">
      <c r="A102" t="s">
        <v>108</v>
      </c>
      <c r="B102">
        <v>80</v>
      </c>
      <c r="C102">
        <v>30</v>
      </c>
      <c r="D102">
        <v>22</v>
      </c>
      <c r="E102">
        <v>9</v>
      </c>
      <c r="F102">
        <v>0.4</v>
      </c>
      <c r="G102">
        <v>1.43</v>
      </c>
      <c r="H102">
        <v>43</v>
      </c>
    </row>
    <row r="103" spans="1:8" x14ac:dyDescent="0.3">
      <c r="A103" t="s">
        <v>109</v>
      </c>
      <c r="B103">
        <v>69</v>
      </c>
      <c r="C103">
        <v>27</v>
      </c>
      <c r="D103">
        <v>21</v>
      </c>
      <c r="E103">
        <v>6</v>
      </c>
      <c r="F103">
        <v>0.4</v>
      </c>
      <c r="G103">
        <v>1.1100000000000001</v>
      </c>
      <c r="H103">
        <v>30</v>
      </c>
    </row>
    <row r="104" spans="1:8" x14ac:dyDescent="0.3">
      <c r="A104" t="s">
        <v>110</v>
      </c>
      <c r="B104">
        <v>76</v>
      </c>
      <c r="C104">
        <v>22</v>
      </c>
      <c r="D104">
        <v>12</v>
      </c>
      <c r="E104">
        <v>10</v>
      </c>
      <c r="F104">
        <v>0.3</v>
      </c>
      <c r="G104">
        <v>1.0900000000000001</v>
      </c>
      <c r="H104">
        <v>24</v>
      </c>
    </row>
    <row r="105" spans="1:8" x14ac:dyDescent="0.3">
      <c r="A105" t="s">
        <v>111</v>
      </c>
      <c r="B105">
        <v>67</v>
      </c>
      <c r="C105">
        <v>20</v>
      </c>
      <c r="D105">
        <v>7</v>
      </c>
      <c r="E105">
        <v>13</v>
      </c>
      <c r="F105">
        <v>0.3</v>
      </c>
      <c r="G105">
        <v>0.75</v>
      </c>
      <c r="H105">
        <v>15</v>
      </c>
    </row>
    <row r="106" spans="1:8" x14ac:dyDescent="0.3">
      <c r="A106" t="s">
        <v>112</v>
      </c>
      <c r="B106">
        <v>62</v>
      </c>
      <c r="C106">
        <v>19</v>
      </c>
      <c r="D106">
        <v>5</v>
      </c>
      <c r="E106">
        <v>14</v>
      </c>
      <c r="F106">
        <v>0.3</v>
      </c>
      <c r="G106">
        <v>0.57999999999999996</v>
      </c>
      <c r="H106">
        <v>11</v>
      </c>
    </row>
    <row r="107" spans="1:8" x14ac:dyDescent="0.3">
      <c r="A107" t="s">
        <v>113</v>
      </c>
      <c r="B107">
        <v>62</v>
      </c>
      <c r="C107">
        <v>13</v>
      </c>
      <c r="D107">
        <v>3</v>
      </c>
      <c r="E107">
        <v>10</v>
      </c>
      <c r="F107">
        <v>0.2</v>
      </c>
      <c r="G107">
        <v>0.54</v>
      </c>
      <c r="H107">
        <v>7</v>
      </c>
    </row>
    <row r="108" spans="1:8" x14ac:dyDescent="0.3">
      <c r="A108" t="s">
        <v>114</v>
      </c>
      <c r="B108">
        <v>71</v>
      </c>
      <c r="C108">
        <v>19</v>
      </c>
      <c r="D108">
        <v>6</v>
      </c>
      <c r="E108">
        <v>13</v>
      </c>
      <c r="F108">
        <v>0.3</v>
      </c>
      <c r="G108">
        <v>0.37</v>
      </c>
      <c r="H108">
        <v>7</v>
      </c>
    </row>
    <row r="109" spans="1:8" x14ac:dyDescent="0.3">
      <c r="A109" t="s">
        <v>115</v>
      </c>
      <c r="B109">
        <v>69</v>
      </c>
      <c r="C109">
        <v>19</v>
      </c>
      <c r="D109">
        <v>5</v>
      </c>
      <c r="E109">
        <v>15</v>
      </c>
      <c r="F109">
        <v>0.3</v>
      </c>
      <c r="G109">
        <v>0.68</v>
      </c>
      <c r="H109">
        <v>13</v>
      </c>
    </row>
    <row r="110" spans="1:8" x14ac:dyDescent="0.3">
      <c r="A110" t="s">
        <v>116</v>
      </c>
      <c r="B110">
        <v>71</v>
      </c>
      <c r="C110">
        <v>28</v>
      </c>
      <c r="D110">
        <v>5</v>
      </c>
      <c r="E110">
        <v>23</v>
      </c>
      <c r="F110">
        <v>0.4</v>
      </c>
      <c r="G110">
        <v>0.39</v>
      </c>
      <c r="H110">
        <v>11</v>
      </c>
    </row>
    <row r="111" spans="1:8" x14ac:dyDescent="0.3">
      <c r="A111" t="s">
        <v>117</v>
      </c>
      <c r="B111">
        <v>80</v>
      </c>
      <c r="C111">
        <v>33</v>
      </c>
      <c r="D111">
        <v>12</v>
      </c>
      <c r="E111">
        <v>21</v>
      </c>
      <c r="F111">
        <v>0.4</v>
      </c>
      <c r="G111">
        <v>0.48</v>
      </c>
      <c r="H111">
        <v>16</v>
      </c>
    </row>
    <row r="112" spans="1:8" x14ac:dyDescent="0.3">
      <c r="A112" t="s">
        <v>118</v>
      </c>
      <c r="B112">
        <v>57</v>
      </c>
      <c r="C112">
        <v>22</v>
      </c>
      <c r="D112">
        <v>17</v>
      </c>
      <c r="E112">
        <v>6</v>
      </c>
      <c r="F112">
        <v>0.4</v>
      </c>
      <c r="G112">
        <v>1.5</v>
      </c>
      <c r="H112">
        <v>33</v>
      </c>
    </row>
    <row r="113" spans="1:8" x14ac:dyDescent="0.3">
      <c r="A113" t="s">
        <v>119</v>
      </c>
      <c r="B113">
        <v>49</v>
      </c>
      <c r="C113">
        <v>18</v>
      </c>
      <c r="D113">
        <v>10</v>
      </c>
      <c r="E113">
        <v>8</v>
      </c>
      <c r="F113">
        <v>0.4</v>
      </c>
      <c r="G113">
        <v>1</v>
      </c>
      <c r="H113">
        <v>18</v>
      </c>
    </row>
    <row r="114" spans="1:8" x14ac:dyDescent="0.3">
      <c r="A114" t="s">
        <v>120</v>
      </c>
      <c r="B114">
        <v>42</v>
      </c>
      <c r="C114">
        <v>14</v>
      </c>
      <c r="D114">
        <v>3</v>
      </c>
      <c r="E114">
        <v>11</v>
      </c>
      <c r="F114">
        <v>0.3</v>
      </c>
      <c r="G114">
        <v>0.56999999999999995</v>
      </c>
      <c r="H114">
        <v>8</v>
      </c>
    </row>
    <row r="115" spans="1:8" x14ac:dyDescent="0.3">
      <c r="A115" t="s">
        <v>121</v>
      </c>
      <c r="B115">
        <v>24</v>
      </c>
      <c r="C115">
        <v>6</v>
      </c>
      <c r="D115">
        <v>0</v>
      </c>
      <c r="E115">
        <v>6</v>
      </c>
      <c r="F115">
        <v>0.3</v>
      </c>
      <c r="G115">
        <v>0.33</v>
      </c>
      <c r="H115">
        <v>2</v>
      </c>
    </row>
    <row r="116" spans="1:8" x14ac:dyDescent="0.3">
      <c r="A116" t="s">
        <v>122</v>
      </c>
      <c r="B116">
        <v>17</v>
      </c>
      <c r="C116">
        <v>6</v>
      </c>
      <c r="D116">
        <v>0</v>
      </c>
      <c r="E116">
        <v>6</v>
      </c>
      <c r="F116">
        <v>0.4</v>
      </c>
      <c r="G116">
        <v>0</v>
      </c>
    </row>
    <row r="117" spans="1:8" x14ac:dyDescent="0.3">
      <c r="A117" t="s">
        <v>123</v>
      </c>
      <c r="B117">
        <v>14</v>
      </c>
      <c r="C117">
        <v>5</v>
      </c>
      <c r="D117">
        <v>1</v>
      </c>
      <c r="E117">
        <v>4</v>
      </c>
      <c r="F117">
        <v>0.4</v>
      </c>
      <c r="G117">
        <v>0</v>
      </c>
    </row>
    <row r="118" spans="1:8" x14ac:dyDescent="0.3">
      <c r="A118" t="s">
        <v>124</v>
      </c>
      <c r="B118">
        <v>12</v>
      </c>
      <c r="C118">
        <v>2</v>
      </c>
      <c r="D118">
        <v>0</v>
      </c>
      <c r="E118">
        <v>2</v>
      </c>
      <c r="F118">
        <v>0.2</v>
      </c>
      <c r="G118">
        <v>0.5</v>
      </c>
      <c r="H118">
        <v>1</v>
      </c>
    </row>
    <row r="119" spans="1:8" x14ac:dyDescent="0.3">
      <c r="A119" t="s">
        <v>125</v>
      </c>
      <c r="B119">
        <v>24</v>
      </c>
      <c r="C119">
        <v>4</v>
      </c>
      <c r="D119">
        <v>2</v>
      </c>
      <c r="E119">
        <v>2</v>
      </c>
      <c r="F119">
        <v>0.2</v>
      </c>
      <c r="G119">
        <v>1</v>
      </c>
      <c r="H119">
        <v>4</v>
      </c>
    </row>
    <row r="120" spans="1:8" x14ac:dyDescent="0.3">
      <c r="A120" t="s">
        <v>126</v>
      </c>
      <c r="B120">
        <v>35</v>
      </c>
      <c r="C120">
        <v>11</v>
      </c>
      <c r="D120">
        <v>3</v>
      </c>
      <c r="E120">
        <v>9</v>
      </c>
      <c r="F120">
        <v>0.3</v>
      </c>
      <c r="G120">
        <v>0.73</v>
      </c>
      <c r="H120">
        <v>8</v>
      </c>
    </row>
    <row r="121" spans="1:8" x14ac:dyDescent="0.3">
      <c r="A121" t="s">
        <v>127</v>
      </c>
      <c r="B121">
        <v>45</v>
      </c>
      <c r="C121">
        <v>18</v>
      </c>
      <c r="D121">
        <v>6</v>
      </c>
      <c r="E121">
        <v>12</v>
      </c>
      <c r="F121">
        <v>0.4</v>
      </c>
      <c r="G121">
        <v>0.56000000000000005</v>
      </c>
      <c r="H121">
        <v>10</v>
      </c>
    </row>
    <row r="122" spans="1:8" x14ac:dyDescent="0.3">
      <c r="A122" t="s">
        <v>128</v>
      </c>
      <c r="B122">
        <v>60</v>
      </c>
      <c r="C122">
        <v>20</v>
      </c>
      <c r="D122">
        <v>6</v>
      </c>
      <c r="E122">
        <v>14</v>
      </c>
      <c r="F122">
        <v>0.3</v>
      </c>
      <c r="G122">
        <v>0.95</v>
      </c>
      <c r="H122">
        <v>19</v>
      </c>
    </row>
    <row r="123" spans="1:8" x14ac:dyDescent="0.3">
      <c r="A123" t="s">
        <v>129</v>
      </c>
      <c r="B123">
        <v>83</v>
      </c>
      <c r="C123">
        <v>32</v>
      </c>
      <c r="D123">
        <v>12</v>
      </c>
      <c r="E123">
        <v>20</v>
      </c>
      <c r="F123">
        <v>0.4</v>
      </c>
      <c r="G123">
        <v>0.75</v>
      </c>
      <c r="H123">
        <v>24</v>
      </c>
    </row>
    <row r="124" spans="1:8" x14ac:dyDescent="0.3">
      <c r="A124" t="s">
        <v>130</v>
      </c>
      <c r="B124">
        <v>99</v>
      </c>
      <c r="C124">
        <v>33</v>
      </c>
      <c r="D124">
        <v>14</v>
      </c>
      <c r="E124">
        <v>18</v>
      </c>
      <c r="F124">
        <v>0.3</v>
      </c>
      <c r="G124">
        <v>1.3</v>
      </c>
      <c r="H124">
        <v>43</v>
      </c>
    </row>
    <row r="125" spans="1:8" x14ac:dyDescent="0.3">
      <c r="A125" t="s">
        <v>131</v>
      </c>
      <c r="B125">
        <v>106</v>
      </c>
      <c r="C125">
        <v>40</v>
      </c>
      <c r="D125">
        <v>14</v>
      </c>
      <c r="E125">
        <v>26</v>
      </c>
      <c r="F125">
        <v>0.4</v>
      </c>
      <c r="G125">
        <v>0.7</v>
      </c>
      <c r="H125">
        <v>28</v>
      </c>
    </row>
    <row r="126" spans="1:8" x14ac:dyDescent="0.3">
      <c r="A126" t="s">
        <v>132</v>
      </c>
      <c r="B126">
        <v>98</v>
      </c>
      <c r="C126">
        <v>36</v>
      </c>
      <c r="D126">
        <v>21</v>
      </c>
      <c r="E126">
        <v>16</v>
      </c>
      <c r="F126">
        <v>0.4</v>
      </c>
      <c r="G126">
        <v>1.17</v>
      </c>
      <c r="H126">
        <v>42</v>
      </c>
    </row>
    <row r="127" spans="1:8" x14ac:dyDescent="0.3">
      <c r="A127" t="s">
        <v>133</v>
      </c>
      <c r="B127">
        <v>75</v>
      </c>
      <c r="C127">
        <v>25</v>
      </c>
      <c r="D127">
        <v>18</v>
      </c>
      <c r="E127">
        <v>7</v>
      </c>
      <c r="F127">
        <v>0.3</v>
      </c>
      <c r="G127">
        <v>1.2</v>
      </c>
      <c r="H127">
        <v>30</v>
      </c>
    </row>
    <row r="128" spans="1:8" x14ac:dyDescent="0.3">
      <c r="A128" t="s">
        <v>134</v>
      </c>
      <c r="B128">
        <v>72</v>
      </c>
      <c r="C128">
        <v>22</v>
      </c>
      <c r="D128">
        <v>11</v>
      </c>
      <c r="E128">
        <v>11</v>
      </c>
      <c r="F128">
        <v>0.3</v>
      </c>
      <c r="G128">
        <v>1.18</v>
      </c>
      <c r="H128">
        <v>26</v>
      </c>
    </row>
    <row r="129" spans="1:8" x14ac:dyDescent="0.3">
      <c r="A129" t="s">
        <v>135</v>
      </c>
      <c r="B129">
        <v>56</v>
      </c>
      <c r="C129">
        <v>15</v>
      </c>
      <c r="D129">
        <v>4</v>
      </c>
      <c r="E129">
        <v>12</v>
      </c>
      <c r="F129">
        <v>0.3</v>
      </c>
      <c r="G129">
        <v>0.53</v>
      </c>
      <c r="H129">
        <v>8</v>
      </c>
    </row>
    <row r="130" spans="1:8" x14ac:dyDescent="0.3">
      <c r="A130" t="s">
        <v>136</v>
      </c>
      <c r="B130">
        <v>53</v>
      </c>
      <c r="C130">
        <v>17</v>
      </c>
      <c r="D130">
        <v>5</v>
      </c>
      <c r="E130">
        <v>12</v>
      </c>
      <c r="F130">
        <v>0.3</v>
      </c>
      <c r="G130">
        <v>0.47</v>
      </c>
      <c r="H130">
        <v>8</v>
      </c>
    </row>
    <row r="131" spans="1:8" x14ac:dyDescent="0.3">
      <c r="A131" t="s">
        <v>137</v>
      </c>
      <c r="B131">
        <v>55</v>
      </c>
      <c r="C131">
        <v>14</v>
      </c>
      <c r="D131">
        <v>4</v>
      </c>
      <c r="E131">
        <v>11</v>
      </c>
      <c r="F131">
        <v>0.3</v>
      </c>
      <c r="G131">
        <v>0.56999999999999995</v>
      </c>
      <c r="H131">
        <v>8</v>
      </c>
    </row>
    <row r="132" spans="1:8" x14ac:dyDescent="0.3">
      <c r="A132" t="s">
        <v>138</v>
      </c>
      <c r="B132">
        <v>56</v>
      </c>
      <c r="C132">
        <v>15</v>
      </c>
      <c r="D132">
        <v>3</v>
      </c>
      <c r="E132">
        <v>12</v>
      </c>
      <c r="F132">
        <v>0.3</v>
      </c>
      <c r="G132">
        <v>0.6</v>
      </c>
      <c r="H132">
        <v>9</v>
      </c>
    </row>
    <row r="133" spans="1:8" x14ac:dyDescent="0.3">
      <c r="A133" t="s">
        <v>139</v>
      </c>
      <c r="B133">
        <v>58</v>
      </c>
      <c r="C133">
        <v>17</v>
      </c>
      <c r="D133">
        <v>4</v>
      </c>
      <c r="E133">
        <v>13</v>
      </c>
      <c r="F133">
        <v>0.3</v>
      </c>
      <c r="G133">
        <v>0.47</v>
      </c>
      <c r="H133">
        <v>8</v>
      </c>
    </row>
    <row r="134" spans="1:8" x14ac:dyDescent="0.3">
      <c r="A134" t="s">
        <v>140</v>
      </c>
      <c r="B134">
        <v>64</v>
      </c>
      <c r="C134">
        <v>25</v>
      </c>
      <c r="D134">
        <v>8</v>
      </c>
      <c r="E134">
        <v>17</v>
      </c>
      <c r="F134">
        <v>0.4</v>
      </c>
      <c r="G134">
        <v>0.6</v>
      </c>
      <c r="H134">
        <v>15</v>
      </c>
    </row>
    <row r="135" spans="1:8" x14ac:dyDescent="0.3">
      <c r="A135" t="s">
        <v>141</v>
      </c>
      <c r="B135">
        <v>80</v>
      </c>
      <c r="C135">
        <v>26</v>
      </c>
      <c r="D135">
        <v>8</v>
      </c>
      <c r="E135">
        <v>18</v>
      </c>
      <c r="F135">
        <v>0.3</v>
      </c>
      <c r="G135">
        <v>0.5</v>
      </c>
      <c r="H135">
        <v>13</v>
      </c>
    </row>
    <row r="136" spans="1:8" x14ac:dyDescent="0.3">
      <c r="A136" t="s">
        <v>142</v>
      </c>
      <c r="B136">
        <v>54</v>
      </c>
      <c r="C136">
        <v>19</v>
      </c>
      <c r="D136">
        <v>13</v>
      </c>
      <c r="E136">
        <v>6</v>
      </c>
      <c r="F136">
        <v>0.4</v>
      </c>
      <c r="G136">
        <v>1.37</v>
      </c>
      <c r="H136">
        <v>26</v>
      </c>
    </row>
    <row r="137" spans="1:8" x14ac:dyDescent="0.3">
      <c r="A137" t="s">
        <v>143</v>
      </c>
      <c r="B137">
        <v>40</v>
      </c>
      <c r="C137">
        <v>13</v>
      </c>
      <c r="D137">
        <v>11</v>
      </c>
      <c r="E137">
        <v>2</v>
      </c>
      <c r="F137">
        <v>0.3</v>
      </c>
      <c r="G137">
        <v>1.31</v>
      </c>
      <c r="H137">
        <v>17</v>
      </c>
    </row>
    <row r="138" spans="1:8" x14ac:dyDescent="0.3">
      <c r="A138" t="s">
        <v>144</v>
      </c>
      <c r="B138">
        <v>39</v>
      </c>
      <c r="C138">
        <v>8</v>
      </c>
      <c r="D138">
        <v>4</v>
      </c>
      <c r="E138">
        <v>4</v>
      </c>
      <c r="F138">
        <v>0.2</v>
      </c>
      <c r="G138">
        <v>1.1299999999999999</v>
      </c>
      <c r="H138">
        <v>9</v>
      </c>
    </row>
    <row r="139" spans="1:8" x14ac:dyDescent="0.3">
      <c r="A139" t="s">
        <v>145</v>
      </c>
      <c r="B139">
        <v>26</v>
      </c>
      <c r="C139">
        <v>6</v>
      </c>
      <c r="D139">
        <v>1</v>
      </c>
      <c r="E139">
        <v>5</v>
      </c>
      <c r="F139">
        <v>0.2</v>
      </c>
      <c r="G139">
        <v>0.5</v>
      </c>
      <c r="H139">
        <v>3</v>
      </c>
    </row>
    <row r="140" spans="1:8" x14ac:dyDescent="0.3">
      <c r="A140" t="s">
        <v>146</v>
      </c>
      <c r="B140">
        <v>13</v>
      </c>
      <c r="C140">
        <v>4</v>
      </c>
      <c r="D140">
        <v>0</v>
      </c>
      <c r="E140">
        <v>4</v>
      </c>
      <c r="F140">
        <v>0.3</v>
      </c>
      <c r="G140">
        <v>0</v>
      </c>
    </row>
    <row r="141" spans="1:8" x14ac:dyDescent="0.3">
      <c r="A141" t="s">
        <v>147</v>
      </c>
      <c r="B141">
        <v>16</v>
      </c>
      <c r="C141">
        <v>5</v>
      </c>
      <c r="D141">
        <v>0</v>
      </c>
      <c r="E141">
        <v>5</v>
      </c>
      <c r="F141">
        <v>0.3</v>
      </c>
      <c r="G141">
        <v>0</v>
      </c>
    </row>
    <row r="142" spans="1:8" x14ac:dyDescent="0.3">
      <c r="A142" t="s">
        <v>148</v>
      </c>
      <c r="B142">
        <v>14</v>
      </c>
      <c r="C142">
        <v>5</v>
      </c>
      <c r="D142">
        <v>0</v>
      </c>
      <c r="E142">
        <v>4</v>
      </c>
      <c r="F142">
        <v>0.4</v>
      </c>
      <c r="G142">
        <v>0</v>
      </c>
    </row>
    <row r="143" spans="1:8" x14ac:dyDescent="0.3">
      <c r="A143" t="s">
        <v>149</v>
      </c>
      <c r="B143">
        <v>18</v>
      </c>
      <c r="C143">
        <v>7</v>
      </c>
      <c r="D143">
        <v>1</v>
      </c>
      <c r="E143">
        <v>7</v>
      </c>
      <c r="F143">
        <v>0.4</v>
      </c>
      <c r="G143">
        <v>0.56999999999999995</v>
      </c>
      <c r="H143">
        <v>4</v>
      </c>
    </row>
    <row r="144" spans="1:8" x14ac:dyDescent="0.3">
      <c r="A144" t="s">
        <v>150</v>
      </c>
      <c r="B144">
        <v>29</v>
      </c>
      <c r="C144">
        <v>10</v>
      </c>
      <c r="D144">
        <v>1</v>
      </c>
      <c r="E144">
        <v>9</v>
      </c>
      <c r="F144">
        <v>0.3</v>
      </c>
      <c r="G144">
        <v>0.1</v>
      </c>
      <c r="H144">
        <v>1</v>
      </c>
    </row>
    <row r="145" spans="1:8" x14ac:dyDescent="0.3">
      <c r="A145" t="s">
        <v>151</v>
      </c>
      <c r="B145">
        <v>35</v>
      </c>
      <c r="C145">
        <v>16</v>
      </c>
      <c r="D145">
        <v>5</v>
      </c>
      <c r="E145">
        <v>11</v>
      </c>
      <c r="F145">
        <v>0.5</v>
      </c>
      <c r="G145">
        <v>0.75</v>
      </c>
      <c r="H145">
        <v>12</v>
      </c>
    </row>
    <row r="146" spans="1:8" x14ac:dyDescent="0.3">
      <c r="A146" t="s">
        <v>152</v>
      </c>
      <c r="B146">
        <v>50</v>
      </c>
      <c r="C146">
        <v>16</v>
      </c>
      <c r="D146">
        <v>3</v>
      </c>
      <c r="E146">
        <v>13</v>
      </c>
      <c r="F146">
        <v>0.3</v>
      </c>
      <c r="G146">
        <v>0.81</v>
      </c>
      <c r="H146">
        <v>13</v>
      </c>
    </row>
    <row r="147" spans="1:8" x14ac:dyDescent="0.3">
      <c r="A147" t="s">
        <v>153</v>
      </c>
      <c r="B147">
        <v>59</v>
      </c>
      <c r="C147">
        <v>24</v>
      </c>
      <c r="D147">
        <v>9</v>
      </c>
      <c r="E147">
        <v>16</v>
      </c>
      <c r="F147">
        <v>0.4</v>
      </c>
      <c r="G147">
        <v>0.79</v>
      </c>
      <c r="H147">
        <v>19</v>
      </c>
    </row>
    <row r="148" spans="1:8" x14ac:dyDescent="0.3">
      <c r="A148" t="s">
        <v>154</v>
      </c>
      <c r="B148">
        <v>73</v>
      </c>
      <c r="C148">
        <v>24</v>
      </c>
      <c r="D148">
        <v>5</v>
      </c>
      <c r="E148">
        <v>19</v>
      </c>
      <c r="F148">
        <v>0.3</v>
      </c>
      <c r="G148">
        <v>0.67</v>
      </c>
      <c r="H148">
        <v>16</v>
      </c>
    </row>
    <row r="149" spans="1:8" x14ac:dyDescent="0.3">
      <c r="A149" t="s">
        <v>155</v>
      </c>
      <c r="B149">
        <v>76</v>
      </c>
      <c r="C149">
        <v>33</v>
      </c>
      <c r="D149">
        <v>6</v>
      </c>
      <c r="E149">
        <v>27</v>
      </c>
      <c r="F149">
        <v>0.4</v>
      </c>
      <c r="G149">
        <v>0.39</v>
      </c>
      <c r="H149">
        <v>13</v>
      </c>
    </row>
    <row r="150" spans="1:8" x14ac:dyDescent="0.3">
      <c r="A150" t="s">
        <v>156</v>
      </c>
      <c r="B150">
        <v>90</v>
      </c>
      <c r="C150">
        <v>32</v>
      </c>
      <c r="D150">
        <v>13</v>
      </c>
      <c r="E150">
        <v>19</v>
      </c>
      <c r="F150">
        <v>0.4</v>
      </c>
      <c r="G150">
        <v>0.81</v>
      </c>
      <c r="H150">
        <v>26</v>
      </c>
    </row>
    <row r="151" spans="1:8" x14ac:dyDescent="0.3">
      <c r="A151" t="s">
        <v>157</v>
      </c>
      <c r="B151">
        <v>78</v>
      </c>
      <c r="C151">
        <v>30</v>
      </c>
      <c r="D151">
        <v>15</v>
      </c>
      <c r="E151">
        <v>15</v>
      </c>
      <c r="F151">
        <v>0.4</v>
      </c>
      <c r="G151">
        <v>0.63</v>
      </c>
      <c r="H151">
        <v>19</v>
      </c>
    </row>
    <row r="152" spans="1:8" x14ac:dyDescent="0.3">
      <c r="A152" t="s">
        <v>158</v>
      </c>
      <c r="B152">
        <v>83</v>
      </c>
      <c r="C152">
        <v>34</v>
      </c>
      <c r="D152">
        <v>7</v>
      </c>
      <c r="E152">
        <v>27</v>
      </c>
      <c r="F152">
        <v>0.4</v>
      </c>
      <c r="G152">
        <v>0.59</v>
      </c>
      <c r="H152">
        <v>20</v>
      </c>
    </row>
    <row r="153" spans="1:8" x14ac:dyDescent="0.3">
      <c r="A153" t="s">
        <v>159</v>
      </c>
      <c r="B153">
        <v>80</v>
      </c>
      <c r="C153">
        <v>22</v>
      </c>
      <c r="D153">
        <v>6</v>
      </c>
      <c r="E153">
        <v>17</v>
      </c>
      <c r="F153">
        <v>0.3</v>
      </c>
      <c r="G153">
        <v>0.64</v>
      </c>
      <c r="H153">
        <v>14</v>
      </c>
    </row>
    <row r="154" spans="1:8" x14ac:dyDescent="0.3">
      <c r="A154" t="s">
        <v>160</v>
      </c>
      <c r="B154">
        <v>67</v>
      </c>
      <c r="C154">
        <v>21</v>
      </c>
      <c r="D154">
        <v>2</v>
      </c>
      <c r="E154">
        <v>19</v>
      </c>
      <c r="F154">
        <v>0.3</v>
      </c>
      <c r="G154">
        <v>0.28999999999999998</v>
      </c>
      <c r="H154">
        <v>6</v>
      </c>
    </row>
    <row r="155" spans="1:8" x14ac:dyDescent="0.3">
      <c r="A155" t="s">
        <v>161</v>
      </c>
      <c r="B155">
        <v>62</v>
      </c>
      <c r="C155">
        <v>21</v>
      </c>
      <c r="D155">
        <v>4</v>
      </c>
      <c r="E155">
        <v>17</v>
      </c>
      <c r="F155">
        <v>0.3</v>
      </c>
      <c r="G155">
        <v>0.43</v>
      </c>
      <c r="H155">
        <v>9</v>
      </c>
    </row>
    <row r="156" spans="1:8" x14ac:dyDescent="0.3">
      <c r="A156" t="s">
        <v>162</v>
      </c>
      <c r="B156">
        <v>63</v>
      </c>
      <c r="C156">
        <v>18</v>
      </c>
      <c r="D156">
        <v>4</v>
      </c>
      <c r="E156">
        <v>14</v>
      </c>
      <c r="F156">
        <v>0.3</v>
      </c>
      <c r="G156">
        <v>0.44</v>
      </c>
      <c r="H156">
        <v>8</v>
      </c>
    </row>
    <row r="157" spans="1:8" x14ac:dyDescent="0.3">
      <c r="A157" t="s">
        <v>163</v>
      </c>
      <c r="B157">
        <v>62</v>
      </c>
      <c r="C157">
        <v>19</v>
      </c>
      <c r="D157">
        <v>5</v>
      </c>
      <c r="E157">
        <v>14</v>
      </c>
      <c r="F157">
        <v>0.3</v>
      </c>
      <c r="G157">
        <v>0.47</v>
      </c>
      <c r="H157">
        <v>9</v>
      </c>
    </row>
    <row r="158" spans="1:8" x14ac:dyDescent="0.3">
      <c r="A158" t="s">
        <v>164</v>
      </c>
      <c r="B158">
        <v>65</v>
      </c>
      <c r="C158">
        <v>26</v>
      </c>
      <c r="D158">
        <v>4</v>
      </c>
      <c r="E158">
        <v>22</v>
      </c>
      <c r="F158">
        <v>0.4</v>
      </c>
      <c r="G158">
        <v>0.42</v>
      </c>
      <c r="H158">
        <v>11</v>
      </c>
    </row>
    <row r="159" spans="1:8" x14ac:dyDescent="0.3">
      <c r="A159" t="s">
        <v>165</v>
      </c>
      <c r="B159">
        <v>58</v>
      </c>
      <c r="C159">
        <v>22</v>
      </c>
      <c r="D159">
        <v>8</v>
      </c>
      <c r="E159">
        <v>14</v>
      </c>
      <c r="F159">
        <v>0.4</v>
      </c>
      <c r="G159">
        <v>0.32</v>
      </c>
      <c r="H159">
        <v>7</v>
      </c>
    </row>
    <row r="160" spans="1:8" x14ac:dyDescent="0.3">
      <c r="A160" t="s">
        <v>166</v>
      </c>
      <c r="B160">
        <v>56</v>
      </c>
      <c r="C160">
        <v>19</v>
      </c>
      <c r="D160">
        <v>13</v>
      </c>
      <c r="E160">
        <v>6</v>
      </c>
      <c r="F160">
        <v>0.3</v>
      </c>
      <c r="G160">
        <v>1.42</v>
      </c>
      <c r="H160">
        <v>27</v>
      </c>
    </row>
    <row r="161" spans="1:8" x14ac:dyDescent="0.3">
      <c r="A161" t="s">
        <v>167</v>
      </c>
      <c r="B161">
        <v>45</v>
      </c>
      <c r="C161">
        <v>14</v>
      </c>
      <c r="D161">
        <v>8</v>
      </c>
      <c r="E161">
        <v>7</v>
      </c>
      <c r="F161">
        <v>0.3</v>
      </c>
      <c r="G161">
        <v>1.29</v>
      </c>
      <c r="H161">
        <v>18</v>
      </c>
    </row>
    <row r="162" spans="1:8" x14ac:dyDescent="0.3">
      <c r="A162" t="s">
        <v>168</v>
      </c>
      <c r="B162">
        <v>32</v>
      </c>
      <c r="C162">
        <v>8</v>
      </c>
      <c r="D162">
        <v>2</v>
      </c>
      <c r="E162">
        <v>5</v>
      </c>
      <c r="F162">
        <v>0.3</v>
      </c>
      <c r="G162">
        <v>0.75</v>
      </c>
      <c r="H162">
        <v>6</v>
      </c>
    </row>
    <row r="163" spans="1:8" x14ac:dyDescent="0.3">
      <c r="A163" t="s">
        <v>169</v>
      </c>
      <c r="B163">
        <v>17</v>
      </c>
      <c r="C163">
        <v>4</v>
      </c>
      <c r="D163">
        <v>1</v>
      </c>
      <c r="E163">
        <v>4</v>
      </c>
      <c r="F163">
        <v>0.2</v>
      </c>
      <c r="G163">
        <v>0.25</v>
      </c>
      <c r="H163">
        <v>1</v>
      </c>
    </row>
    <row r="164" spans="1:8" x14ac:dyDescent="0.3">
      <c r="A164" t="s">
        <v>170</v>
      </c>
      <c r="B164">
        <v>14</v>
      </c>
      <c r="C164">
        <v>2</v>
      </c>
      <c r="D164">
        <v>0</v>
      </c>
      <c r="E164">
        <v>2</v>
      </c>
      <c r="F164">
        <v>0.1</v>
      </c>
      <c r="G164">
        <v>0</v>
      </c>
    </row>
    <row r="165" spans="1:8" x14ac:dyDescent="0.3">
      <c r="A165" t="s">
        <v>171</v>
      </c>
      <c r="B165">
        <v>9</v>
      </c>
      <c r="C165">
        <v>2</v>
      </c>
      <c r="D165">
        <v>0</v>
      </c>
      <c r="E165">
        <v>2</v>
      </c>
      <c r="F165">
        <v>0.2</v>
      </c>
      <c r="G165">
        <v>0</v>
      </c>
    </row>
    <row r="166" spans="1:8" x14ac:dyDescent="0.3">
      <c r="A166" t="s">
        <v>172</v>
      </c>
      <c r="B166">
        <v>12</v>
      </c>
      <c r="C166">
        <v>3</v>
      </c>
      <c r="D166">
        <v>0</v>
      </c>
      <c r="E166">
        <v>3</v>
      </c>
      <c r="F166">
        <v>0.3</v>
      </c>
      <c r="G166">
        <v>0</v>
      </c>
    </row>
    <row r="167" spans="1:8" x14ac:dyDescent="0.3">
      <c r="A167" t="s">
        <v>173</v>
      </c>
      <c r="B167">
        <v>20</v>
      </c>
      <c r="C167">
        <v>6</v>
      </c>
      <c r="D167">
        <v>0</v>
      </c>
      <c r="E167">
        <v>6</v>
      </c>
      <c r="F167">
        <v>0.3</v>
      </c>
      <c r="G167">
        <v>0.17</v>
      </c>
      <c r="H167">
        <v>1</v>
      </c>
    </row>
    <row r="168" spans="1:8" x14ac:dyDescent="0.3">
      <c r="A168" t="s">
        <v>174</v>
      </c>
      <c r="B168">
        <v>29</v>
      </c>
      <c r="C168">
        <v>11</v>
      </c>
      <c r="D168">
        <v>3</v>
      </c>
      <c r="E168">
        <v>8</v>
      </c>
      <c r="F168">
        <v>0.4</v>
      </c>
      <c r="G168">
        <v>0.64</v>
      </c>
      <c r="H168">
        <v>7</v>
      </c>
    </row>
    <row r="169" spans="1:8" x14ac:dyDescent="0.3">
      <c r="A169" t="s">
        <v>175</v>
      </c>
      <c r="B169">
        <v>40</v>
      </c>
      <c r="C169">
        <v>13</v>
      </c>
      <c r="D169">
        <v>6</v>
      </c>
      <c r="E169">
        <v>7</v>
      </c>
      <c r="F169">
        <v>0.3</v>
      </c>
      <c r="G169">
        <v>1.23</v>
      </c>
      <c r="H169">
        <v>16</v>
      </c>
    </row>
    <row r="170" spans="1:8" x14ac:dyDescent="0.3">
      <c r="A170" t="s">
        <v>176</v>
      </c>
      <c r="B170">
        <v>53</v>
      </c>
      <c r="C170">
        <v>16</v>
      </c>
      <c r="D170">
        <v>7</v>
      </c>
      <c r="E170">
        <v>9</v>
      </c>
      <c r="F170">
        <v>0.3</v>
      </c>
      <c r="G170">
        <v>1.31</v>
      </c>
      <c r="H170">
        <v>21</v>
      </c>
    </row>
    <row r="171" spans="1:8" x14ac:dyDescent="0.3">
      <c r="A171" t="s">
        <v>177</v>
      </c>
      <c r="B171">
        <v>64</v>
      </c>
      <c r="C171">
        <v>21</v>
      </c>
      <c r="D171">
        <v>8</v>
      </c>
      <c r="E171">
        <v>13</v>
      </c>
      <c r="F171">
        <v>0.3</v>
      </c>
      <c r="G171">
        <v>0.81</v>
      </c>
      <c r="H171">
        <v>17</v>
      </c>
    </row>
    <row r="172" spans="1:8" x14ac:dyDescent="0.3">
      <c r="A172" t="s">
        <v>178</v>
      </c>
      <c r="B172">
        <v>60</v>
      </c>
      <c r="C172">
        <v>15</v>
      </c>
      <c r="D172">
        <v>7</v>
      </c>
      <c r="E172">
        <v>8</v>
      </c>
      <c r="F172">
        <v>0.3</v>
      </c>
      <c r="G172">
        <v>1.27</v>
      </c>
      <c r="H172">
        <v>19</v>
      </c>
    </row>
    <row r="173" spans="1:8" x14ac:dyDescent="0.3">
      <c r="A173" t="s">
        <v>179</v>
      </c>
      <c r="B173">
        <v>66</v>
      </c>
      <c r="C173">
        <v>22</v>
      </c>
      <c r="D173">
        <v>9</v>
      </c>
      <c r="E173">
        <v>13</v>
      </c>
      <c r="F173">
        <v>0.3</v>
      </c>
      <c r="G173">
        <v>0.95</v>
      </c>
      <c r="H173">
        <v>21</v>
      </c>
    </row>
    <row r="174" spans="1:8" x14ac:dyDescent="0.3">
      <c r="A174" t="s">
        <v>180</v>
      </c>
      <c r="B174">
        <v>66</v>
      </c>
      <c r="C174">
        <v>24</v>
      </c>
      <c r="D174">
        <v>12</v>
      </c>
      <c r="E174">
        <v>12</v>
      </c>
      <c r="F174">
        <v>0.4</v>
      </c>
      <c r="G174">
        <v>0.83</v>
      </c>
      <c r="H174">
        <v>20</v>
      </c>
    </row>
    <row r="175" spans="1:8" x14ac:dyDescent="0.3">
      <c r="A175" t="s">
        <v>181</v>
      </c>
      <c r="B175">
        <v>61</v>
      </c>
      <c r="C175">
        <v>25</v>
      </c>
      <c r="D175">
        <v>12</v>
      </c>
      <c r="E175">
        <v>13</v>
      </c>
      <c r="F175">
        <v>0.4</v>
      </c>
      <c r="G175">
        <v>1.1200000000000001</v>
      </c>
      <c r="H175">
        <v>28</v>
      </c>
    </row>
    <row r="176" spans="1:8" x14ac:dyDescent="0.3">
      <c r="A176" t="s">
        <v>182</v>
      </c>
      <c r="B176">
        <v>64</v>
      </c>
      <c r="C176">
        <v>21</v>
      </c>
      <c r="D176">
        <v>9</v>
      </c>
      <c r="E176">
        <v>12</v>
      </c>
      <c r="F176">
        <v>0.3</v>
      </c>
      <c r="G176">
        <v>1</v>
      </c>
      <c r="H176">
        <v>21</v>
      </c>
    </row>
    <row r="177" spans="1:8" x14ac:dyDescent="0.3">
      <c r="A177" t="s">
        <v>183</v>
      </c>
      <c r="B177">
        <v>55</v>
      </c>
      <c r="C177">
        <v>17</v>
      </c>
      <c r="D177">
        <v>5</v>
      </c>
      <c r="E177">
        <v>12</v>
      </c>
      <c r="F177">
        <v>0.3</v>
      </c>
      <c r="G177">
        <v>0.82</v>
      </c>
      <c r="H177">
        <v>14</v>
      </c>
    </row>
    <row r="178" spans="1:8" x14ac:dyDescent="0.3">
      <c r="A178" t="s">
        <v>184</v>
      </c>
      <c r="B178">
        <v>51</v>
      </c>
      <c r="C178">
        <v>19</v>
      </c>
      <c r="D178">
        <v>6</v>
      </c>
      <c r="E178">
        <v>13</v>
      </c>
      <c r="F178">
        <v>0.4</v>
      </c>
      <c r="G178">
        <v>0.47</v>
      </c>
      <c r="H178">
        <v>9</v>
      </c>
    </row>
    <row r="179" spans="1:8" x14ac:dyDescent="0.3">
      <c r="A179" t="s">
        <v>185</v>
      </c>
      <c r="B179">
        <v>51</v>
      </c>
      <c r="C179">
        <v>18</v>
      </c>
      <c r="D179">
        <v>7</v>
      </c>
      <c r="E179">
        <v>11</v>
      </c>
      <c r="F179">
        <v>0.4</v>
      </c>
      <c r="G179">
        <v>1.1100000000000001</v>
      </c>
      <c r="H179">
        <v>20</v>
      </c>
    </row>
    <row r="180" spans="1:8" x14ac:dyDescent="0.3">
      <c r="A180" t="s">
        <v>186</v>
      </c>
      <c r="B180">
        <v>45</v>
      </c>
      <c r="C180">
        <v>13</v>
      </c>
      <c r="D180">
        <v>4</v>
      </c>
      <c r="E180">
        <v>9</v>
      </c>
      <c r="F180">
        <v>0.3</v>
      </c>
      <c r="G180">
        <v>0.69</v>
      </c>
      <c r="H180">
        <v>9</v>
      </c>
    </row>
    <row r="181" spans="1:8" x14ac:dyDescent="0.3">
      <c r="A181" t="s">
        <v>187</v>
      </c>
      <c r="B181">
        <v>36</v>
      </c>
      <c r="C181">
        <v>11</v>
      </c>
      <c r="D181">
        <v>4</v>
      </c>
      <c r="E181">
        <v>7</v>
      </c>
      <c r="F181">
        <v>0.3</v>
      </c>
      <c r="G181">
        <v>1</v>
      </c>
      <c r="H181">
        <v>11</v>
      </c>
    </row>
    <row r="182" spans="1:8" x14ac:dyDescent="0.3">
      <c r="A182" t="s">
        <v>188</v>
      </c>
      <c r="B182">
        <v>32</v>
      </c>
      <c r="C182">
        <v>9</v>
      </c>
      <c r="D182">
        <v>1</v>
      </c>
      <c r="E182">
        <v>8</v>
      </c>
      <c r="F182">
        <v>0.3</v>
      </c>
      <c r="G182">
        <v>0.67</v>
      </c>
      <c r="H182">
        <v>6</v>
      </c>
    </row>
    <row r="183" spans="1:8" x14ac:dyDescent="0.3">
      <c r="A183" t="s">
        <v>189</v>
      </c>
      <c r="B183">
        <v>31</v>
      </c>
      <c r="C183">
        <v>7</v>
      </c>
      <c r="D183">
        <v>1</v>
      </c>
      <c r="E183">
        <v>6</v>
      </c>
      <c r="F183">
        <v>0.2</v>
      </c>
      <c r="G183">
        <v>0.28999999999999998</v>
      </c>
      <c r="H183">
        <v>2</v>
      </c>
    </row>
    <row r="184" spans="1:8" x14ac:dyDescent="0.3">
      <c r="A184" t="s">
        <v>190</v>
      </c>
      <c r="B184">
        <v>29</v>
      </c>
      <c r="C184">
        <v>8</v>
      </c>
      <c r="D184">
        <v>1</v>
      </c>
      <c r="E184">
        <v>7</v>
      </c>
      <c r="F184">
        <v>0.3</v>
      </c>
      <c r="G184">
        <v>0.25</v>
      </c>
      <c r="H184">
        <v>2</v>
      </c>
    </row>
    <row r="185" spans="1:8" x14ac:dyDescent="0.3">
      <c r="A185" t="s">
        <v>191</v>
      </c>
      <c r="B185">
        <v>27</v>
      </c>
      <c r="C185">
        <v>7</v>
      </c>
      <c r="D185">
        <v>1</v>
      </c>
      <c r="E185">
        <v>6</v>
      </c>
      <c r="F185">
        <v>0.3</v>
      </c>
      <c r="G185">
        <v>0.56999999999999995</v>
      </c>
      <c r="H185">
        <v>4</v>
      </c>
    </row>
    <row r="186" spans="1:8" x14ac:dyDescent="0.3">
      <c r="A186" t="s">
        <v>192</v>
      </c>
      <c r="B186">
        <v>25</v>
      </c>
      <c r="C186">
        <v>11</v>
      </c>
      <c r="D186">
        <v>1</v>
      </c>
      <c r="E186">
        <v>10</v>
      </c>
      <c r="F186">
        <v>0.4</v>
      </c>
      <c r="G186">
        <v>0</v>
      </c>
    </row>
    <row r="187" spans="1:8" x14ac:dyDescent="0.3">
      <c r="A187" t="s">
        <v>193</v>
      </c>
      <c r="B187">
        <v>28</v>
      </c>
      <c r="C187">
        <v>8</v>
      </c>
      <c r="D187">
        <v>2</v>
      </c>
      <c r="E187">
        <v>6</v>
      </c>
      <c r="F187">
        <v>0.3</v>
      </c>
      <c r="G187">
        <v>0.75</v>
      </c>
      <c r="H187">
        <v>6</v>
      </c>
    </row>
    <row r="188" spans="1:8" x14ac:dyDescent="0.3">
      <c r="A188" t="s">
        <v>194</v>
      </c>
      <c r="B188">
        <v>28</v>
      </c>
      <c r="C188">
        <v>6</v>
      </c>
      <c r="D188">
        <v>2</v>
      </c>
      <c r="E188">
        <v>4</v>
      </c>
      <c r="F188">
        <v>0.2</v>
      </c>
      <c r="G188">
        <v>1</v>
      </c>
      <c r="H188">
        <v>6</v>
      </c>
    </row>
    <row r="189" spans="1:8" x14ac:dyDescent="0.3">
      <c r="A189" t="s">
        <v>195</v>
      </c>
      <c r="B189">
        <v>34</v>
      </c>
      <c r="C189">
        <v>10</v>
      </c>
      <c r="D189">
        <v>5</v>
      </c>
      <c r="E189">
        <v>5</v>
      </c>
      <c r="F189">
        <v>0.3</v>
      </c>
      <c r="G189">
        <v>0.8</v>
      </c>
      <c r="H189">
        <v>8</v>
      </c>
    </row>
    <row r="190" spans="1:8" x14ac:dyDescent="0.3">
      <c r="A190" t="s">
        <v>196</v>
      </c>
      <c r="B190">
        <v>53</v>
      </c>
      <c r="C190">
        <v>19</v>
      </c>
      <c r="D190">
        <v>9</v>
      </c>
      <c r="E190">
        <v>10</v>
      </c>
      <c r="F190">
        <v>0.4</v>
      </c>
      <c r="G190">
        <v>1.26</v>
      </c>
      <c r="H190">
        <v>24</v>
      </c>
    </row>
    <row r="191" spans="1:8" x14ac:dyDescent="0.3">
      <c r="A191" t="s">
        <v>197</v>
      </c>
      <c r="B191">
        <v>63</v>
      </c>
      <c r="C191">
        <v>22</v>
      </c>
      <c r="D191">
        <v>11</v>
      </c>
      <c r="E191">
        <v>11</v>
      </c>
      <c r="F191">
        <v>0.3</v>
      </c>
      <c r="G191">
        <v>1.27</v>
      </c>
      <c r="H191">
        <v>28</v>
      </c>
    </row>
    <row r="192" spans="1:8" x14ac:dyDescent="0.3">
      <c r="A192" t="s">
        <v>198</v>
      </c>
      <c r="B192">
        <v>65</v>
      </c>
      <c r="C192">
        <v>29</v>
      </c>
      <c r="D192">
        <v>14</v>
      </c>
      <c r="E192">
        <v>14</v>
      </c>
      <c r="F192">
        <v>0.4</v>
      </c>
      <c r="G192">
        <v>1.41</v>
      </c>
      <c r="H192">
        <v>41</v>
      </c>
    </row>
    <row r="193" spans="1:8" x14ac:dyDescent="0.3">
      <c r="A193" t="s">
        <v>199</v>
      </c>
      <c r="B193">
        <v>75</v>
      </c>
      <c r="C193">
        <v>30</v>
      </c>
      <c r="D193">
        <v>14</v>
      </c>
      <c r="E193">
        <v>16</v>
      </c>
      <c r="F193">
        <v>0.4</v>
      </c>
      <c r="G193">
        <v>1.33</v>
      </c>
      <c r="H193">
        <v>40</v>
      </c>
    </row>
    <row r="194" spans="1:8" x14ac:dyDescent="0.3">
      <c r="A194" t="s">
        <v>200</v>
      </c>
      <c r="B194">
        <v>86</v>
      </c>
      <c r="C194">
        <v>34</v>
      </c>
      <c r="D194">
        <v>11</v>
      </c>
      <c r="E194">
        <v>23</v>
      </c>
      <c r="F194">
        <v>0.4</v>
      </c>
      <c r="G194">
        <v>0.88</v>
      </c>
      <c r="H194">
        <v>30</v>
      </c>
    </row>
    <row r="195" spans="1:8" x14ac:dyDescent="0.3">
      <c r="A195" t="s">
        <v>201</v>
      </c>
      <c r="B195">
        <v>104</v>
      </c>
      <c r="C195">
        <v>38</v>
      </c>
      <c r="D195">
        <v>9</v>
      </c>
      <c r="E195">
        <v>29</v>
      </c>
      <c r="F195">
        <v>0.4</v>
      </c>
      <c r="G195">
        <v>0.71</v>
      </c>
      <c r="H195">
        <v>27</v>
      </c>
    </row>
    <row r="196" spans="1:8" x14ac:dyDescent="0.3">
      <c r="A196" t="s">
        <v>202</v>
      </c>
      <c r="B196">
        <v>97</v>
      </c>
      <c r="C196">
        <v>38</v>
      </c>
      <c r="D196">
        <v>10</v>
      </c>
      <c r="E196">
        <v>28</v>
      </c>
      <c r="F196">
        <v>0.4</v>
      </c>
      <c r="G196">
        <v>0.61</v>
      </c>
      <c r="H196">
        <v>23</v>
      </c>
    </row>
    <row r="197" spans="1:8" x14ac:dyDescent="0.3">
      <c r="A197" t="s">
        <v>203</v>
      </c>
      <c r="B197">
        <v>96</v>
      </c>
      <c r="C197">
        <v>37</v>
      </c>
      <c r="D197">
        <v>15</v>
      </c>
      <c r="E197">
        <v>23</v>
      </c>
      <c r="F197">
        <v>0.4</v>
      </c>
      <c r="G197">
        <v>0.95</v>
      </c>
      <c r="H197">
        <v>35</v>
      </c>
    </row>
    <row r="198" spans="1:8" x14ac:dyDescent="0.3">
      <c r="A198" t="s">
        <v>204</v>
      </c>
      <c r="B198">
        <v>90</v>
      </c>
      <c r="C198">
        <v>36</v>
      </c>
      <c r="D198">
        <v>13</v>
      </c>
      <c r="E198">
        <v>23</v>
      </c>
      <c r="F198">
        <v>0.4</v>
      </c>
      <c r="G198">
        <v>0.78</v>
      </c>
      <c r="H198">
        <v>28</v>
      </c>
    </row>
    <row r="199" spans="1:8" x14ac:dyDescent="0.3">
      <c r="A199" t="s">
        <v>205</v>
      </c>
      <c r="B199">
        <v>75</v>
      </c>
      <c r="C199">
        <v>29</v>
      </c>
      <c r="D199">
        <v>6</v>
      </c>
      <c r="E199">
        <v>23</v>
      </c>
      <c r="F199">
        <v>0.4</v>
      </c>
      <c r="G199">
        <v>0.62</v>
      </c>
      <c r="H199">
        <v>18</v>
      </c>
    </row>
    <row r="200" spans="1:8" x14ac:dyDescent="0.3">
      <c r="A200" t="s">
        <v>206</v>
      </c>
      <c r="B200">
        <v>62</v>
      </c>
      <c r="C200">
        <v>25</v>
      </c>
      <c r="D200">
        <v>6</v>
      </c>
      <c r="E200">
        <v>19</v>
      </c>
      <c r="F200">
        <v>0.4</v>
      </c>
      <c r="G200">
        <v>0.56000000000000005</v>
      </c>
      <c r="H200">
        <v>14</v>
      </c>
    </row>
    <row r="201" spans="1:8" x14ac:dyDescent="0.3">
      <c r="A201" t="s">
        <v>207</v>
      </c>
      <c r="B201">
        <v>52</v>
      </c>
      <c r="C201">
        <v>21</v>
      </c>
      <c r="D201">
        <v>8</v>
      </c>
      <c r="E201">
        <v>14</v>
      </c>
      <c r="F201">
        <v>0.4</v>
      </c>
      <c r="G201">
        <v>0.76</v>
      </c>
      <c r="H201">
        <v>16</v>
      </c>
    </row>
    <row r="202" spans="1:8" x14ac:dyDescent="0.3">
      <c r="A202" t="s">
        <v>208</v>
      </c>
      <c r="B202">
        <v>45</v>
      </c>
      <c r="C202">
        <v>16</v>
      </c>
      <c r="D202">
        <v>4</v>
      </c>
      <c r="E202">
        <v>12</v>
      </c>
      <c r="F202">
        <v>0.4</v>
      </c>
      <c r="G202">
        <v>0.63</v>
      </c>
      <c r="H202">
        <v>10</v>
      </c>
    </row>
    <row r="203" spans="1:8" x14ac:dyDescent="0.3">
      <c r="A203" t="s">
        <v>209</v>
      </c>
      <c r="B203">
        <v>47</v>
      </c>
      <c r="C203">
        <v>16</v>
      </c>
      <c r="D203">
        <v>4</v>
      </c>
      <c r="E203">
        <v>12</v>
      </c>
      <c r="F203">
        <v>0.3</v>
      </c>
      <c r="G203">
        <v>0.69</v>
      </c>
      <c r="H203">
        <v>11</v>
      </c>
    </row>
    <row r="204" spans="1:8" x14ac:dyDescent="0.3">
      <c r="A204" t="s">
        <v>210</v>
      </c>
      <c r="B204">
        <v>45</v>
      </c>
      <c r="C204">
        <v>18</v>
      </c>
      <c r="D204">
        <v>4</v>
      </c>
      <c r="E204">
        <v>13</v>
      </c>
      <c r="F204">
        <v>0.4</v>
      </c>
      <c r="G204">
        <v>0.5</v>
      </c>
      <c r="H204">
        <v>9</v>
      </c>
    </row>
    <row r="205" spans="1:8" x14ac:dyDescent="0.3">
      <c r="A205" t="s">
        <v>211</v>
      </c>
      <c r="B205">
        <v>43</v>
      </c>
      <c r="C205">
        <v>14</v>
      </c>
      <c r="D205">
        <v>4</v>
      </c>
      <c r="E205">
        <v>10</v>
      </c>
      <c r="F205">
        <v>0.3</v>
      </c>
      <c r="G205">
        <v>0.64</v>
      </c>
      <c r="H205">
        <v>9</v>
      </c>
    </row>
    <row r="206" spans="1:8" x14ac:dyDescent="0.3">
      <c r="A206" t="s">
        <v>212</v>
      </c>
      <c r="B206">
        <v>40</v>
      </c>
      <c r="C206">
        <v>16</v>
      </c>
      <c r="D206">
        <v>3</v>
      </c>
      <c r="E206">
        <v>13</v>
      </c>
      <c r="F206">
        <v>0.4</v>
      </c>
      <c r="G206">
        <v>0.31</v>
      </c>
      <c r="H206">
        <v>5</v>
      </c>
    </row>
    <row r="207" spans="1:8" x14ac:dyDescent="0.3">
      <c r="A207" t="s">
        <v>213</v>
      </c>
      <c r="B207">
        <v>46</v>
      </c>
      <c r="C207">
        <v>19</v>
      </c>
      <c r="D207">
        <v>3</v>
      </c>
      <c r="E207">
        <v>16</v>
      </c>
      <c r="F207">
        <v>0.4</v>
      </c>
      <c r="G207">
        <v>0.47</v>
      </c>
      <c r="H207">
        <v>9</v>
      </c>
    </row>
    <row r="208" spans="1:8" x14ac:dyDescent="0.3">
      <c r="A208" t="s">
        <v>214</v>
      </c>
      <c r="B208">
        <v>42</v>
      </c>
      <c r="C208">
        <v>11</v>
      </c>
      <c r="D208">
        <v>3</v>
      </c>
      <c r="E208">
        <v>8</v>
      </c>
      <c r="F208">
        <v>0.3</v>
      </c>
      <c r="G208">
        <v>0.64</v>
      </c>
      <c r="H208">
        <v>7</v>
      </c>
    </row>
    <row r="209" spans="1:8" x14ac:dyDescent="0.3">
      <c r="A209" t="s">
        <v>215</v>
      </c>
      <c r="B209">
        <v>39</v>
      </c>
      <c r="C209">
        <v>12</v>
      </c>
      <c r="D209">
        <v>3</v>
      </c>
      <c r="E209">
        <v>9</v>
      </c>
      <c r="F209">
        <v>0.3</v>
      </c>
      <c r="G209">
        <v>0.5</v>
      </c>
      <c r="H209">
        <v>6</v>
      </c>
    </row>
    <row r="210" spans="1:8" x14ac:dyDescent="0.3">
      <c r="A210" t="s">
        <v>216</v>
      </c>
      <c r="B210">
        <v>35</v>
      </c>
      <c r="C210">
        <v>12</v>
      </c>
      <c r="D210">
        <v>0</v>
      </c>
      <c r="E210">
        <v>11</v>
      </c>
      <c r="F210">
        <v>0.3</v>
      </c>
      <c r="G210">
        <v>0.08</v>
      </c>
      <c r="H210">
        <v>1</v>
      </c>
    </row>
    <row r="211" spans="1:8" x14ac:dyDescent="0.3">
      <c r="A211" t="s">
        <v>217</v>
      </c>
      <c r="B211">
        <v>30</v>
      </c>
      <c r="C211">
        <v>10</v>
      </c>
      <c r="D211">
        <v>2</v>
      </c>
      <c r="E211">
        <v>8</v>
      </c>
      <c r="F211">
        <v>0.3</v>
      </c>
      <c r="G211">
        <v>0.4</v>
      </c>
      <c r="H211">
        <v>4</v>
      </c>
    </row>
    <row r="212" spans="1:8" x14ac:dyDescent="0.3">
      <c r="A212" t="s">
        <v>218</v>
      </c>
      <c r="B212">
        <v>36</v>
      </c>
      <c r="C212">
        <v>11</v>
      </c>
      <c r="D212">
        <v>5</v>
      </c>
      <c r="E212">
        <v>6</v>
      </c>
      <c r="F212">
        <v>0.3</v>
      </c>
      <c r="G212">
        <v>1</v>
      </c>
      <c r="H212">
        <v>11</v>
      </c>
    </row>
    <row r="213" spans="1:8" x14ac:dyDescent="0.3">
      <c r="A213" t="s">
        <v>219</v>
      </c>
      <c r="B213">
        <v>37</v>
      </c>
      <c r="C213">
        <v>11</v>
      </c>
      <c r="D213">
        <v>7</v>
      </c>
      <c r="E213">
        <v>4</v>
      </c>
      <c r="F213">
        <v>0.3</v>
      </c>
      <c r="G213">
        <v>1.82</v>
      </c>
      <c r="H213">
        <v>20</v>
      </c>
    </row>
    <row r="214" spans="1:8" x14ac:dyDescent="0.3">
      <c r="A214" t="s">
        <v>220</v>
      </c>
      <c r="B214">
        <v>42</v>
      </c>
      <c r="C214">
        <v>17</v>
      </c>
      <c r="D214">
        <v>11</v>
      </c>
      <c r="E214">
        <v>6</v>
      </c>
      <c r="F214">
        <v>0.4</v>
      </c>
      <c r="G214">
        <v>1.47</v>
      </c>
      <c r="H214">
        <v>25</v>
      </c>
    </row>
    <row r="215" spans="1:8" x14ac:dyDescent="0.3">
      <c r="A215" t="s">
        <v>221</v>
      </c>
      <c r="B215">
        <v>59</v>
      </c>
      <c r="C215">
        <v>24</v>
      </c>
      <c r="D215">
        <v>15</v>
      </c>
      <c r="E215">
        <v>9</v>
      </c>
      <c r="F215">
        <v>0.4</v>
      </c>
      <c r="G215">
        <v>1.46</v>
      </c>
      <c r="H215">
        <v>35</v>
      </c>
    </row>
    <row r="216" spans="1:8" x14ac:dyDescent="0.3">
      <c r="A216" t="s">
        <v>222</v>
      </c>
      <c r="B216">
        <v>71</v>
      </c>
      <c r="C216">
        <v>31</v>
      </c>
      <c r="D216">
        <v>17</v>
      </c>
      <c r="E216">
        <v>14</v>
      </c>
      <c r="F216">
        <v>0.4</v>
      </c>
      <c r="G216">
        <v>1.55</v>
      </c>
      <c r="H216">
        <v>48</v>
      </c>
    </row>
    <row r="217" spans="1:8" x14ac:dyDescent="0.3">
      <c r="A217" t="s">
        <v>223</v>
      </c>
      <c r="B217">
        <v>81</v>
      </c>
      <c r="C217">
        <v>33</v>
      </c>
      <c r="D217">
        <v>15</v>
      </c>
      <c r="E217">
        <v>18</v>
      </c>
      <c r="F217">
        <v>0.4</v>
      </c>
      <c r="G217">
        <v>1.24</v>
      </c>
      <c r="H217">
        <v>41</v>
      </c>
    </row>
    <row r="218" spans="1:8" x14ac:dyDescent="0.3">
      <c r="A218" t="s">
        <v>224</v>
      </c>
      <c r="B218">
        <v>98</v>
      </c>
      <c r="C218">
        <v>39</v>
      </c>
      <c r="D218">
        <v>9</v>
      </c>
      <c r="E218">
        <v>30</v>
      </c>
      <c r="F218">
        <v>0.4</v>
      </c>
      <c r="G218">
        <v>0.82</v>
      </c>
      <c r="H218">
        <v>32</v>
      </c>
    </row>
    <row r="219" spans="1:8" x14ac:dyDescent="0.3">
      <c r="A219" t="s">
        <v>225</v>
      </c>
      <c r="B219">
        <v>104</v>
      </c>
      <c r="C219">
        <v>45</v>
      </c>
      <c r="D219">
        <v>21</v>
      </c>
      <c r="E219">
        <v>24</v>
      </c>
      <c r="F219">
        <v>0.4</v>
      </c>
      <c r="G219">
        <v>0.78</v>
      </c>
      <c r="H219">
        <v>35</v>
      </c>
    </row>
    <row r="220" spans="1:8" x14ac:dyDescent="0.3">
      <c r="A220" t="s">
        <v>226</v>
      </c>
      <c r="B220">
        <v>96</v>
      </c>
      <c r="C220">
        <v>35</v>
      </c>
      <c r="D220">
        <v>22</v>
      </c>
      <c r="E220">
        <v>13</v>
      </c>
      <c r="F220">
        <v>0.4</v>
      </c>
      <c r="G220">
        <v>1.6</v>
      </c>
      <c r="H220">
        <v>56</v>
      </c>
    </row>
    <row r="221" spans="1:8" x14ac:dyDescent="0.3">
      <c r="A221" t="s">
        <v>227</v>
      </c>
      <c r="B221">
        <v>109</v>
      </c>
      <c r="C221">
        <v>38</v>
      </c>
      <c r="D221">
        <v>24</v>
      </c>
      <c r="E221">
        <v>14</v>
      </c>
      <c r="F221">
        <v>0.3</v>
      </c>
      <c r="G221">
        <v>1.5</v>
      </c>
      <c r="H221">
        <v>57</v>
      </c>
    </row>
    <row r="222" spans="1:8" x14ac:dyDescent="0.3">
      <c r="A222" t="s">
        <v>228</v>
      </c>
      <c r="B222">
        <v>96</v>
      </c>
      <c r="C222">
        <v>37</v>
      </c>
      <c r="D222">
        <v>20</v>
      </c>
      <c r="E222">
        <v>18</v>
      </c>
      <c r="F222">
        <v>0.4</v>
      </c>
      <c r="G222">
        <v>1.05</v>
      </c>
      <c r="H222">
        <v>39</v>
      </c>
    </row>
    <row r="223" spans="1:8" x14ac:dyDescent="0.3">
      <c r="A223" t="s">
        <v>229</v>
      </c>
      <c r="B223">
        <v>81</v>
      </c>
      <c r="C223">
        <v>33</v>
      </c>
      <c r="D223">
        <v>22</v>
      </c>
      <c r="E223">
        <v>11</v>
      </c>
      <c r="F223">
        <v>0.4</v>
      </c>
      <c r="G223">
        <v>1.1499999999999999</v>
      </c>
      <c r="H223">
        <v>38</v>
      </c>
    </row>
    <row r="224" spans="1:8" x14ac:dyDescent="0.3">
      <c r="A224" t="s">
        <v>230</v>
      </c>
      <c r="B224">
        <v>75</v>
      </c>
      <c r="C224">
        <v>27</v>
      </c>
      <c r="D224">
        <v>10</v>
      </c>
      <c r="E224">
        <v>17</v>
      </c>
      <c r="F224">
        <v>0.4</v>
      </c>
      <c r="G224">
        <v>0.7</v>
      </c>
      <c r="H224">
        <v>19</v>
      </c>
    </row>
    <row r="225" spans="1:8" x14ac:dyDescent="0.3">
      <c r="A225" t="s">
        <v>231</v>
      </c>
      <c r="B225">
        <v>61</v>
      </c>
      <c r="C225">
        <v>19</v>
      </c>
      <c r="D225">
        <v>9</v>
      </c>
      <c r="E225">
        <v>10</v>
      </c>
      <c r="F225">
        <v>0.3</v>
      </c>
      <c r="G225">
        <v>0.53</v>
      </c>
      <c r="H225">
        <v>10</v>
      </c>
    </row>
    <row r="226" spans="1:8" x14ac:dyDescent="0.3">
      <c r="A226" t="s">
        <v>232</v>
      </c>
      <c r="B226">
        <v>58</v>
      </c>
      <c r="C226">
        <v>17</v>
      </c>
      <c r="D226">
        <v>7</v>
      </c>
      <c r="E226">
        <v>10</v>
      </c>
      <c r="F226">
        <v>0.3</v>
      </c>
      <c r="G226">
        <v>1.06</v>
      </c>
      <c r="H226">
        <v>18</v>
      </c>
    </row>
    <row r="227" spans="1:8" x14ac:dyDescent="0.3">
      <c r="A227" t="s">
        <v>233</v>
      </c>
      <c r="B227">
        <v>51</v>
      </c>
      <c r="C227">
        <v>19</v>
      </c>
      <c r="D227">
        <v>8</v>
      </c>
      <c r="E227">
        <v>11</v>
      </c>
      <c r="F227">
        <v>0.4</v>
      </c>
      <c r="G227">
        <v>0.79</v>
      </c>
      <c r="H227">
        <v>15</v>
      </c>
    </row>
    <row r="228" spans="1:8" x14ac:dyDescent="0.3">
      <c r="A228" t="s">
        <v>234</v>
      </c>
      <c r="B228">
        <v>54</v>
      </c>
      <c r="C228">
        <v>15</v>
      </c>
      <c r="D228">
        <v>5</v>
      </c>
      <c r="E228">
        <v>10</v>
      </c>
      <c r="F228">
        <v>0.3</v>
      </c>
      <c r="G228">
        <v>0.73</v>
      </c>
      <c r="H228">
        <v>11</v>
      </c>
    </row>
    <row r="229" spans="1:8" x14ac:dyDescent="0.3">
      <c r="A229" t="s">
        <v>235</v>
      </c>
      <c r="B229">
        <v>65</v>
      </c>
      <c r="C229">
        <v>21</v>
      </c>
      <c r="D229">
        <v>7</v>
      </c>
      <c r="E229">
        <v>14</v>
      </c>
      <c r="F229">
        <v>0.3</v>
      </c>
      <c r="G229">
        <v>0.52</v>
      </c>
      <c r="H229">
        <v>11</v>
      </c>
    </row>
    <row r="230" spans="1:8" x14ac:dyDescent="0.3">
      <c r="A230" t="s">
        <v>236</v>
      </c>
      <c r="B230">
        <v>70</v>
      </c>
      <c r="C230">
        <v>26</v>
      </c>
      <c r="D230">
        <v>5</v>
      </c>
      <c r="E230">
        <v>21</v>
      </c>
      <c r="F230">
        <v>0.4</v>
      </c>
      <c r="G230">
        <v>0.46</v>
      </c>
      <c r="H230">
        <v>12</v>
      </c>
    </row>
    <row r="231" spans="1:8" x14ac:dyDescent="0.3">
      <c r="A231" t="s">
        <v>237</v>
      </c>
      <c r="B231">
        <v>72</v>
      </c>
      <c r="C231">
        <v>29</v>
      </c>
      <c r="D231">
        <v>15</v>
      </c>
      <c r="E231">
        <v>15</v>
      </c>
      <c r="F231">
        <v>0.4</v>
      </c>
      <c r="G231">
        <v>0.72</v>
      </c>
      <c r="H231">
        <v>21</v>
      </c>
    </row>
    <row r="232" spans="1:8" x14ac:dyDescent="0.3">
      <c r="A232" t="s">
        <v>238</v>
      </c>
      <c r="B232">
        <v>59</v>
      </c>
      <c r="C232">
        <v>22</v>
      </c>
      <c r="D232">
        <v>17</v>
      </c>
      <c r="E232">
        <v>5</v>
      </c>
      <c r="F232">
        <v>0.4</v>
      </c>
      <c r="G232">
        <v>1.68</v>
      </c>
      <c r="H232">
        <v>37</v>
      </c>
    </row>
    <row r="233" spans="1:8" x14ac:dyDescent="0.3">
      <c r="A233" t="s">
        <v>239</v>
      </c>
      <c r="B233">
        <v>51</v>
      </c>
      <c r="C233">
        <v>19</v>
      </c>
      <c r="D233">
        <v>13</v>
      </c>
      <c r="E233">
        <v>7</v>
      </c>
      <c r="F233">
        <v>0.4</v>
      </c>
      <c r="G233">
        <v>1.26</v>
      </c>
      <c r="H233">
        <v>24</v>
      </c>
    </row>
    <row r="234" spans="1:8" x14ac:dyDescent="0.3">
      <c r="A234" t="s">
        <v>240</v>
      </c>
      <c r="B234">
        <v>41</v>
      </c>
      <c r="C234">
        <v>11</v>
      </c>
      <c r="D234">
        <v>4</v>
      </c>
      <c r="E234">
        <v>7</v>
      </c>
      <c r="F234">
        <v>0.3</v>
      </c>
      <c r="G234">
        <v>1.27</v>
      </c>
      <c r="H234">
        <v>14</v>
      </c>
    </row>
    <row r="235" spans="1:8" x14ac:dyDescent="0.3">
      <c r="A235" t="s">
        <v>241</v>
      </c>
      <c r="B235">
        <v>32</v>
      </c>
      <c r="C235">
        <v>8</v>
      </c>
      <c r="D235">
        <v>0</v>
      </c>
      <c r="E235">
        <v>8</v>
      </c>
      <c r="F235">
        <v>0.3</v>
      </c>
      <c r="G235">
        <v>0.13</v>
      </c>
      <c r="H235">
        <v>1</v>
      </c>
    </row>
    <row r="236" spans="1:8" x14ac:dyDescent="0.3">
      <c r="A236" t="s">
        <v>242</v>
      </c>
      <c r="B236">
        <v>27</v>
      </c>
      <c r="C236">
        <v>10</v>
      </c>
      <c r="D236">
        <v>0</v>
      </c>
      <c r="E236">
        <v>9</v>
      </c>
      <c r="F236">
        <v>0.4</v>
      </c>
      <c r="G236">
        <v>0.1</v>
      </c>
      <c r="H236">
        <v>1</v>
      </c>
    </row>
    <row r="237" spans="1:8" x14ac:dyDescent="0.3">
      <c r="A237" t="s">
        <v>243</v>
      </c>
      <c r="B237">
        <v>25</v>
      </c>
      <c r="C237">
        <v>7</v>
      </c>
      <c r="D237">
        <v>1</v>
      </c>
      <c r="E237">
        <v>6</v>
      </c>
      <c r="F237">
        <v>0.3</v>
      </c>
      <c r="G237">
        <v>0.14000000000000001</v>
      </c>
      <c r="H237">
        <v>1</v>
      </c>
    </row>
    <row r="238" spans="1:8" x14ac:dyDescent="0.3">
      <c r="A238" t="s">
        <v>244</v>
      </c>
      <c r="B238">
        <v>28</v>
      </c>
      <c r="C238">
        <v>11</v>
      </c>
      <c r="D238">
        <v>4</v>
      </c>
      <c r="E238">
        <v>7</v>
      </c>
      <c r="F238">
        <v>0.4</v>
      </c>
      <c r="G238">
        <v>1.0900000000000001</v>
      </c>
      <c r="H238">
        <v>12</v>
      </c>
    </row>
    <row r="239" spans="1:8" x14ac:dyDescent="0.3">
      <c r="A239" t="s">
        <v>245</v>
      </c>
      <c r="B239">
        <v>38</v>
      </c>
      <c r="C239">
        <v>14</v>
      </c>
      <c r="D239">
        <v>5</v>
      </c>
      <c r="E239">
        <v>9</v>
      </c>
      <c r="F239">
        <v>0.4</v>
      </c>
      <c r="G239">
        <v>1.07</v>
      </c>
      <c r="H239">
        <v>15</v>
      </c>
    </row>
    <row r="240" spans="1:8" x14ac:dyDescent="0.3">
      <c r="A240" t="s">
        <v>246</v>
      </c>
      <c r="B240">
        <v>50</v>
      </c>
      <c r="C240">
        <v>18</v>
      </c>
      <c r="D240">
        <v>5</v>
      </c>
      <c r="E240">
        <v>13</v>
      </c>
      <c r="F240">
        <v>0.4</v>
      </c>
      <c r="G240">
        <v>0.61</v>
      </c>
      <c r="H240">
        <v>11</v>
      </c>
    </row>
    <row r="241" spans="1:8" x14ac:dyDescent="0.3">
      <c r="A241" t="s">
        <v>247</v>
      </c>
      <c r="B241">
        <v>65</v>
      </c>
      <c r="C241">
        <v>25</v>
      </c>
      <c r="D241">
        <v>8</v>
      </c>
      <c r="E241">
        <v>18</v>
      </c>
      <c r="F241">
        <v>0.4</v>
      </c>
      <c r="G241">
        <v>0.88</v>
      </c>
      <c r="H241">
        <v>22</v>
      </c>
    </row>
    <row r="242" spans="1:8" x14ac:dyDescent="0.3">
      <c r="A242" t="s">
        <v>248</v>
      </c>
      <c r="B242">
        <v>85</v>
      </c>
      <c r="C242">
        <v>29</v>
      </c>
      <c r="D242">
        <v>8</v>
      </c>
      <c r="E242">
        <v>21</v>
      </c>
      <c r="F242">
        <v>0.3</v>
      </c>
      <c r="G242">
        <v>0.76</v>
      </c>
      <c r="H242">
        <v>22</v>
      </c>
    </row>
    <row r="243" spans="1:8" x14ac:dyDescent="0.3">
      <c r="A243" t="s">
        <v>249</v>
      </c>
      <c r="B243">
        <v>98</v>
      </c>
      <c r="C243">
        <v>35</v>
      </c>
      <c r="D243">
        <v>14</v>
      </c>
      <c r="E243">
        <v>21</v>
      </c>
      <c r="F243">
        <v>0.4</v>
      </c>
      <c r="G243">
        <v>0.86</v>
      </c>
      <c r="H243">
        <v>30</v>
      </c>
    </row>
    <row r="244" spans="1:8" x14ac:dyDescent="0.3">
      <c r="A244" t="s">
        <v>250</v>
      </c>
      <c r="B244">
        <v>108</v>
      </c>
      <c r="C244">
        <v>36</v>
      </c>
      <c r="D244">
        <v>18</v>
      </c>
      <c r="E244">
        <v>18</v>
      </c>
      <c r="F244">
        <v>0.3</v>
      </c>
      <c r="G244">
        <v>1.39</v>
      </c>
      <c r="H244">
        <v>50</v>
      </c>
    </row>
    <row r="245" spans="1:8" x14ac:dyDescent="0.3">
      <c r="A245" t="s">
        <v>251</v>
      </c>
      <c r="B245">
        <v>116</v>
      </c>
      <c r="C245">
        <v>42</v>
      </c>
      <c r="D245">
        <v>21</v>
      </c>
      <c r="E245">
        <v>21</v>
      </c>
      <c r="F245">
        <v>0.4</v>
      </c>
      <c r="G245">
        <v>0.86</v>
      </c>
      <c r="H245">
        <v>36</v>
      </c>
    </row>
    <row r="246" spans="1:8" x14ac:dyDescent="0.3">
      <c r="A246" t="s">
        <v>252</v>
      </c>
      <c r="B246">
        <v>103</v>
      </c>
      <c r="C246">
        <v>40</v>
      </c>
      <c r="D246">
        <v>27</v>
      </c>
      <c r="E246">
        <v>14</v>
      </c>
      <c r="F246">
        <v>0.4</v>
      </c>
      <c r="G246">
        <v>1.32</v>
      </c>
      <c r="H246">
        <v>53</v>
      </c>
    </row>
    <row r="247" spans="1:8" x14ac:dyDescent="0.3">
      <c r="A247" t="s">
        <v>253</v>
      </c>
      <c r="B247">
        <v>104</v>
      </c>
      <c r="C247">
        <v>40</v>
      </c>
      <c r="D247">
        <v>26</v>
      </c>
      <c r="E247">
        <v>14</v>
      </c>
      <c r="F247">
        <v>0.4</v>
      </c>
      <c r="G247">
        <v>1.05</v>
      </c>
      <c r="H247">
        <v>42</v>
      </c>
    </row>
    <row r="248" spans="1:8" x14ac:dyDescent="0.3">
      <c r="A248" t="s">
        <v>254</v>
      </c>
      <c r="B248">
        <v>104</v>
      </c>
      <c r="C248">
        <v>32</v>
      </c>
      <c r="D248">
        <v>17</v>
      </c>
      <c r="E248">
        <v>16</v>
      </c>
      <c r="F248">
        <v>0.3</v>
      </c>
      <c r="G248">
        <v>0.91</v>
      </c>
      <c r="H248">
        <v>29</v>
      </c>
    </row>
    <row r="249" spans="1:8" x14ac:dyDescent="0.3">
      <c r="A249" t="s">
        <v>255</v>
      </c>
      <c r="B249">
        <v>95</v>
      </c>
      <c r="C249">
        <v>27</v>
      </c>
      <c r="D249">
        <v>8</v>
      </c>
      <c r="E249">
        <v>19</v>
      </c>
      <c r="F249">
        <v>0.3</v>
      </c>
      <c r="G249">
        <v>0.7</v>
      </c>
      <c r="H249">
        <v>19</v>
      </c>
    </row>
    <row r="250" spans="1:8" x14ac:dyDescent="0.3">
      <c r="A250" t="s">
        <v>256</v>
      </c>
      <c r="B250">
        <v>76</v>
      </c>
      <c r="C250">
        <v>26</v>
      </c>
      <c r="D250">
        <v>6</v>
      </c>
      <c r="E250">
        <v>20</v>
      </c>
      <c r="F250">
        <v>0.3</v>
      </c>
      <c r="G250">
        <v>0.62</v>
      </c>
      <c r="H250">
        <v>16</v>
      </c>
    </row>
    <row r="251" spans="1:8" x14ac:dyDescent="0.3">
      <c r="A251" t="s">
        <v>257</v>
      </c>
      <c r="B251">
        <v>77</v>
      </c>
      <c r="C251">
        <v>23</v>
      </c>
      <c r="D251">
        <v>4</v>
      </c>
      <c r="E251">
        <v>19</v>
      </c>
      <c r="F251">
        <v>0.3</v>
      </c>
      <c r="G251">
        <v>0.35</v>
      </c>
      <c r="H251">
        <v>8</v>
      </c>
    </row>
    <row r="252" spans="1:8" x14ac:dyDescent="0.3">
      <c r="A252" t="s">
        <v>258</v>
      </c>
      <c r="B252">
        <v>80</v>
      </c>
      <c r="C252">
        <v>26</v>
      </c>
      <c r="D252">
        <v>3</v>
      </c>
      <c r="E252">
        <v>22</v>
      </c>
      <c r="F252">
        <v>0.3</v>
      </c>
      <c r="G252">
        <v>0.38</v>
      </c>
      <c r="H252">
        <v>10</v>
      </c>
    </row>
    <row r="253" spans="1:8" x14ac:dyDescent="0.3">
      <c r="A253" t="s">
        <v>259</v>
      </c>
      <c r="B253">
        <v>75</v>
      </c>
      <c r="C253">
        <v>26</v>
      </c>
      <c r="D253">
        <v>3</v>
      </c>
      <c r="E253">
        <v>22</v>
      </c>
      <c r="F253">
        <v>0.3</v>
      </c>
      <c r="G253">
        <v>0.19</v>
      </c>
      <c r="H253">
        <v>5</v>
      </c>
    </row>
    <row r="254" spans="1:8" x14ac:dyDescent="0.3">
      <c r="A254" t="s">
        <v>260</v>
      </c>
      <c r="B254">
        <v>84</v>
      </c>
      <c r="C254">
        <v>28</v>
      </c>
      <c r="D254">
        <v>6</v>
      </c>
      <c r="E254">
        <v>22</v>
      </c>
      <c r="F254">
        <v>0.3</v>
      </c>
      <c r="G254">
        <v>0.43</v>
      </c>
      <c r="H254">
        <v>12</v>
      </c>
    </row>
    <row r="255" spans="1:8" x14ac:dyDescent="0.3">
      <c r="A255" t="s">
        <v>261</v>
      </c>
      <c r="B255">
        <v>92</v>
      </c>
      <c r="C255">
        <v>37</v>
      </c>
      <c r="D255">
        <v>11</v>
      </c>
      <c r="E255">
        <v>26</v>
      </c>
      <c r="F255">
        <v>0.4</v>
      </c>
      <c r="G255">
        <v>0.54</v>
      </c>
      <c r="H255">
        <v>20</v>
      </c>
    </row>
    <row r="256" spans="1:8" x14ac:dyDescent="0.3">
      <c r="A256" t="s">
        <v>262</v>
      </c>
      <c r="B256">
        <v>77</v>
      </c>
      <c r="C256">
        <v>32</v>
      </c>
      <c r="D256">
        <v>17</v>
      </c>
      <c r="E256">
        <v>15</v>
      </c>
      <c r="F256">
        <v>0.4</v>
      </c>
      <c r="G256">
        <v>1.1299999999999999</v>
      </c>
      <c r="H256">
        <v>36</v>
      </c>
    </row>
    <row r="257" spans="1:8" x14ac:dyDescent="0.3">
      <c r="A257" t="s">
        <v>263</v>
      </c>
      <c r="B257">
        <v>62</v>
      </c>
      <c r="C257">
        <v>20</v>
      </c>
      <c r="D257">
        <v>12</v>
      </c>
      <c r="E257">
        <v>8</v>
      </c>
      <c r="F257">
        <v>0.3</v>
      </c>
      <c r="G257">
        <v>1.2</v>
      </c>
      <c r="H257">
        <v>24</v>
      </c>
    </row>
    <row r="258" spans="1:8" x14ac:dyDescent="0.3">
      <c r="A258" t="s">
        <v>264</v>
      </c>
      <c r="B258">
        <v>44</v>
      </c>
      <c r="C258">
        <v>12</v>
      </c>
      <c r="D258">
        <v>2</v>
      </c>
      <c r="E258">
        <v>11</v>
      </c>
      <c r="F258">
        <v>0.3</v>
      </c>
      <c r="G258">
        <v>0.57999999999999996</v>
      </c>
      <c r="H258">
        <v>7</v>
      </c>
    </row>
    <row r="259" spans="1:8" x14ac:dyDescent="0.3">
      <c r="A259" t="s">
        <v>265</v>
      </c>
      <c r="B259">
        <v>27</v>
      </c>
      <c r="C259">
        <v>7</v>
      </c>
      <c r="D259">
        <v>0</v>
      </c>
      <c r="E259">
        <v>7</v>
      </c>
      <c r="F259">
        <v>0.3</v>
      </c>
      <c r="G259">
        <v>0.14000000000000001</v>
      </c>
      <c r="H259">
        <v>1</v>
      </c>
    </row>
    <row r="260" spans="1:8" x14ac:dyDescent="0.3">
      <c r="A260" t="s">
        <v>266</v>
      </c>
      <c r="B260">
        <v>17</v>
      </c>
      <c r="C260">
        <v>5</v>
      </c>
      <c r="D260">
        <v>0</v>
      </c>
      <c r="E260">
        <v>5</v>
      </c>
      <c r="F260">
        <v>0.3</v>
      </c>
      <c r="G260">
        <v>0</v>
      </c>
    </row>
    <row r="261" spans="1:8" x14ac:dyDescent="0.3">
      <c r="A261" t="s">
        <v>267</v>
      </c>
      <c r="B261">
        <v>17</v>
      </c>
      <c r="C261">
        <v>5</v>
      </c>
      <c r="D261">
        <v>0</v>
      </c>
      <c r="E261">
        <v>5</v>
      </c>
      <c r="F261">
        <v>0.3</v>
      </c>
      <c r="G261">
        <v>0</v>
      </c>
    </row>
    <row r="262" spans="1:8" x14ac:dyDescent="0.3">
      <c r="A262" t="s">
        <v>268</v>
      </c>
      <c r="B262">
        <v>18</v>
      </c>
      <c r="C262">
        <v>6</v>
      </c>
      <c r="D262">
        <v>0</v>
      </c>
      <c r="E262">
        <v>6</v>
      </c>
      <c r="F262">
        <v>0.3</v>
      </c>
      <c r="G262">
        <v>0.17</v>
      </c>
      <c r="H262">
        <v>1</v>
      </c>
    </row>
    <row r="263" spans="1:8" x14ac:dyDescent="0.3">
      <c r="A263" t="s">
        <v>269</v>
      </c>
      <c r="B263">
        <v>28</v>
      </c>
      <c r="C263">
        <v>7</v>
      </c>
      <c r="D263">
        <v>1</v>
      </c>
      <c r="E263">
        <v>6</v>
      </c>
      <c r="F263">
        <v>0.3</v>
      </c>
      <c r="G263">
        <v>0.28999999999999998</v>
      </c>
      <c r="H263">
        <v>2</v>
      </c>
    </row>
    <row r="264" spans="1:8" x14ac:dyDescent="0.3">
      <c r="A264" t="s">
        <v>270</v>
      </c>
      <c r="B264">
        <v>48</v>
      </c>
      <c r="C264">
        <v>17</v>
      </c>
      <c r="D264">
        <v>3</v>
      </c>
      <c r="E264">
        <v>14</v>
      </c>
      <c r="F264">
        <v>0.4</v>
      </c>
      <c r="G264">
        <v>0.24</v>
      </c>
      <c r="H264">
        <v>4</v>
      </c>
    </row>
    <row r="265" spans="1:8" x14ac:dyDescent="0.3">
      <c r="A265" t="s">
        <v>271</v>
      </c>
      <c r="B265">
        <v>59</v>
      </c>
      <c r="C265">
        <v>21</v>
      </c>
      <c r="D265">
        <v>8</v>
      </c>
      <c r="E265">
        <v>13</v>
      </c>
      <c r="F265">
        <v>0.4</v>
      </c>
      <c r="G265">
        <v>0.95</v>
      </c>
      <c r="H265">
        <v>20</v>
      </c>
    </row>
    <row r="266" spans="1:8" x14ac:dyDescent="0.3">
      <c r="A266" t="s">
        <v>272</v>
      </c>
      <c r="B266">
        <v>77</v>
      </c>
      <c r="C266">
        <v>26</v>
      </c>
      <c r="D266">
        <v>10</v>
      </c>
      <c r="E266">
        <v>15</v>
      </c>
      <c r="F266">
        <v>0.3</v>
      </c>
      <c r="G266">
        <v>1.1499999999999999</v>
      </c>
      <c r="H266">
        <v>30</v>
      </c>
    </row>
    <row r="267" spans="1:8" x14ac:dyDescent="0.3">
      <c r="A267" t="s">
        <v>273</v>
      </c>
      <c r="B267">
        <v>93</v>
      </c>
      <c r="C267">
        <v>28</v>
      </c>
      <c r="D267">
        <v>6</v>
      </c>
      <c r="E267">
        <v>22</v>
      </c>
      <c r="F267">
        <v>0.3</v>
      </c>
      <c r="G267">
        <v>0.71</v>
      </c>
      <c r="H267">
        <v>20</v>
      </c>
    </row>
    <row r="268" spans="1:8" x14ac:dyDescent="0.3">
      <c r="A268" t="s">
        <v>274</v>
      </c>
      <c r="B268">
        <v>104</v>
      </c>
      <c r="C268">
        <v>36</v>
      </c>
      <c r="D268">
        <v>8</v>
      </c>
      <c r="E268">
        <v>28</v>
      </c>
      <c r="F268">
        <v>0.3</v>
      </c>
      <c r="G268">
        <v>0.61</v>
      </c>
      <c r="H268">
        <v>22</v>
      </c>
    </row>
    <row r="269" spans="1:8" x14ac:dyDescent="0.3">
      <c r="A269" t="s">
        <v>275</v>
      </c>
      <c r="B269">
        <v>97</v>
      </c>
      <c r="C269">
        <v>36</v>
      </c>
      <c r="D269">
        <v>13</v>
      </c>
      <c r="E269">
        <v>23</v>
      </c>
      <c r="F269">
        <v>0.4</v>
      </c>
      <c r="G269">
        <v>0.75</v>
      </c>
      <c r="H269">
        <v>27</v>
      </c>
    </row>
    <row r="270" spans="1:8" x14ac:dyDescent="0.3">
      <c r="A270" t="s">
        <v>276</v>
      </c>
      <c r="B270">
        <v>101</v>
      </c>
      <c r="C270">
        <v>35</v>
      </c>
      <c r="D270">
        <v>21</v>
      </c>
      <c r="E270">
        <v>14</v>
      </c>
      <c r="F270">
        <v>0.3</v>
      </c>
      <c r="G270">
        <v>0.89</v>
      </c>
      <c r="H270">
        <v>31</v>
      </c>
    </row>
    <row r="271" spans="1:8" x14ac:dyDescent="0.3">
      <c r="A271" t="s">
        <v>277</v>
      </c>
      <c r="B271">
        <v>88</v>
      </c>
      <c r="C271">
        <v>24</v>
      </c>
      <c r="D271">
        <v>13</v>
      </c>
      <c r="E271">
        <v>11</v>
      </c>
      <c r="F271">
        <v>0.3</v>
      </c>
      <c r="G271">
        <v>1.08</v>
      </c>
      <c r="H271">
        <v>26</v>
      </c>
    </row>
    <row r="272" spans="1:8" x14ac:dyDescent="0.3">
      <c r="A272" t="s">
        <v>278</v>
      </c>
      <c r="B272">
        <v>106</v>
      </c>
      <c r="C272">
        <v>35</v>
      </c>
      <c r="D272">
        <v>12</v>
      </c>
      <c r="E272">
        <v>23</v>
      </c>
      <c r="F272">
        <v>0.3</v>
      </c>
      <c r="G272">
        <v>0.49</v>
      </c>
      <c r="H272">
        <v>17</v>
      </c>
    </row>
    <row r="273" spans="1:8" x14ac:dyDescent="0.3">
      <c r="A273" t="s">
        <v>279</v>
      </c>
      <c r="B273">
        <v>95</v>
      </c>
      <c r="C273">
        <v>31</v>
      </c>
      <c r="D273">
        <v>5</v>
      </c>
      <c r="E273">
        <v>25</v>
      </c>
      <c r="F273">
        <v>0.3</v>
      </c>
      <c r="G273">
        <v>0.35</v>
      </c>
      <c r="H273">
        <v>11</v>
      </c>
    </row>
    <row r="274" spans="1:8" x14ac:dyDescent="0.3">
      <c r="A274" t="s">
        <v>280</v>
      </c>
      <c r="B274">
        <v>84</v>
      </c>
      <c r="C274">
        <v>26</v>
      </c>
      <c r="D274">
        <v>4</v>
      </c>
      <c r="E274">
        <v>22</v>
      </c>
      <c r="F274">
        <v>0.3</v>
      </c>
      <c r="G274">
        <v>0.31</v>
      </c>
      <c r="H274">
        <v>8</v>
      </c>
    </row>
    <row r="275" spans="1:8" x14ac:dyDescent="0.3">
      <c r="A275" t="s">
        <v>281</v>
      </c>
      <c r="B275">
        <v>79</v>
      </c>
      <c r="C275">
        <v>24</v>
      </c>
      <c r="D275">
        <v>3</v>
      </c>
      <c r="E275">
        <v>21</v>
      </c>
      <c r="F275">
        <v>0.3</v>
      </c>
      <c r="G275">
        <v>0.38</v>
      </c>
      <c r="H275">
        <v>9</v>
      </c>
    </row>
    <row r="276" spans="1:8" x14ac:dyDescent="0.3">
      <c r="A276" t="s">
        <v>282</v>
      </c>
      <c r="B276">
        <v>80</v>
      </c>
      <c r="C276">
        <v>26</v>
      </c>
      <c r="D276">
        <v>4</v>
      </c>
      <c r="E276">
        <v>22</v>
      </c>
      <c r="F276">
        <v>0.3</v>
      </c>
      <c r="G276">
        <v>0.31</v>
      </c>
      <c r="H276">
        <v>8</v>
      </c>
    </row>
    <row r="277" spans="1:8" x14ac:dyDescent="0.3">
      <c r="A277" t="s">
        <v>283</v>
      </c>
      <c r="B277">
        <v>76</v>
      </c>
      <c r="C277">
        <v>23</v>
      </c>
      <c r="D277">
        <v>4</v>
      </c>
      <c r="E277">
        <v>19</v>
      </c>
      <c r="F277">
        <v>0.3</v>
      </c>
      <c r="G277">
        <v>0.26</v>
      </c>
      <c r="H277">
        <v>6</v>
      </c>
    </row>
    <row r="278" spans="1:8" x14ac:dyDescent="0.3">
      <c r="A278" t="s">
        <v>284</v>
      </c>
      <c r="B278">
        <v>97</v>
      </c>
      <c r="C278">
        <v>37</v>
      </c>
      <c r="D278">
        <v>6</v>
      </c>
      <c r="E278">
        <v>31</v>
      </c>
      <c r="F278">
        <v>0.4</v>
      </c>
      <c r="G278">
        <v>0.24</v>
      </c>
      <c r="H278">
        <v>9</v>
      </c>
    </row>
    <row r="279" spans="1:8" x14ac:dyDescent="0.3">
      <c r="A279" t="s">
        <v>285</v>
      </c>
      <c r="B279">
        <v>101</v>
      </c>
      <c r="C279">
        <v>36</v>
      </c>
      <c r="D279">
        <v>9</v>
      </c>
      <c r="E279">
        <v>27</v>
      </c>
      <c r="F279">
        <v>0.4</v>
      </c>
      <c r="G279">
        <v>0.47</v>
      </c>
      <c r="H279">
        <v>17</v>
      </c>
    </row>
    <row r="280" spans="1:8" x14ac:dyDescent="0.3">
      <c r="A280" t="s">
        <v>286</v>
      </c>
      <c r="B280">
        <v>84</v>
      </c>
      <c r="C280">
        <v>27</v>
      </c>
      <c r="D280">
        <v>13</v>
      </c>
      <c r="E280">
        <v>14</v>
      </c>
      <c r="F280">
        <v>0.3</v>
      </c>
      <c r="G280">
        <v>1</v>
      </c>
      <c r="H280">
        <v>27</v>
      </c>
    </row>
    <row r="281" spans="1:8" x14ac:dyDescent="0.3">
      <c r="A281" t="s">
        <v>287</v>
      </c>
      <c r="B281">
        <v>67</v>
      </c>
      <c r="C281">
        <v>22</v>
      </c>
      <c r="D281">
        <v>8</v>
      </c>
      <c r="E281">
        <v>14</v>
      </c>
      <c r="F281">
        <v>0.3</v>
      </c>
      <c r="G281">
        <v>0.86</v>
      </c>
      <c r="H281">
        <v>19</v>
      </c>
    </row>
    <row r="282" spans="1:8" x14ac:dyDescent="0.3">
      <c r="A282" t="s">
        <v>288</v>
      </c>
      <c r="B282">
        <v>48</v>
      </c>
      <c r="C282">
        <v>16</v>
      </c>
      <c r="D282">
        <v>4</v>
      </c>
      <c r="E282">
        <v>12</v>
      </c>
      <c r="F282">
        <v>0.3</v>
      </c>
      <c r="G282">
        <v>0.5</v>
      </c>
      <c r="H282">
        <v>8</v>
      </c>
    </row>
    <row r="283" spans="1:8" x14ac:dyDescent="0.3">
      <c r="A283" t="s">
        <v>289</v>
      </c>
      <c r="B283">
        <v>31</v>
      </c>
      <c r="C283">
        <v>9</v>
      </c>
      <c r="D283">
        <v>1</v>
      </c>
      <c r="E283">
        <v>8</v>
      </c>
      <c r="F283">
        <v>0.3</v>
      </c>
      <c r="G283">
        <v>0.33</v>
      </c>
      <c r="H283">
        <v>3</v>
      </c>
    </row>
    <row r="284" spans="1:8" x14ac:dyDescent="0.3">
      <c r="A284" t="s">
        <v>290</v>
      </c>
      <c r="B284">
        <v>24</v>
      </c>
      <c r="C284">
        <v>8</v>
      </c>
      <c r="D284">
        <v>0</v>
      </c>
      <c r="E284">
        <v>8</v>
      </c>
      <c r="F284">
        <v>0.3</v>
      </c>
      <c r="G284">
        <v>0</v>
      </c>
    </row>
    <row r="285" spans="1:8" x14ac:dyDescent="0.3">
      <c r="A285" t="s">
        <v>291</v>
      </c>
      <c r="B285">
        <v>24</v>
      </c>
      <c r="C285">
        <v>10</v>
      </c>
      <c r="D285">
        <v>0</v>
      </c>
      <c r="E285">
        <v>10</v>
      </c>
      <c r="F285">
        <v>0.4</v>
      </c>
      <c r="G285">
        <v>0</v>
      </c>
    </row>
    <row r="286" spans="1:8" x14ac:dyDescent="0.3">
      <c r="A286" t="s">
        <v>292</v>
      </c>
      <c r="B286">
        <v>28</v>
      </c>
      <c r="C286">
        <v>10</v>
      </c>
      <c r="D286">
        <v>1</v>
      </c>
      <c r="E286">
        <v>9</v>
      </c>
      <c r="F286">
        <v>0.4</v>
      </c>
      <c r="G286">
        <v>0.1</v>
      </c>
      <c r="H286">
        <v>1</v>
      </c>
    </row>
    <row r="287" spans="1:8" x14ac:dyDescent="0.3">
      <c r="A287" t="s">
        <v>293</v>
      </c>
      <c r="B287">
        <v>28</v>
      </c>
      <c r="C287">
        <v>11</v>
      </c>
      <c r="D287">
        <v>2</v>
      </c>
      <c r="E287">
        <v>9</v>
      </c>
      <c r="F287">
        <v>0.4</v>
      </c>
      <c r="G287">
        <v>0.55000000000000004</v>
      </c>
      <c r="H287">
        <v>6</v>
      </c>
    </row>
    <row r="288" spans="1:8" x14ac:dyDescent="0.3">
      <c r="A288" t="s">
        <v>294</v>
      </c>
      <c r="B288">
        <v>39</v>
      </c>
      <c r="C288">
        <v>15</v>
      </c>
      <c r="D288">
        <v>1</v>
      </c>
      <c r="E288">
        <v>13</v>
      </c>
      <c r="F288">
        <v>0.4</v>
      </c>
      <c r="G288">
        <v>7.0000000000000007E-2</v>
      </c>
      <c r="H288">
        <v>1</v>
      </c>
    </row>
    <row r="289" spans="1:8" x14ac:dyDescent="0.3">
      <c r="A289" t="s">
        <v>295</v>
      </c>
      <c r="B289">
        <v>56</v>
      </c>
      <c r="C289">
        <v>19</v>
      </c>
      <c r="D289">
        <v>5</v>
      </c>
      <c r="E289">
        <v>13</v>
      </c>
      <c r="F289">
        <v>0.3</v>
      </c>
      <c r="G289">
        <v>0.79</v>
      </c>
      <c r="H289">
        <v>15</v>
      </c>
    </row>
    <row r="290" spans="1:8" x14ac:dyDescent="0.3">
      <c r="A290" t="s">
        <v>296</v>
      </c>
      <c r="B290">
        <v>72</v>
      </c>
      <c r="C290">
        <v>29</v>
      </c>
      <c r="D290">
        <v>8</v>
      </c>
      <c r="E290">
        <v>21</v>
      </c>
      <c r="F290">
        <v>0.4</v>
      </c>
      <c r="G290">
        <v>0.69</v>
      </c>
      <c r="H290">
        <v>20</v>
      </c>
    </row>
    <row r="291" spans="1:8" x14ac:dyDescent="0.3">
      <c r="A291" t="s">
        <v>297</v>
      </c>
      <c r="B291">
        <v>85</v>
      </c>
      <c r="C291">
        <v>32</v>
      </c>
      <c r="D291">
        <v>7</v>
      </c>
      <c r="E291">
        <v>25</v>
      </c>
      <c r="F291">
        <v>0.4</v>
      </c>
      <c r="G291">
        <v>0.47</v>
      </c>
      <c r="H291">
        <v>15</v>
      </c>
    </row>
    <row r="292" spans="1:8" x14ac:dyDescent="0.3">
      <c r="A292" t="s">
        <v>298</v>
      </c>
      <c r="B292">
        <v>103</v>
      </c>
      <c r="C292">
        <v>35</v>
      </c>
      <c r="D292">
        <v>9</v>
      </c>
      <c r="E292">
        <v>26</v>
      </c>
      <c r="F292">
        <v>0.3</v>
      </c>
      <c r="G292">
        <v>0.69</v>
      </c>
      <c r="H292">
        <v>24</v>
      </c>
    </row>
    <row r="293" spans="1:8" x14ac:dyDescent="0.3">
      <c r="A293" t="s">
        <v>299</v>
      </c>
      <c r="B293">
        <v>108</v>
      </c>
      <c r="C293">
        <v>39</v>
      </c>
      <c r="D293">
        <v>10</v>
      </c>
      <c r="E293">
        <v>30</v>
      </c>
      <c r="F293">
        <v>0.4</v>
      </c>
      <c r="G293">
        <v>0.56000000000000005</v>
      </c>
      <c r="H293">
        <v>22</v>
      </c>
    </row>
    <row r="294" spans="1:8" x14ac:dyDescent="0.3">
      <c r="A294" t="s">
        <v>300</v>
      </c>
      <c r="B294">
        <v>108</v>
      </c>
      <c r="C294">
        <v>43</v>
      </c>
      <c r="D294">
        <v>22</v>
      </c>
      <c r="E294">
        <v>21</v>
      </c>
      <c r="F294">
        <v>0.4</v>
      </c>
      <c r="G294">
        <v>0.65</v>
      </c>
      <c r="H294">
        <v>28</v>
      </c>
    </row>
    <row r="295" spans="1:8" x14ac:dyDescent="0.3">
      <c r="A295" t="s">
        <v>301</v>
      </c>
      <c r="B295">
        <v>90</v>
      </c>
      <c r="C295">
        <v>31</v>
      </c>
      <c r="D295">
        <v>19</v>
      </c>
      <c r="E295">
        <v>12</v>
      </c>
      <c r="F295">
        <v>0.3</v>
      </c>
      <c r="G295">
        <v>1.19</v>
      </c>
      <c r="H295">
        <v>37</v>
      </c>
    </row>
    <row r="296" spans="1:8" x14ac:dyDescent="0.3">
      <c r="A296" t="s">
        <v>302</v>
      </c>
      <c r="B296">
        <v>91</v>
      </c>
      <c r="C296">
        <v>30</v>
      </c>
      <c r="D296">
        <v>6</v>
      </c>
      <c r="E296">
        <v>24</v>
      </c>
      <c r="F296">
        <v>0.3</v>
      </c>
      <c r="G296">
        <v>0.63</v>
      </c>
      <c r="H296">
        <v>19</v>
      </c>
    </row>
    <row r="297" spans="1:8" x14ac:dyDescent="0.3">
      <c r="A297" t="s">
        <v>303</v>
      </c>
      <c r="B297">
        <v>84</v>
      </c>
      <c r="C297">
        <v>27</v>
      </c>
      <c r="D297">
        <v>3</v>
      </c>
      <c r="E297">
        <v>24</v>
      </c>
      <c r="F297">
        <v>0.3</v>
      </c>
      <c r="G297">
        <v>0.22</v>
      </c>
      <c r="H297">
        <v>6</v>
      </c>
    </row>
    <row r="298" spans="1:8" x14ac:dyDescent="0.3">
      <c r="A298" t="s">
        <v>304</v>
      </c>
      <c r="B298">
        <v>76</v>
      </c>
      <c r="C298">
        <v>23</v>
      </c>
      <c r="D298">
        <v>2</v>
      </c>
      <c r="E298">
        <v>22</v>
      </c>
      <c r="F298">
        <v>0.3</v>
      </c>
      <c r="G298">
        <v>0.17</v>
      </c>
      <c r="H298">
        <v>4</v>
      </c>
    </row>
    <row r="299" spans="1:8" x14ac:dyDescent="0.3">
      <c r="A299" t="s">
        <v>305</v>
      </c>
      <c r="B299">
        <v>65</v>
      </c>
      <c r="C299">
        <v>21</v>
      </c>
      <c r="D299">
        <v>4</v>
      </c>
      <c r="E299">
        <v>17</v>
      </c>
      <c r="F299">
        <v>0.3</v>
      </c>
      <c r="G299">
        <v>0.43</v>
      </c>
      <c r="H299">
        <v>9</v>
      </c>
    </row>
    <row r="300" spans="1:8" x14ac:dyDescent="0.3">
      <c r="A300" t="s">
        <v>306</v>
      </c>
      <c r="B300">
        <v>68</v>
      </c>
      <c r="C300">
        <v>19</v>
      </c>
      <c r="D300">
        <v>3</v>
      </c>
      <c r="E300">
        <v>16</v>
      </c>
      <c r="F300">
        <v>0.3</v>
      </c>
      <c r="G300">
        <v>0.53</v>
      </c>
      <c r="H300">
        <v>10</v>
      </c>
    </row>
    <row r="301" spans="1:8" x14ac:dyDescent="0.3">
      <c r="A301" t="s">
        <v>307</v>
      </c>
      <c r="B301">
        <v>78</v>
      </c>
      <c r="C301">
        <v>22</v>
      </c>
      <c r="D301">
        <v>2</v>
      </c>
      <c r="E301">
        <v>20</v>
      </c>
      <c r="F301">
        <v>0.3</v>
      </c>
      <c r="G301">
        <v>0.14000000000000001</v>
      </c>
      <c r="H301">
        <v>3</v>
      </c>
    </row>
    <row r="302" spans="1:8" x14ac:dyDescent="0.3">
      <c r="A302" t="s">
        <v>308</v>
      </c>
      <c r="B302">
        <v>73</v>
      </c>
      <c r="C302">
        <v>26</v>
      </c>
      <c r="D302">
        <v>5</v>
      </c>
      <c r="E302">
        <v>20</v>
      </c>
      <c r="F302">
        <v>0.4</v>
      </c>
      <c r="G302">
        <v>0.35</v>
      </c>
      <c r="H302">
        <v>9</v>
      </c>
    </row>
    <row r="303" spans="1:8" x14ac:dyDescent="0.3">
      <c r="A303" t="s">
        <v>309</v>
      </c>
      <c r="B303">
        <v>72</v>
      </c>
      <c r="C303">
        <v>26</v>
      </c>
      <c r="D303">
        <v>9</v>
      </c>
      <c r="E303">
        <v>17</v>
      </c>
      <c r="F303">
        <v>0.4</v>
      </c>
      <c r="G303">
        <v>0.65</v>
      </c>
      <c r="H303">
        <v>17</v>
      </c>
    </row>
    <row r="304" spans="1:8" x14ac:dyDescent="0.3">
      <c r="A304" t="s">
        <v>310</v>
      </c>
      <c r="B304">
        <v>75</v>
      </c>
      <c r="C304">
        <v>30</v>
      </c>
      <c r="D304">
        <v>16</v>
      </c>
      <c r="E304">
        <v>14</v>
      </c>
      <c r="F304">
        <v>0.4</v>
      </c>
      <c r="G304">
        <v>0.97</v>
      </c>
      <c r="H304">
        <v>29</v>
      </c>
    </row>
    <row r="305" spans="1:8" x14ac:dyDescent="0.3">
      <c r="A305" t="s">
        <v>311</v>
      </c>
      <c r="B305">
        <v>59</v>
      </c>
      <c r="C305">
        <v>27</v>
      </c>
      <c r="D305">
        <v>12</v>
      </c>
      <c r="E305">
        <v>15</v>
      </c>
      <c r="F305">
        <v>0.5</v>
      </c>
      <c r="G305">
        <v>0.89</v>
      </c>
      <c r="H305">
        <v>24</v>
      </c>
    </row>
    <row r="306" spans="1:8" x14ac:dyDescent="0.3">
      <c r="A306" t="s">
        <v>312</v>
      </c>
      <c r="B306">
        <v>46</v>
      </c>
      <c r="C306">
        <v>15</v>
      </c>
      <c r="D306">
        <v>5</v>
      </c>
      <c r="E306">
        <v>10</v>
      </c>
      <c r="F306">
        <v>0.3</v>
      </c>
      <c r="G306">
        <v>1</v>
      </c>
      <c r="H306">
        <v>15</v>
      </c>
    </row>
    <row r="307" spans="1:8" x14ac:dyDescent="0.3">
      <c r="A307" t="s">
        <v>313</v>
      </c>
      <c r="B307">
        <v>24</v>
      </c>
      <c r="C307">
        <v>7</v>
      </c>
      <c r="D307">
        <v>0</v>
      </c>
      <c r="E307">
        <v>7</v>
      </c>
      <c r="F307">
        <v>0.3</v>
      </c>
      <c r="G307">
        <v>0.14000000000000001</v>
      </c>
      <c r="H307">
        <v>1</v>
      </c>
    </row>
    <row r="308" spans="1:8" x14ac:dyDescent="0.3">
      <c r="A308" t="s">
        <v>314</v>
      </c>
      <c r="B308">
        <v>14</v>
      </c>
      <c r="C308">
        <v>5</v>
      </c>
      <c r="D308">
        <v>0</v>
      </c>
      <c r="E308">
        <v>5</v>
      </c>
      <c r="F308">
        <v>0.4</v>
      </c>
      <c r="G308">
        <v>0.2</v>
      </c>
      <c r="H308">
        <v>1</v>
      </c>
    </row>
    <row r="309" spans="1:8" x14ac:dyDescent="0.3">
      <c r="A309" t="s">
        <v>315</v>
      </c>
      <c r="B309">
        <v>16</v>
      </c>
      <c r="C309">
        <v>6</v>
      </c>
      <c r="D309">
        <v>0</v>
      </c>
      <c r="E309">
        <v>6</v>
      </c>
      <c r="F309">
        <v>0.4</v>
      </c>
      <c r="G309">
        <v>0</v>
      </c>
    </row>
    <row r="310" spans="1:8" x14ac:dyDescent="0.3">
      <c r="A310" t="s">
        <v>316</v>
      </c>
      <c r="B310">
        <v>18</v>
      </c>
      <c r="C310">
        <v>6</v>
      </c>
      <c r="D310">
        <v>1</v>
      </c>
      <c r="E310">
        <v>5</v>
      </c>
      <c r="F310">
        <v>0.3</v>
      </c>
      <c r="G310">
        <v>0.33</v>
      </c>
      <c r="H310">
        <v>2</v>
      </c>
    </row>
    <row r="311" spans="1:8" x14ac:dyDescent="0.3">
      <c r="A311" t="s">
        <v>317</v>
      </c>
      <c r="B311">
        <v>19</v>
      </c>
      <c r="C311">
        <v>6</v>
      </c>
      <c r="D311">
        <v>0</v>
      </c>
      <c r="E311">
        <v>6</v>
      </c>
      <c r="F311">
        <v>0.3</v>
      </c>
      <c r="G311">
        <v>0</v>
      </c>
    </row>
    <row r="312" spans="1:8" x14ac:dyDescent="0.3">
      <c r="A312" t="s">
        <v>318</v>
      </c>
      <c r="B312">
        <v>25</v>
      </c>
      <c r="C312">
        <v>8</v>
      </c>
      <c r="D312">
        <v>1</v>
      </c>
      <c r="E312">
        <v>7</v>
      </c>
      <c r="F312">
        <v>0.3</v>
      </c>
      <c r="G312">
        <v>0.13</v>
      </c>
      <c r="H312">
        <v>1</v>
      </c>
    </row>
    <row r="313" spans="1:8" x14ac:dyDescent="0.3">
      <c r="A313" t="s">
        <v>319</v>
      </c>
      <c r="B313">
        <v>40</v>
      </c>
      <c r="C313">
        <v>17</v>
      </c>
      <c r="D313">
        <v>4</v>
      </c>
      <c r="E313">
        <v>13</v>
      </c>
      <c r="F313">
        <v>0.4</v>
      </c>
      <c r="G313">
        <v>0.65</v>
      </c>
      <c r="H313">
        <v>11</v>
      </c>
    </row>
    <row r="314" spans="1:8" x14ac:dyDescent="0.3">
      <c r="A314" t="s">
        <v>320</v>
      </c>
      <c r="B314">
        <v>52</v>
      </c>
      <c r="C314">
        <v>19</v>
      </c>
      <c r="D314">
        <v>3</v>
      </c>
      <c r="E314">
        <v>16</v>
      </c>
      <c r="F314">
        <v>0.4</v>
      </c>
      <c r="G314">
        <v>0.47</v>
      </c>
      <c r="H314">
        <v>9</v>
      </c>
    </row>
    <row r="315" spans="1:8" x14ac:dyDescent="0.3">
      <c r="A315" t="s">
        <v>321</v>
      </c>
      <c r="B315">
        <v>71</v>
      </c>
      <c r="C315">
        <v>23</v>
      </c>
      <c r="D315">
        <v>7</v>
      </c>
      <c r="E315">
        <v>17</v>
      </c>
      <c r="F315">
        <v>0.3</v>
      </c>
      <c r="G315">
        <v>0.7</v>
      </c>
      <c r="H315">
        <v>16</v>
      </c>
    </row>
    <row r="316" spans="1:8" x14ac:dyDescent="0.3">
      <c r="A316" t="s">
        <v>322</v>
      </c>
      <c r="B316">
        <v>85</v>
      </c>
      <c r="C316">
        <v>27</v>
      </c>
      <c r="D316">
        <v>7</v>
      </c>
      <c r="E316">
        <v>20</v>
      </c>
      <c r="F316">
        <v>0.3</v>
      </c>
      <c r="G316">
        <v>0.56000000000000005</v>
      </c>
      <c r="H316">
        <v>15</v>
      </c>
    </row>
    <row r="317" spans="1:8" x14ac:dyDescent="0.3">
      <c r="A317" t="s">
        <v>323</v>
      </c>
      <c r="B317">
        <v>96</v>
      </c>
      <c r="C317">
        <v>36</v>
      </c>
      <c r="D317">
        <v>11</v>
      </c>
      <c r="E317">
        <v>25</v>
      </c>
      <c r="F317">
        <v>0.4</v>
      </c>
      <c r="G317">
        <v>0.61</v>
      </c>
      <c r="H317">
        <v>22</v>
      </c>
    </row>
    <row r="318" spans="1:8" x14ac:dyDescent="0.3">
      <c r="A318" t="s">
        <v>324</v>
      </c>
      <c r="B318">
        <v>93</v>
      </c>
      <c r="C318">
        <v>39</v>
      </c>
      <c r="D318">
        <v>24</v>
      </c>
      <c r="E318">
        <v>15</v>
      </c>
      <c r="F318">
        <v>0.4</v>
      </c>
      <c r="G318">
        <v>0.92</v>
      </c>
      <c r="H318">
        <v>36</v>
      </c>
    </row>
    <row r="319" spans="1:8" x14ac:dyDescent="0.3">
      <c r="A319" t="s">
        <v>325</v>
      </c>
      <c r="B319">
        <v>86</v>
      </c>
      <c r="C319">
        <v>34</v>
      </c>
      <c r="D319">
        <v>23</v>
      </c>
      <c r="E319">
        <v>12</v>
      </c>
      <c r="F319">
        <v>0.4</v>
      </c>
      <c r="G319">
        <v>1.18</v>
      </c>
      <c r="H319">
        <v>40</v>
      </c>
    </row>
    <row r="320" spans="1:8" x14ac:dyDescent="0.3">
      <c r="A320" t="s">
        <v>326</v>
      </c>
      <c r="B320">
        <v>94</v>
      </c>
      <c r="C320">
        <v>34</v>
      </c>
      <c r="D320">
        <v>12</v>
      </c>
      <c r="E320">
        <v>22</v>
      </c>
      <c r="F320">
        <v>0.4</v>
      </c>
      <c r="G320">
        <v>0.68</v>
      </c>
      <c r="H320">
        <v>23</v>
      </c>
    </row>
    <row r="321" spans="1:8" x14ac:dyDescent="0.3">
      <c r="A321" t="s">
        <v>327</v>
      </c>
      <c r="B321">
        <v>81</v>
      </c>
      <c r="C321">
        <v>28</v>
      </c>
      <c r="D321">
        <v>4</v>
      </c>
      <c r="E321">
        <v>24</v>
      </c>
      <c r="F321">
        <v>0.3</v>
      </c>
      <c r="G321">
        <v>0.32</v>
      </c>
      <c r="H321">
        <v>9</v>
      </c>
    </row>
    <row r="322" spans="1:8" x14ac:dyDescent="0.3">
      <c r="A322" t="s">
        <v>328</v>
      </c>
      <c r="B322">
        <v>81</v>
      </c>
      <c r="C322">
        <v>29</v>
      </c>
      <c r="D322">
        <v>3</v>
      </c>
      <c r="E322">
        <v>26</v>
      </c>
      <c r="F322">
        <v>0.4</v>
      </c>
      <c r="G322">
        <v>0.24</v>
      </c>
      <c r="H322">
        <v>7</v>
      </c>
    </row>
    <row r="323" spans="1:8" x14ac:dyDescent="0.3">
      <c r="A323" t="s">
        <v>329</v>
      </c>
      <c r="B323">
        <v>71</v>
      </c>
      <c r="C323">
        <v>23</v>
      </c>
      <c r="D323">
        <v>3</v>
      </c>
      <c r="E323">
        <v>20</v>
      </c>
      <c r="F323">
        <v>0.3</v>
      </c>
      <c r="G323">
        <v>0.22</v>
      </c>
      <c r="H323">
        <v>5</v>
      </c>
    </row>
    <row r="324" spans="1:8" x14ac:dyDescent="0.3">
      <c r="A324" t="s">
        <v>330</v>
      </c>
      <c r="B324">
        <v>70</v>
      </c>
      <c r="C324">
        <v>20</v>
      </c>
      <c r="D324">
        <v>4</v>
      </c>
      <c r="E324">
        <v>16</v>
      </c>
      <c r="F324">
        <v>0.3</v>
      </c>
      <c r="G324">
        <v>0.45</v>
      </c>
      <c r="H324">
        <v>9</v>
      </c>
    </row>
    <row r="325" spans="1:8" x14ac:dyDescent="0.3">
      <c r="A325" t="s">
        <v>331</v>
      </c>
      <c r="B325">
        <v>74</v>
      </c>
      <c r="C325">
        <v>28</v>
      </c>
      <c r="D325">
        <v>4</v>
      </c>
      <c r="E325">
        <v>24</v>
      </c>
      <c r="F325">
        <v>0.4</v>
      </c>
      <c r="G325">
        <v>0.32</v>
      </c>
      <c r="H325">
        <v>9</v>
      </c>
    </row>
    <row r="326" spans="1:8" x14ac:dyDescent="0.3">
      <c r="A326" t="s">
        <v>332</v>
      </c>
      <c r="B326">
        <v>78</v>
      </c>
      <c r="C326">
        <v>32</v>
      </c>
      <c r="D326">
        <v>4</v>
      </c>
      <c r="E326">
        <v>28</v>
      </c>
      <c r="F326">
        <v>0.4</v>
      </c>
      <c r="G326">
        <v>0.31</v>
      </c>
      <c r="H326">
        <v>10</v>
      </c>
    </row>
    <row r="327" spans="1:8" x14ac:dyDescent="0.3">
      <c r="A327" t="s">
        <v>333</v>
      </c>
      <c r="B327">
        <v>85</v>
      </c>
      <c r="C327">
        <v>29</v>
      </c>
      <c r="D327">
        <v>7</v>
      </c>
      <c r="E327">
        <v>22</v>
      </c>
      <c r="F327">
        <v>0.3</v>
      </c>
      <c r="G327">
        <v>0.34</v>
      </c>
      <c r="H327">
        <v>10</v>
      </c>
    </row>
    <row r="328" spans="1:8" x14ac:dyDescent="0.3">
      <c r="A328" t="s">
        <v>334</v>
      </c>
      <c r="B328">
        <v>75</v>
      </c>
      <c r="C328">
        <v>27</v>
      </c>
      <c r="D328">
        <v>15</v>
      </c>
      <c r="E328">
        <v>12</v>
      </c>
      <c r="F328">
        <v>0.4</v>
      </c>
      <c r="G328">
        <v>1.07</v>
      </c>
      <c r="H328">
        <v>29</v>
      </c>
    </row>
    <row r="329" spans="1:8" x14ac:dyDescent="0.3">
      <c r="A329" t="s">
        <v>335</v>
      </c>
      <c r="B329">
        <v>61</v>
      </c>
      <c r="C329">
        <v>23</v>
      </c>
      <c r="D329">
        <v>11</v>
      </c>
      <c r="E329">
        <v>12</v>
      </c>
      <c r="F329">
        <v>0.4</v>
      </c>
      <c r="G329">
        <v>0.78</v>
      </c>
      <c r="H329">
        <v>18</v>
      </c>
    </row>
    <row r="330" spans="1:8" x14ac:dyDescent="0.3">
      <c r="A330" t="s">
        <v>336</v>
      </c>
      <c r="B330">
        <v>41</v>
      </c>
      <c r="C330">
        <v>14</v>
      </c>
      <c r="D330">
        <v>4</v>
      </c>
      <c r="E330">
        <v>9</v>
      </c>
      <c r="F330">
        <v>0.3</v>
      </c>
      <c r="G330">
        <v>0.79</v>
      </c>
      <c r="H330">
        <v>11</v>
      </c>
    </row>
    <row r="331" spans="1:8" x14ac:dyDescent="0.3">
      <c r="A331" t="s">
        <v>337</v>
      </c>
      <c r="B331">
        <v>29</v>
      </c>
      <c r="C331">
        <v>8</v>
      </c>
      <c r="D331">
        <v>0</v>
      </c>
      <c r="E331">
        <v>8</v>
      </c>
      <c r="F331">
        <v>0.3</v>
      </c>
      <c r="G331">
        <v>0.13</v>
      </c>
      <c r="H331">
        <v>1</v>
      </c>
    </row>
    <row r="332" spans="1:8" x14ac:dyDescent="0.3">
      <c r="A332" t="s">
        <v>338</v>
      </c>
      <c r="B332">
        <v>15</v>
      </c>
      <c r="C332">
        <v>5</v>
      </c>
      <c r="D332">
        <v>0</v>
      </c>
      <c r="E332">
        <v>5</v>
      </c>
      <c r="F332">
        <v>0.3</v>
      </c>
      <c r="G332">
        <v>0</v>
      </c>
    </row>
    <row r="333" spans="1:8" x14ac:dyDescent="0.3">
      <c r="A333" t="s">
        <v>339</v>
      </c>
      <c r="B333">
        <v>11</v>
      </c>
      <c r="C333">
        <v>3</v>
      </c>
      <c r="D333">
        <v>0</v>
      </c>
      <c r="E333">
        <v>3</v>
      </c>
      <c r="F333">
        <v>0.3</v>
      </c>
      <c r="G333">
        <v>0</v>
      </c>
    </row>
    <row r="334" spans="1:8" x14ac:dyDescent="0.3">
      <c r="A334" t="s">
        <v>340</v>
      </c>
      <c r="B334">
        <v>9</v>
      </c>
      <c r="C334">
        <v>4</v>
      </c>
      <c r="D334">
        <v>0</v>
      </c>
      <c r="E334">
        <v>4</v>
      </c>
      <c r="F334">
        <v>0.4</v>
      </c>
      <c r="G334">
        <v>0.25</v>
      </c>
      <c r="H334">
        <v>1</v>
      </c>
    </row>
    <row r="335" spans="1:8" x14ac:dyDescent="0.3">
      <c r="A335" t="s">
        <v>341</v>
      </c>
      <c r="B335">
        <v>20</v>
      </c>
      <c r="C335">
        <v>8</v>
      </c>
      <c r="D335">
        <v>1</v>
      </c>
      <c r="E335">
        <v>7</v>
      </c>
      <c r="F335">
        <v>0.4</v>
      </c>
      <c r="G335">
        <v>0.38</v>
      </c>
      <c r="H335">
        <v>3</v>
      </c>
    </row>
    <row r="336" spans="1:8" x14ac:dyDescent="0.3">
      <c r="A336" t="s">
        <v>342</v>
      </c>
      <c r="B336">
        <v>31</v>
      </c>
      <c r="C336">
        <v>10</v>
      </c>
      <c r="D336">
        <v>1</v>
      </c>
      <c r="E336">
        <v>10</v>
      </c>
      <c r="F336">
        <v>0.3</v>
      </c>
      <c r="G336">
        <v>0</v>
      </c>
    </row>
    <row r="337" spans="1:8" x14ac:dyDescent="0.3">
      <c r="A337" t="s">
        <v>343</v>
      </c>
      <c r="B337">
        <v>38</v>
      </c>
      <c r="C337">
        <v>13</v>
      </c>
      <c r="D337">
        <v>1</v>
      </c>
      <c r="E337">
        <v>12</v>
      </c>
      <c r="F337">
        <v>0.3</v>
      </c>
      <c r="G337">
        <v>0.31</v>
      </c>
      <c r="H337">
        <v>4</v>
      </c>
    </row>
    <row r="338" spans="1:8" x14ac:dyDescent="0.3">
      <c r="A338" t="s">
        <v>344</v>
      </c>
      <c r="B338">
        <v>46</v>
      </c>
      <c r="C338">
        <v>15</v>
      </c>
      <c r="D338">
        <v>3</v>
      </c>
      <c r="E338">
        <v>13</v>
      </c>
      <c r="F338">
        <v>0.3</v>
      </c>
      <c r="G338">
        <v>0.4</v>
      </c>
      <c r="H338">
        <v>6</v>
      </c>
    </row>
    <row r="339" spans="1:8" x14ac:dyDescent="0.3">
      <c r="A339" t="s">
        <v>345</v>
      </c>
      <c r="B339">
        <v>65</v>
      </c>
      <c r="C339">
        <v>23</v>
      </c>
      <c r="D339">
        <v>6</v>
      </c>
      <c r="E339">
        <v>17</v>
      </c>
      <c r="F339">
        <v>0.4</v>
      </c>
      <c r="G339">
        <v>0.61</v>
      </c>
      <c r="H339">
        <v>14</v>
      </c>
    </row>
    <row r="340" spans="1:8" x14ac:dyDescent="0.3">
      <c r="A340" t="s">
        <v>346</v>
      </c>
      <c r="B340">
        <v>77</v>
      </c>
      <c r="C340">
        <v>29</v>
      </c>
      <c r="D340">
        <v>6</v>
      </c>
      <c r="E340">
        <v>23</v>
      </c>
      <c r="F340">
        <v>0.4</v>
      </c>
      <c r="G340">
        <v>0.72</v>
      </c>
      <c r="H340">
        <v>21</v>
      </c>
    </row>
    <row r="341" spans="1:8" x14ac:dyDescent="0.3">
      <c r="A341" t="s">
        <v>347</v>
      </c>
      <c r="B341">
        <v>87</v>
      </c>
      <c r="C341">
        <v>36</v>
      </c>
      <c r="D341">
        <v>5</v>
      </c>
      <c r="E341">
        <v>31</v>
      </c>
      <c r="F341">
        <v>0.4</v>
      </c>
      <c r="G341">
        <v>0.36</v>
      </c>
      <c r="H341">
        <v>13</v>
      </c>
    </row>
    <row r="342" spans="1:8" x14ac:dyDescent="0.3">
      <c r="A342" t="s">
        <v>348</v>
      </c>
      <c r="B342">
        <v>87</v>
      </c>
      <c r="C342">
        <v>33</v>
      </c>
      <c r="D342">
        <v>9</v>
      </c>
      <c r="E342">
        <v>24</v>
      </c>
      <c r="F342">
        <v>0.4</v>
      </c>
      <c r="G342">
        <v>0.67</v>
      </c>
      <c r="H342">
        <v>22</v>
      </c>
    </row>
    <row r="343" spans="1:8" x14ac:dyDescent="0.3">
      <c r="A343" t="s">
        <v>349</v>
      </c>
      <c r="B343">
        <v>80</v>
      </c>
      <c r="C343">
        <v>27</v>
      </c>
      <c r="D343">
        <v>6</v>
      </c>
      <c r="E343">
        <v>21</v>
      </c>
      <c r="F343">
        <v>0.3</v>
      </c>
      <c r="G343">
        <v>0.52</v>
      </c>
      <c r="H343">
        <v>14</v>
      </c>
    </row>
    <row r="344" spans="1:8" x14ac:dyDescent="0.3">
      <c r="A344" t="s">
        <v>350</v>
      </c>
      <c r="B344">
        <v>81</v>
      </c>
      <c r="C344">
        <v>28</v>
      </c>
      <c r="D344">
        <v>9</v>
      </c>
      <c r="E344">
        <v>19</v>
      </c>
      <c r="F344">
        <v>0.3</v>
      </c>
      <c r="G344">
        <v>0.75</v>
      </c>
      <c r="H344">
        <v>21</v>
      </c>
    </row>
    <row r="345" spans="1:8" x14ac:dyDescent="0.3">
      <c r="A345" t="s">
        <v>351</v>
      </c>
      <c r="B345">
        <v>74</v>
      </c>
      <c r="C345">
        <v>28</v>
      </c>
      <c r="D345">
        <v>5</v>
      </c>
      <c r="E345">
        <v>23</v>
      </c>
      <c r="F345">
        <v>0.4</v>
      </c>
      <c r="G345">
        <v>0.71</v>
      </c>
      <c r="H345">
        <v>20</v>
      </c>
    </row>
    <row r="346" spans="1:8" x14ac:dyDescent="0.3">
      <c r="A346" t="s">
        <v>352</v>
      </c>
      <c r="B346">
        <v>72</v>
      </c>
      <c r="C346">
        <v>30</v>
      </c>
      <c r="D346">
        <v>3</v>
      </c>
      <c r="E346">
        <v>27</v>
      </c>
      <c r="F346">
        <v>0.4</v>
      </c>
      <c r="G346">
        <v>0.23</v>
      </c>
      <c r="H346">
        <v>7</v>
      </c>
    </row>
    <row r="347" spans="1:8" x14ac:dyDescent="0.3">
      <c r="A347" t="s">
        <v>353</v>
      </c>
      <c r="B347">
        <v>67</v>
      </c>
      <c r="C347">
        <v>27</v>
      </c>
      <c r="D347">
        <v>2</v>
      </c>
      <c r="E347">
        <v>25</v>
      </c>
      <c r="F347">
        <v>0.4</v>
      </c>
      <c r="G347">
        <v>0.19</v>
      </c>
      <c r="H347">
        <v>5</v>
      </c>
    </row>
    <row r="348" spans="1:8" x14ac:dyDescent="0.3">
      <c r="A348" t="s">
        <v>354</v>
      </c>
      <c r="B348">
        <v>54</v>
      </c>
      <c r="C348">
        <v>23</v>
      </c>
      <c r="D348">
        <v>3</v>
      </c>
      <c r="E348">
        <v>20</v>
      </c>
      <c r="F348">
        <v>0.4</v>
      </c>
      <c r="G348">
        <v>0.35</v>
      </c>
      <c r="H348">
        <v>8</v>
      </c>
    </row>
    <row r="349" spans="1:8" x14ac:dyDescent="0.3">
      <c r="A349" t="s">
        <v>355</v>
      </c>
      <c r="B349">
        <v>45</v>
      </c>
      <c r="C349">
        <v>19</v>
      </c>
      <c r="D349">
        <v>2</v>
      </c>
      <c r="E349">
        <v>17</v>
      </c>
      <c r="F349">
        <v>0.4</v>
      </c>
      <c r="G349">
        <v>0.42</v>
      </c>
      <c r="H349">
        <v>8</v>
      </c>
    </row>
    <row r="350" spans="1:8" x14ac:dyDescent="0.3">
      <c r="A350" t="s">
        <v>356</v>
      </c>
      <c r="B350">
        <v>47</v>
      </c>
      <c r="C350">
        <v>18</v>
      </c>
      <c r="D350">
        <v>0</v>
      </c>
      <c r="E350">
        <v>18</v>
      </c>
      <c r="F350">
        <v>0.4</v>
      </c>
      <c r="G350">
        <v>0.11</v>
      </c>
      <c r="H350">
        <v>2</v>
      </c>
    </row>
    <row r="351" spans="1:8" x14ac:dyDescent="0.3">
      <c r="A351" t="s">
        <v>357</v>
      </c>
      <c r="B351">
        <v>44</v>
      </c>
      <c r="C351">
        <v>20</v>
      </c>
      <c r="D351">
        <v>1</v>
      </c>
      <c r="E351">
        <v>19</v>
      </c>
      <c r="F351">
        <v>0.5</v>
      </c>
      <c r="G351">
        <v>0.2</v>
      </c>
      <c r="H351">
        <v>4</v>
      </c>
    </row>
    <row r="352" spans="1:8" x14ac:dyDescent="0.3">
      <c r="A352" t="s">
        <v>358</v>
      </c>
      <c r="B352">
        <v>39</v>
      </c>
      <c r="C352">
        <v>14</v>
      </c>
      <c r="D352">
        <v>0</v>
      </c>
      <c r="E352">
        <v>14</v>
      </c>
      <c r="F352">
        <v>0.4</v>
      </c>
      <c r="G352">
        <v>0</v>
      </c>
    </row>
    <row r="353" spans="1:8" x14ac:dyDescent="0.3">
      <c r="A353" t="s">
        <v>359</v>
      </c>
      <c r="B353">
        <v>31</v>
      </c>
      <c r="C353">
        <v>10</v>
      </c>
      <c r="D353">
        <v>1</v>
      </c>
      <c r="E353">
        <v>9</v>
      </c>
      <c r="F353">
        <v>0.3</v>
      </c>
      <c r="G353">
        <v>0.1</v>
      </c>
      <c r="H353">
        <v>1</v>
      </c>
    </row>
    <row r="354" spans="1:8" x14ac:dyDescent="0.3">
      <c r="A354" t="s">
        <v>360</v>
      </c>
      <c r="B354">
        <v>30</v>
      </c>
      <c r="C354">
        <v>11</v>
      </c>
      <c r="D354">
        <v>1</v>
      </c>
      <c r="E354">
        <v>11</v>
      </c>
      <c r="F354">
        <v>0.4</v>
      </c>
      <c r="G354">
        <v>0.36</v>
      </c>
      <c r="H354">
        <v>4</v>
      </c>
    </row>
    <row r="355" spans="1:8" x14ac:dyDescent="0.3">
      <c r="A355" t="s">
        <v>361</v>
      </c>
      <c r="B355">
        <v>32</v>
      </c>
      <c r="C355">
        <v>10</v>
      </c>
      <c r="D355">
        <v>1</v>
      </c>
      <c r="E355">
        <v>9</v>
      </c>
      <c r="F355">
        <v>0.3</v>
      </c>
      <c r="G355">
        <v>0.1</v>
      </c>
      <c r="H355">
        <v>1</v>
      </c>
    </row>
    <row r="356" spans="1:8" x14ac:dyDescent="0.3">
      <c r="A356" t="s">
        <v>362</v>
      </c>
      <c r="B356">
        <v>40</v>
      </c>
      <c r="C356">
        <v>13</v>
      </c>
      <c r="D356">
        <v>2</v>
      </c>
      <c r="E356">
        <v>11</v>
      </c>
      <c r="F356">
        <v>0.3</v>
      </c>
      <c r="G356">
        <v>0.54</v>
      </c>
      <c r="H356">
        <v>7</v>
      </c>
    </row>
    <row r="357" spans="1:8" x14ac:dyDescent="0.3">
      <c r="A357" t="s">
        <v>363</v>
      </c>
      <c r="B357">
        <v>45</v>
      </c>
      <c r="C357">
        <v>18</v>
      </c>
      <c r="D357">
        <v>5</v>
      </c>
      <c r="E357">
        <v>13</v>
      </c>
      <c r="F357">
        <v>0.4</v>
      </c>
      <c r="G357">
        <v>0.61</v>
      </c>
      <c r="H357">
        <v>11</v>
      </c>
    </row>
    <row r="358" spans="1:8" x14ac:dyDescent="0.3">
      <c r="A358" t="s">
        <v>364</v>
      </c>
      <c r="B358">
        <v>51</v>
      </c>
      <c r="C358">
        <v>19</v>
      </c>
      <c r="D358">
        <v>3</v>
      </c>
      <c r="E358">
        <v>16</v>
      </c>
      <c r="F358">
        <v>0.4</v>
      </c>
      <c r="G358">
        <v>0.47</v>
      </c>
      <c r="H358">
        <v>9</v>
      </c>
    </row>
    <row r="359" spans="1:8" x14ac:dyDescent="0.3">
      <c r="A359" t="s">
        <v>365</v>
      </c>
      <c r="B359">
        <v>57</v>
      </c>
      <c r="C359">
        <v>24</v>
      </c>
      <c r="D359">
        <v>5</v>
      </c>
      <c r="E359">
        <v>19</v>
      </c>
      <c r="F359">
        <v>0.4</v>
      </c>
      <c r="G359">
        <v>0.5</v>
      </c>
      <c r="H359">
        <v>12</v>
      </c>
    </row>
    <row r="360" spans="1:8" x14ac:dyDescent="0.3">
      <c r="A360" t="s">
        <v>366</v>
      </c>
      <c r="B360">
        <v>65</v>
      </c>
      <c r="C360">
        <v>32</v>
      </c>
      <c r="D360">
        <v>4</v>
      </c>
      <c r="E360">
        <v>28</v>
      </c>
      <c r="F360">
        <v>0.5</v>
      </c>
      <c r="G360">
        <v>0.38</v>
      </c>
      <c r="H360">
        <v>12</v>
      </c>
    </row>
    <row r="361" spans="1:8" x14ac:dyDescent="0.3">
      <c r="A361" t="s">
        <v>367</v>
      </c>
      <c r="B361">
        <v>70</v>
      </c>
      <c r="C361">
        <v>34</v>
      </c>
      <c r="D361">
        <v>6</v>
      </c>
      <c r="E361">
        <v>28</v>
      </c>
      <c r="F361">
        <v>0.5</v>
      </c>
      <c r="G361">
        <v>0.59</v>
      </c>
      <c r="H361">
        <v>20</v>
      </c>
    </row>
    <row r="362" spans="1:8" x14ac:dyDescent="0.3">
      <c r="A362" t="s">
        <v>368</v>
      </c>
      <c r="B362">
        <v>81</v>
      </c>
      <c r="C362">
        <v>41</v>
      </c>
      <c r="D362">
        <v>6</v>
      </c>
      <c r="E362">
        <v>34</v>
      </c>
      <c r="F362">
        <v>0.5</v>
      </c>
      <c r="G362">
        <v>0.34</v>
      </c>
      <c r="H362">
        <v>14</v>
      </c>
    </row>
    <row r="363" spans="1:8" x14ac:dyDescent="0.3">
      <c r="A363" t="s">
        <v>369</v>
      </c>
      <c r="B363">
        <v>92</v>
      </c>
      <c r="C363">
        <v>41</v>
      </c>
      <c r="D363">
        <v>5</v>
      </c>
      <c r="E363">
        <v>36</v>
      </c>
      <c r="F363">
        <v>0.4</v>
      </c>
      <c r="G363">
        <v>0.34</v>
      </c>
      <c r="H363">
        <v>14</v>
      </c>
    </row>
    <row r="364" spans="1:8" x14ac:dyDescent="0.3">
      <c r="A364" t="s">
        <v>370</v>
      </c>
      <c r="B364">
        <v>92</v>
      </c>
      <c r="C364">
        <v>40</v>
      </c>
      <c r="D364">
        <v>5</v>
      </c>
      <c r="E364">
        <v>35</v>
      </c>
      <c r="F364">
        <v>0.4</v>
      </c>
      <c r="G364">
        <v>0.28000000000000003</v>
      </c>
      <c r="H364">
        <v>11</v>
      </c>
    </row>
    <row r="365" spans="1:8" x14ac:dyDescent="0.3">
      <c r="A365" t="s">
        <v>371</v>
      </c>
      <c r="B365">
        <v>94</v>
      </c>
      <c r="C365">
        <v>45</v>
      </c>
      <c r="D365">
        <v>4</v>
      </c>
      <c r="E365">
        <v>41</v>
      </c>
      <c r="F365">
        <v>0.5</v>
      </c>
      <c r="G365">
        <v>0.31</v>
      </c>
      <c r="H365">
        <v>14</v>
      </c>
    </row>
    <row r="366" spans="1:8" x14ac:dyDescent="0.3">
      <c r="A366" t="s">
        <v>372</v>
      </c>
      <c r="B366">
        <v>98</v>
      </c>
      <c r="C366">
        <v>42</v>
      </c>
      <c r="D366">
        <v>6</v>
      </c>
      <c r="E366">
        <v>37</v>
      </c>
      <c r="F366">
        <v>0.4</v>
      </c>
      <c r="G366">
        <v>0.28999999999999998</v>
      </c>
      <c r="H366">
        <v>12</v>
      </c>
    </row>
    <row r="367" spans="1:8" x14ac:dyDescent="0.3">
      <c r="A367" t="s">
        <v>373</v>
      </c>
      <c r="B367">
        <v>86</v>
      </c>
      <c r="C367">
        <v>39</v>
      </c>
      <c r="D367">
        <v>3</v>
      </c>
      <c r="E367">
        <v>36</v>
      </c>
      <c r="F367">
        <v>0.5</v>
      </c>
      <c r="G367">
        <v>0.28000000000000003</v>
      </c>
      <c r="H367">
        <v>11</v>
      </c>
    </row>
    <row r="368" spans="1:8" x14ac:dyDescent="0.3">
      <c r="A368" t="s">
        <v>374</v>
      </c>
      <c r="B368">
        <v>80</v>
      </c>
      <c r="C368">
        <v>25</v>
      </c>
      <c r="D368">
        <v>3</v>
      </c>
      <c r="E368">
        <v>23</v>
      </c>
      <c r="F368">
        <v>0.3</v>
      </c>
      <c r="G368">
        <v>0.24</v>
      </c>
      <c r="H368">
        <v>6</v>
      </c>
    </row>
    <row r="369" spans="1:8" x14ac:dyDescent="0.3">
      <c r="A369" t="s">
        <v>375</v>
      </c>
      <c r="B369">
        <v>72</v>
      </c>
      <c r="C369">
        <v>28</v>
      </c>
      <c r="D369">
        <v>4</v>
      </c>
      <c r="E369">
        <v>25</v>
      </c>
      <c r="F369">
        <v>0.4</v>
      </c>
      <c r="G369">
        <v>0.25</v>
      </c>
      <c r="H369">
        <v>7</v>
      </c>
    </row>
    <row r="370" spans="1:8" x14ac:dyDescent="0.3">
      <c r="A370" t="s">
        <v>376</v>
      </c>
      <c r="B370">
        <v>70</v>
      </c>
      <c r="C370">
        <v>30</v>
      </c>
      <c r="D370">
        <v>4</v>
      </c>
      <c r="E370">
        <v>26</v>
      </c>
      <c r="F370">
        <v>0.4</v>
      </c>
      <c r="G370">
        <v>0.37</v>
      </c>
      <c r="H370">
        <v>11</v>
      </c>
    </row>
    <row r="371" spans="1:8" x14ac:dyDescent="0.3">
      <c r="A371" t="s">
        <v>377</v>
      </c>
      <c r="B371">
        <v>76</v>
      </c>
      <c r="C371">
        <v>33</v>
      </c>
      <c r="D371">
        <v>2</v>
      </c>
      <c r="E371">
        <v>31</v>
      </c>
      <c r="F371">
        <v>0.4</v>
      </c>
      <c r="G371">
        <v>0.24</v>
      </c>
      <c r="H371">
        <v>8</v>
      </c>
    </row>
    <row r="372" spans="1:8" x14ac:dyDescent="0.3">
      <c r="A372" t="s">
        <v>378</v>
      </c>
      <c r="B372">
        <v>73</v>
      </c>
      <c r="C372">
        <v>31</v>
      </c>
      <c r="D372">
        <v>1</v>
      </c>
      <c r="E372">
        <v>30</v>
      </c>
      <c r="F372">
        <v>0.4</v>
      </c>
      <c r="G372">
        <v>0</v>
      </c>
    </row>
    <row r="373" spans="1:8" x14ac:dyDescent="0.3">
      <c r="A373" t="s">
        <v>379</v>
      </c>
      <c r="B373">
        <v>62</v>
      </c>
      <c r="C373">
        <v>26</v>
      </c>
      <c r="D373">
        <v>3</v>
      </c>
      <c r="E373">
        <v>23</v>
      </c>
      <c r="F373">
        <v>0.4</v>
      </c>
      <c r="G373">
        <v>0.27</v>
      </c>
      <c r="H373">
        <v>7</v>
      </c>
    </row>
    <row r="374" spans="1:8" x14ac:dyDescent="0.3">
      <c r="A374" t="s">
        <v>380</v>
      </c>
      <c r="B374">
        <v>56</v>
      </c>
      <c r="C374">
        <v>23</v>
      </c>
      <c r="D374">
        <v>1</v>
      </c>
      <c r="E374">
        <v>22</v>
      </c>
      <c r="F374">
        <v>0.4</v>
      </c>
      <c r="G374">
        <v>0.13</v>
      </c>
      <c r="H374">
        <v>3</v>
      </c>
    </row>
    <row r="375" spans="1:8" x14ac:dyDescent="0.3">
      <c r="A375" t="s">
        <v>381</v>
      </c>
      <c r="B375">
        <v>49</v>
      </c>
      <c r="C375">
        <v>23</v>
      </c>
      <c r="D375">
        <v>1</v>
      </c>
      <c r="E375">
        <v>22</v>
      </c>
      <c r="F375">
        <v>0.5</v>
      </c>
      <c r="G375">
        <v>0.17</v>
      </c>
      <c r="H375">
        <v>4</v>
      </c>
    </row>
    <row r="376" spans="1:8" x14ac:dyDescent="0.3">
      <c r="A376" t="s">
        <v>382</v>
      </c>
      <c r="B376">
        <v>46</v>
      </c>
      <c r="C376">
        <v>22</v>
      </c>
      <c r="D376">
        <v>0</v>
      </c>
      <c r="E376">
        <v>22</v>
      </c>
      <c r="F376">
        <v>0.5</v>
      </c>
      <c r="G376">
        <v>0</v>
      </c>
    </row>
    <row r="377" spans="1:8" x14ac:dyDescent="0.3">
      <c r="A377" t="s">
        <v>383</v>
      </c>
      <c r="B377">
        <v>39</v>
      </c>
      <c r="C377">
        <v>19</v>
      </c>
      <c r="D377">
        <v>1</v>
      </c>
      <c r="E377">
        <v>18</v>
      </c>
      <c r="F377">
        <v>0.5</v>
      </c>
      <c r="G377">
        <v>0.05</v>
      </c>
      <c r="H377">
        <v>1</v>
      </c>
    </row>
    <row r="378" spans="1:8" x14ac:dyDescent="0.3">
      <c r="A378" t="s">
        <v>384</v>
      </c>
      <c r="B378">
        <v>40</v>
      </c>
      <c r="C378">
        <v>16</v>
      </c>
      <c r="D378">
        <v>1</v>
      </c>
      <c r="E378">
        <v>15</v>
      </c>
      <c r="F378">
        <v>0.4</v>
      </c>
      <c r="G378">
        <v>0.06</v>
      </c>
      <c r="H378">
        <v>1</v>
      </c>
    </row>
    <row r="379" spans="1:8" x14ac:dyDescent="0.3">
      <c r="A379" t="s">
        <v>385</v>
      </c>
      <c r="B379">
        <v>43</v>
      </c>
      <c r="C379">
        <v>19</v>
      </c>
      <c r="D379">
        <v>0</v>
      </c>
      <c r="E379">
        <v>19</v>
      </c>
      <c r="F379">
        <v>0.4</v>
      </c>
      <c r="G379">
        <v>0.05</v>
      </c>
      <c r="H379">
        <v>1</v>
      </c>
    </row>
    <row r="380" spans="1:8" x14ac:dyDescent="0.3">
      <c r="A380" t="s">
        <v>386</v>
      </c>
      <c r="B380">
        <v>42</v>
      </c>
      <c r="C380">
        <v>21</v>
      </c>
      <c r="D380">
        <v>1</v>
      </c>
      <c r="E380">
        <v>20</v>
      </c>
      <c r="F380">
        <v>0.5</v>
      </c>
      <c r="G380">
        <v>0.1</v>
      </c>
      <c r="H380">
        <v>2</v>
      </c>
    </row>
    <row r="381" spans="1:8" x14ac:dyDescent="0.3">
      <c r="A381" t="s">
        <v>387</v>
      </c>
      <c r="B381">
        <v>43</v>
      </c>
      <c r="C381">
        <v>20</v>
      </c>
      <c r="D381">
        <v>2</v>
      </c>
      <c r="E381">
        <v>18</v>
      </c>
      <c r="F381">
        <v>0.5</v>
      </c>
      <c r="G381">
        <v>0.35</v>
      </c>
      <c r="H381">
        <v>7</v>
      </c>
    </row>
    <row r="382" spans="1:8" x14ac:dyDescent="0.3">
      <c r="A382" t="s">
        <v>388</v>
      </c>
      <c r="B382">
        <v>53</v>
      </c>
      <c r="C382">
        <v>23</v>
      </c>
      <c r="D382">
        <v>2</v>
      </c>
      <c r="E382">
        <v>21</v>
      </c>
      <c r="F382">
        <v>0.4</v>
      </c>
      <c r="G382">
        <v>0.3</v>
      </c>
      <c r="H382">
        <v>7</v>
      </c>
    </row>
    <row r="383" spans="1:8" x14ac:dyDescent="0.3">
      <c r="A383" t="s">
        <v>389</v>
      </c>
      <c r="B383">
        <v>59</v>
      </c>
      <c r="C383">
        <v>31</v>
      </c>
      <c r="D383">
        <v>2</v>
      </c>
      <c r="E383">
        <v>29</v>
      </c>
      <c r="F383">
        <v>0.5</v>
      </c>
      <c r="G383">
        <v>0.19</v>
      </c>
      <c r="H383">
        <v>6</v>
      </c>
    </row>
    <row r="384" spans="1:8" x14ac:dyDescent="0.3">
      <c r="A384" t="s">
        <v>390</v>
      </c>
      <c r="B384">
        <v>68</v>
      </c>
      <c r="C384">
        <v>30</v>
      </c>
      <c r="D384">
        <v>3</v>
      </c>
      <c r="E384">
        <v>27</v>
      </c>
      <c r="F384">
        <v>0.4</v>
      </c>
      <c r="G384">
        <v>0.27</v>
      </c>
      <c r="H384">
        <v>8</v>
      </c>
    </row>
    <row r="385" spans="1:8" x14ac:dyDescent="0.3">
      <c r="A385" t="s">
        <v>391</v>
      </c>
      <c r="B385">
        <v>73</v>
      </c>
      <c r="C385">
        <v>30</v>
      </c>
      <c r="D385">
        <v>3</v>
      </c>
      <c r="E385">
        <v>26</v>
      </c>
      <c r="F385">
        <v>0.4</v>
      </c>
      <c r="G385">
        <v>0.2</v>
      </c>
      <c r="H385">
        <v>6</v>
      </c>
    </row>
    <row r="386" spans="1:8" x14ac:dyDescent="0.3">
      <c r="A386" t="s">
        <v>392</v>
      </c>
      <c r="B386">
        <v>86</v>
      </c>
      <c r="C386">
        <v>35</v>
      </c>
      <c r="D386">
        <v>3</v>
      </c>
      <c r="E386">
        <v>31</v>
      </c>
      <c r="F386">
        <v>0.4</v>
      </c>
      <c r="G386">
        <v>0.28999999999999998</v>
      </c>
      <c r="H386">
        <v>10</v>
      </c>
    </row>
    <row r="387" spans="1:8" x14ac:dyDescent="0.3">
      <c r="A387" t="s">
        <v>393</v>
      </c>
      <c r="B387">
        <v>101</v>
      </c>
      <c r="C387">
        <v>46</v>
      </c>
      <c r="D387">
        <v>3</v>
      </c>
      <c r="E387">
        <v>43</v>
      </c>
      <c r="F387">
        <v>0.5</v>
      </c>
      <c r="G387">
        <v>0.22</v>
      </c>
      <c r="H387">
        <v>10</v>
      </c>
    </row>
    <row r="388" spans="1:8" x14ac:dyDescent="0.3">
      <c r="A388" t="s">
        <v>394</v>
      </c>
      <c r="B388">
        <v>113</v>
      </c>
      <c r="C388">
        <v>47</v>
      </c>
      <c r="D388">
        <v>3</v>
      </c>
      <c r="E388">
        <v>45</v>
      </c>
      <c r="F388">
        <v>0.4</v>
      </c>
      <c r="G388">
        <v>0.15</v>
      </c>
      <c r="H388">
        <v>7</v>
      </c>
    </row>
    <row r="389" spans="1:8" x14ac:dyDescent="0.3">
      <c r="A389" t="s">
        <v>395</v>
      </c>
      <c r="B389">
        <v>110</v>
      </c>
      <c r="C389">
        <v>46</v>
      </c>
      <c r="D389">
        <v>4</v>
      </c>
      <c r="E389">
        <v>42</v>
      </c>
      <c r="F389">
        <v>0.4</v>
      </c>
      <c r="G389">
        <v>0.22</v>
      </c>
      <c r="H389">
        <v>10</v>
      </c>
    </row>
    <row r="390" spans="1:8" x14ac:dyDescent="0.3">
      <c r="A390" t="s">
        <v>396</v>
      </c>
      <c r="B390">
        <v>114</v>
      </c>
      <c r="C390">
        <v>52</v>
      </c>
      <c r="D390">
        <v>6</v>
      </c>
      <c r="E390">
        <v>47</v>
      </c>
      <c r="F390">
        <v>0.5</v>
      </c>
      <c r="G390">
        <v>0.27</v>
      </c>
      <c r="H390">
        <v>14</v>
      </c>
    </row>
    <row r="391" spans="1:8" x14ac:dyDescent="0.3">
      <c r="A391" t="s">
        <v>397</v>
      </c>
      <c r="B391">
        <v>106</v>
      </c>
      <c r="C391">
        <v>48</v>
      </c>
      <c r="D391">
        <v>5</v>
      </c>
      <c r="E391">
        <v>44</v>
      </c>
      <c r="F391">
        <v>0.5</v>
      </c>
      <c r="G391">
        <v>0.21</v>
      </c>
      <c r="H391">
        <v>10</v>
      </c>
    </row>
    <row r="392" spans="1:8" x14ac:dyDescent="0.3">
      <c r="A392" t="s">
        <v>398</v>
      </c>
      <c r="B392">
        <v>100</v>
      </c>
      <c r="C392">
        <v>50</v>
      </c>
      <c r="D392">
        <v>4</v>
      </c>
      <c r="E392">
        <v>45</v>
      </c>
      <c r="F392">
        <v>0.5</v>
      </c>
      <c r="G392">
        <v>0.24</v>
      </c>
      <c r="H392">
        <v>12</v>
      </c>
    </row>
    <row r="393" spans="1:8" x14ac:dyDescent="0.3">
      <c r="A393" t="s">
        <v>399</v>
      </c>
      <c r="B393">
        <v>85</v>
      </c>
      <c r="C393">
        <v>38</v>
      </c>
      <c r="D393">
        <v>4</v>
      </c>
      <c r="E393">
        <v>34</v>
      </c>
      <c r="F393">
        <v>0.4</v>
      </c>
      <c r="G393">
        <v>0.28999999999999998</v>
      </c>
      <c r="H393">
        <v>11</v>
      </c>
    </row>
    <row r="394" spans="1:8" x14ac:dyDescent="0.3">
      <c r="A394" t="s">
        <v>400</v>
      </c>
      <c r="B394">
        <v>71</v>
      </c>
      <c r="C394">
        <v>29</v>
      </c>
      <c r="D394">
        <v>4</v>
      </c>
      <c r="E394">
        <v>25</v>
      </c>
      <c r="F394">
        <v>0.4</v>
      </c>
      <c r="G394">
        <v>0.34</v>
      </c>
      <c r="H394">
        <v>10</v>
      </c>
    </row>
    <row r="395" spans="1:8" x14ac:dyDescent="0.3">
      <c r="A395" t="s">
        <v>401</v>
      </c>
      <c r="B395">
        <v>76</v>
      </c>
      <c r="C395">
        <v>26</v>
      </c>
      <c r="D395">
        <v>2</v>
      </c>
      <c r="E395">
        <v>24</v>
      </c>
      <c r="F395">
        <v>0.3</v>
      </c>
      <c r="G395">
        <v>0.19</v>
      </c>
      <c r="H395">
        <v>5</v>
      </c>
    </row>
    <row r="396" spans="1:8" x14ac:dyDescent="0.3">
      <c r="A396" t="s">
        <v>402</v>
      </c>
      <c r="B396">
        <v>69</v>
      </c>
      <c r="C396">
        <v>26</v>
      </c>
      <c r="D396">
        <v>3</v>
      </c>
      <c r="E396">
        <v>23</v>
      </c>
      <c r="F396">
        <v>0.4</v>
      </c>
      <c r="G396">
        <v>0.31</v>
      </c>
      <c r="H396">
        <v>8</v>
      </c>
    </row>
    <row r="397" spans="1:8" x14ac:dyDescent="0.3">
      <c r="A397" t="s">
        <v>403</v>
      </c>
      <c r="B397">
        <v>79</v>
      </c>
      <c r="C397">
        <v>34</v>
      </c>
      <c r="D397">
        <v>1</v>
      </c>
      <c r="E397">
        <v>33</v>
      </c>
      <c r="F397">
        <v>0.4</v>
      </c>
      <c r="G397">
        <v>0.06</v>
      </c>
      <c r="H397">
        <v>2</v>
      </c>
    </row>
    <row r="398" spans="1:8" x14ac:dyDescent="0.3">
      <c r="A398" t="s">
        <v>404</v>
      </c>
      <c r="B398">
        <v>76</v>
      </c>
      <c r="C398">
        <v>35</v>
      </c>
      <c r="D398">
        <v>2</v>
      </c>
      <c r="E398">
        <v>33</v>
      </c>
      <c r="F398">
        <v>0.5</v>
      </c>
      <c r="G398">
        <v>0.2</v>
      </c>
      <c r="H398">
        <v>7</v>
      </c>
    </row>
    <row r="399" spans="1:8" x14ac:dyDescent="0.3">
      <c r="A399" t="s">
        <v>405</v>
      </c>
      <c r="B399">
        <v>73</v>
      </c>
      <c r="C399">
        <v>34</v>
      </c>
      <c r="D399">
        <v>0</v>
      </c>
      <c r="E399">
        <v>34</v>
      </c>
      <c r="F399">
        <v>0.5</v>
      </c>
      <c r="G399">
        <v>0.03</v>
      </c>
      <c r="H399">
        <v>1</v>
      </c>
    </row>
    <row r="400" spans="1:8" x14ac:dyDescent="0.3">
      <c r="A400" t="s">
        <v>406</v>
      </c>
      <c r="B400">
        <v>71</v>
      </c>
      <c r="C400">
        <v>32</v>
      </c>
      <c r="D400">
        <v>3</v>
      </c>
      <c r="E400">
        <v>29</v>
      </c>
      <c r="F400">
        <v>0.5</v>
      </c>
      <c r="G400">
        <v>0.19</v>
      </c>
      <c r="H400">
        <v>6</v>
      </c>
    </row>
    <row r="401" spans="1:8" x14ac:dyDescent="0.3">
      <c r="A401" t="s">
        <v>407</v>
      </c>
      <c r="B401">
        <v>53</v>
      </c>
      <c r="C401">
        <v>22</v>
      </c>
      <c r="D401">
        <v>3</v>
      </c>
      <c r="E401">
        <v>18</v>
      </c>
      <c r="F401">
        <v>0.4</v>
      </c>
      <c r="G401">
        <v>0.45</v>
      </c>
      <c r="H401">
        <v>10</v>
      </c>
    </row>
    <row r="402" spans="1:8" x14ac:dyDescent="0.3">
      <c r="A402" t="s">
        <v>408</v>
      </c>
      <c r="B402">
        <v>41</v>
      </c>
      <c r="C402">
        <v>16</v>
      </c>
      <c r="D402">
        <v>0</v>
      </c>
      <c r="E402">
        <v>15</v>
      </c>
      <c r="F402">
        <v>0.4</v>
      </c>
      <c r="G402">
        <v>0.13</v>
      </c>
      <c r="H402">
        <v>2</v>
      </c>
    </row>
    <row r="403" spans="1:8" x14ac:dyDescent="0.3">
      <c r="A403" t="s">
        <v>409</v>
      </c>
      <c r="B403">
        <v>27</v>
      </c>
      <c r="C403">
        <v>8</v>
      </c>
      <c r="D403">
        <v>1</v>
      </c>
      <c r="E403">
        <v>7</v>
      </c>
      <c r="F403">
        <v>0.3</v>
      </c>
      <c r="G403">
        <v>0.13</v>
      </c>
      <c r="H403">
        <v>1</v>
      </c>
    </row>
    <row r="404" spans="1:8" x14ac:dyDescent="0.3">
      <c r="A404" t="s">
        <v>410</v>
      </c>
      <c r="B404">
        <v>24</v>
      </c>
      <c r="C404">
        <v>9</v>
      </c>
      <c r="D404">
        <v>1</v>
      </c>
      <c r="E404">
        <v>7</v>
      </c>
      <c r="F404">
        <v>0.4</v>
      </c>
      <c r="G404">
        <v>0.44</v>
      </c>
      <c r="H404">
        <v>4</v>
      </c>
    </row>
    <row r="405" spans="1:8" x14ac:dyDescent="0.3">
      <c r="A405" t="s">
        <v>411</v>
      </c>
      <c r="B405">
        <v>23</v>
      </c>
      <c r="C405">
        <v>8</v>
      </c>
      <c r="D405">
        <v>2</v>
      </c>
      <c r="E405">
        <v>6</v>
      </c>
      <c r="F405">
        <v>0.3</v>
      </c>
      <c r="G405">
        <v>0.38</v>
      </c>
      <c r="H405">
        <v>3</v>
      </c>
    </row>
    <row r="406" spans="1:8" x14ac:dyDescent="0.3">
      <c r="A406" t="s">
        <v>412</v>
      </c>
      <c r="B406">
        <v>26</v>
      </c>
      <c r="C406">
        <v>11</v>
      </c>
      <c r="D406">
        <v>2</v>
      </c>
      <c r="E406">
        <v>9</v>
      </c>
      <c r="F406">
        <v>0.4</v>
      </c>
      <c r="G406">
        <v>0.45</v>
      </c>
      <c r="H406">
        <v>5</v>
      </c>
    </row>
    <row r="407" spans="1:8" x14ac:dyDescent="0.3">
      <c r="A407" t="s">
        <v>413</v>
      </c>
      <c r="B407">
        <v>45</v>
      </c>
      <c r="C407">
        <v>16</v>
      </c>
      <c r="D407">
        <v>1</v>
      </c>
      <c r="E407">
        <v>15</v>
      </c>
      <c r="F407">
        <v>0.4</v>
      </c>
      <c r="G407">
        <v>0.25</v>
      </c>
      <c r="H407">
        <v>4</v>
      </c>
    </row>
    <row r="408" spans="1:8" x14ac:dyDescent="0.3">
      <c r="A408" t="s">
        <v>414</v>
      </c>
      <c r="B408">
        <v>56</v>
      </c>
      <c r="C408">
        <v>21</v>
      </c>
      <c r="D408">
        <v>8</v>
      </c>
      <c r="E408">
        <v>13</v>
      </c>
      <c r="F408">
        <v>0.4</v>
      </c>
      <c r="G408">
        <v>0.67</v>
      </c>
      <c r="H408">
        <v>14</v>
      </c>
    </row>
    <row r="409" spans="1:8" x14ac:dyDescent="0.3">
      <c r="A409" t="s">
        <v>415</v>
      </c>
      <c r="B409">
        <v>61</v>
      </c>
      <c r="C409">
        <v>23</v>
      </c>
      <c r="D409">
        <v>15</v>
      </c>
      <c r="E409">
        <v>8</v>
      </c>
      <c r="F409">
        <v>0.4</v>
      </c>
      <c r="G409">
        <v>1.57</v>
      </c>
      <c r="H409">
        <v>36</v>
      </c>
    </row>
    <row r="410" spans="1:8" x14ac:dyDescent="0.3">
      <c r="A410" t="s">
        <v>416</v>
      </c>
      <c r="B410">
        <v>72</v>
      </c>
      <c r="C410">
        <v>25</v>
      </c>
      <c r="D410">
        <v>7</v>
      </c>
      <c r="E410">
        <v>18</v>
      </c>
      <c r="F410">
        <v>0.3</v>
      </c>
      <c r="G410">
        <v>0.96</v>
      </c>
      <c r="H410">
        <v>24</v>
      </c>
    </row>
    <row r="411" spans="1:8" x14ac:dyDescent="0.3">
      <c r="A411" t="s">
        <v>417</v>
      </c>
      <c r="B411">
        <v>83</v>
      </c>
      <c r="C411">
        <v>35</v>
      </c>
      <c r="D411">
        <v>5</v>
      </c>
      <c r="E411">
        <v>29</v>
      </c>
      <c r="F411">
        <v>0.4</v>
      </c>
      <c r="G411">
        <v>0.4</v>
      </c>
      <c r="H411">
        <v>14</v>
      </c>
    </row>
    <row r="412" spans="1:8" x14ac:dyDescent="0.3">
      <c r="A412" t="s">
        <v>418</v>
      </c>
      <c r="B412">
        <v>86</v>
      </c>
      <c r="C412">
        <v>31</v>
      </c>
      <c r="D412">
        <v>5</v>
      </c>
      <c r="E412">
        <v>27</v>
      </c>
      <c r="F412">
        <v>0.4</v>
      </c>
      <c r="G412">
        <v>0.42</v>
      </c>
      <c r="H412">
        <v>13</v>
      </c>
    </row>
    <row r="413" spans="1:8" x14ac:dyDescent="0.3">
      <c r="A413" t="s">
        <v>419</v>
      </c>
      <c r="B413">
        <v>80</v>
      </c>
      <c r="C413">
        <v>32</v>
      </c>
      <c r="D413">
        <v>9</v>
      </c>
      <c r="E413">
        <v>24</v>
      </c>
      <c r="F413">
        <v>0.4</v>
      </c>
      <c r="G413">
        <v>0.59</v>
      </c>
      <c r="H413">
        <v>19</v>
      </c>
    </row>
    <row r="414" spans="1:8" x14ac:dyDescent="0.3">
      <c r="A414" t="s">
        <v>420</v>
      </c>
      <c r="B414">
        <v>79</v>
      </c>
      <c r="C414">
        <v>33</v>
      </c>
      <c r="D414">
        <v>8</v>
      </c>
      <c r="E414">
        <v>25</v>
      </c>
      <c r="F414">
        <v>0.4</v>
      </c>
      <c r="G414">
        <v>0.64</v>
      </c>
      <c r="H414">
        <v>21</v>
      </c>
    </row>
    <row r="415" spans="1:8" x14ac:dyDescent="0.3">
      <c r="A415" t="s">
        <v>421</v>
      </c>
      <c r="B415">
        <v>72</v>
      </c>
      <c r="C415">
        <v>31</v>
      </c>
      <c r="D415">
        <v>6</v>
      </c>
      <c r="E415">
        <v>25</v>
      </c>
      <c r="F415">
        <v>0.4</v>
      </c>
      <c r="G415">
        <v>0.39</v>
      </c>
      <c r="H415">
        <v>12</v>
      </c>
    </row>
    <row r="416" spans="1:8" x14ac:dyDescent="0.3">
      <c r="A416" t="s">
        <v>422</v>
      </c>
      <c r="B416">
        <v>70</v>
      </c>
      <c r="C416">
        <v>26</v>
      </c>
      <c r="D416">
        <v>4</v>
      </c>
      <c r="E416">
        <v>22</v>
      </c>
      <c r="F416">
        <v>0.4</v>
      </c>
      <c r="G416">
        <v>0.46</v>
      </c>
      <c r="H416">
        <v>12</v>
      </c>
    </row>
    <row r="417" spans="1:8" x14ac:dyDescent="0.3">
      <c r="A417" t="s">
        <v>423</v>
      </c>
      <c r="B417">
        <v>71</v>
      </c>
      <c r="C417">
        <v>27</v>
      </c>
      <c r="D417">
        <v>2</v>
      </c>
      <c r="E417">
        <v>25</v>
      </c>
      <c r="F417">
        <v>0.4</v>
      </c>
      <c r="G417">
        <v>0.26</v>
      </c>
      <c r="H417">
        <v>7</v>
      </c>
    </row>
    <row r="418" spans="1:8" x14ac:dyDescent="0.3">
      <c r="A418" t="s">
        <v>424</v>
      </c>
      <c r="B418">
        <v>62</v>
      </c>
      <c r="C418">
        <v>24</v>
      </c>
      <c r="D418">
        <v>3</v>
      </c>
      <c r="E418">
        <v>21</v>
      </c>
      <c r="F418">
        <v>0.4</v>
      </c>
      <c r="G418">
        <v>0.33</v>
      </c>
      <c r="H418">
        <v>8</v>
      </c>
    </row>
    <row r="419" spans="1:8" x14ac:dyDescent="0.3">
      <c r="A419" t="s">
        <v>425</v>
      </c>
      <c r="B419">
        <v>60</v>
      </c>
      <c r="C419">
        <v>22</v>
      </c>
      <c r="D419">
        <v>4</v>
      </c>
      <c r="E419">
        <v>19</v>
      </c>
      <c r="F419">
        <v>0.4</v>
      </c>
      <c r="G419">
        <v>0.32</v>
      </c>
      <c r="H419">
        <v>7</v>
      </c>
    </row>
    <row r="420" spans="1:8" x14ac:dyDescent="0.3">
      <c r="A420" t="s">
        <v>426</v>
      </c>
      <c r="B420">
        <v>52</v>
      </c>
      <c r="C420">
        <v>20</v>
      </c>
      <c r="D420">
        <v>4</v>
      </c>
      <c r="E420">
        <v>16</v>
      </c>
      <c r="F420">
        <v>0.4</v>
      </c>
      <c r="G420">
        <v>0.45</v>
      </c>
      <c r="H420">
        <v>9</v>
      </c>
    </row>
    <row r="421" spans="1:8" x14ac:dyDescent="0.3">
      <c r="A421" t="s">
        <v>427</v>
      </c>
      <c r="B421">
        <v>51</v>
      </c>
      <c r="C421">
        <v>20</v>
      </c>
      <c r="D421">
        <v>4</v>
      </c>
      <c r="E421">
        <v>16</v>
      </c>
      <c r="F421">
        <v>0.4</v>
      </c>
      <c r="G421">
        <v>0.5</v>
      </c>
      <c r="H421">
        <v>10</v>
      </c>
    </row>
    <row r="422" spans="1:8" x14ac:dyDescent="0.3">
      <c r="A422" t="s">
        <v>428</v>
      </c>
      <c r="B422">
        <v>48</v>
      </c>
      <c r="C422">
        <v>18</v>
      </c>
      <c r="D422">
        <v>2</v>
      </c>
      <c r="E422">
        <v>16</v>
      </c>
      <c r="F422">
        <v>0.4</v>
      </c>
      <c r="G422">
        <v>0.17</v>
      </c>
      <c r="H422">
        <v>3</v>
      </c>
    </row>
    <row r="423" spans="1:8" x14ac:dyDescent="0.3">
      <c r="A423" t="s">
        <v>429</v>
      </c>
      <c r="B423">
        <v>54</v>
      </c>
      <c r="C423">
        <v>18</v>
      </c>
      <c r="D423">
        <v>2</v>
      </c>
      <c r="E423">
        <v>16</v>
      </c>
      <c r="F423">
        <v>0.3</v>
      </c>
      <c r="G423">
        <v>0.39</v>
      </c>
      <c r="H423">
        <v>7</v>
      </c>
    </row>
    <row r="424" spans="1:8" x14ac:dyDescent="0.3">
      <c r="A424" t="s">
        <v>430</v>
      </c>
      <c r="B424">
        <v>47</v>
      </c>
      <c r="C424">
        <v>21</v>
      </c>
      <c r="D424">
        <v>2</v>
      </c>
      <c r="E424">
        <v>19</v>
      </c>
      <c r="F424">
        <v>0.4</v>
      </c>
      <c r="G424">
        <v>0.28999999999999998</v>
      </c>
      <c r="H424">
        <v>6</v>
      </c>
    </row>
    <row r="425" spans="1:8" x14ac:dyDescent="0.3">
      <c r="A425" t="s">
        <v>431</v>
      </c>
      <c r="B425">
        <v>39</v>
      </c>
      <c r="C425">
        <v>15</v>
      </c>
      <c r="D425">
        <v>2</v>
      </c>
      <c r="E425">
        <v>14</v>
      </c>
      <c r="F425">
        <v>0.4</v>
      </c>
      <c r="G425">
        <v>0.27</v>
      </c>
      <c r="H425">
        <v>4</v>
      </c>
    </row>
    <row r="426" spans="1:8" x14ac:dyDescent="0.3">
      <c r="A426" t="s">
        <v>432</v>
      </c>
      <c r="B426">
        <v>28</v>
      </c>
      <c r="C426">
        <v>10</v>
      </c>
      <c r="D426">
        <v>0</v>
      </c>
      <c r="E426">
        <v>10</v>
      </c>
      <c r="F426">
        <v>0.4</v>
      </c>
      <c r="G426">
        <v>0.1</v>
      </c>
      <c r="H426">
        <v>1</v>
      </c>
    </row>
    <row r="427" spans="1:8" x14ac:dyDescent="0.3">
      <c r="A427" t="s">
        <v>433</v>
      </c>
      <c r="B427">
        <v>25</v>
      </c>
      <c r="C427">
        <v>5</v>
      </c>
      <c r="D427">
        <v>0</v>
      </c>
      <c r="E427">
        <v>5</v>
      </c>
      <c r="F427">
        <v>0.2</v>
      </c>
      <c r="G427">
        <v>0</v>
      </c>
    </row>
    <row r="428" spans="1:8" x14ac:dyDescent="0.3">
      <c r="A428" t="s">
        <v>434</v>
      </c>
      <c r="B428">
        <v>29</v>
      </c>
      <c r="C428">
        <v>6</v>
      </c>
      <c r="D428">
        <v>1</v>
      </c>
      <c r="E428">
        <v>5</v>
      </c>
      <c r="F428">
        <v>0.2</v>
      </c>
      <c r="G428">
        <v>0.17</v>
      </c>
      <c r="H428">
        <v>1</v>
      </c>
    </row>
    <row r="429" spans="1:8" x14ac:dyDescent="0.3">
      <c r="A429" t="s">
        <v>435</v>
      </c>
      <c r="B429">
        <v>30</v>
      </c>
      <c r="C429">
        <v>7</v>
      </c>
      <c r="D429">
        <v>2</v>
      </c>
      <c r="E429">
        <v>5</v>
      </c>
      <c r="F429">
        <v>0.2</v>
      </c>
      <c r="G429">
        <v>0.71</v>
      </c>
      <c r="H429">
        <v>5</v>
      </c>
    </row>
    <row r="430" spans="1:8" x14ac:dyDescent="0.3">
      <c r="A430" t="s">
        <v>436</v>
      </c>
      <c r="B430">
        <v>36</v>
      </c>
      <c r="C430">
        <v>9</v>
      </c>
      <c r="D430">
        <v>2</v>
      </c>
      <c r="E430">
        <v>7</v>
      </c>
      <c r="F430">
        <v>0.3</v>
      </c>
      <c r="G430">
        <v>0.67</v>
      </c>
      <c r="H430">
        <v>6</v>
      </c>
    </row>
    <row r="431" spans="1:8" x14ac:dyDescent="0.3">
      <c r="A431" t="s">
        <v>437</v>
      </c>
      <c r="B431">
        <v>44</v>
      </c>
      <c r="C431">
        <v>17</v>
      </c>
      <c r="D431">
        <v>4</v>
      </c>
      <c r="E431">
        <v>14</v>
      </c>
      <c r="F431">
        <v>0.4</v>
      </c>
      <c r="G431">
        <v>0.53</v>
      </c>
      <c r="H431">
        <v>9</v>
      </c>
    </row>
    <row r="432" spans="1:8" x14ac:dyDescent="0.3">
      <c r="A432" t="s">
        <v>438</v>
      </c>
      <c r="B432">
        <v>65</v>
      </c>
      <c r="C432">
        <v>22</v>
      </c>
      <c r="D432">
        <v>5</v>
      </c>
      <c r="E432">
        <v>17</v>
      </c>
      <c r="F432">
        <v>0.3</v>
      </c>
      <c r="G432">
        <v>0.59</v>
      </c>
      <c r="H432">
        <v>13</v>
      </c>
    </row>
    <row r="433" spans="1:8" x14ac:dyDescent="0.3">
      <c r="A433" t="s">
        <v>439</v>
      </c>
      <c r="B433">
        <v>71</v>
      </c>
      <c r="C433">
        <v>25</v>
      </c>
      <c r="D433">
        <v>10</v>
      </c>
      <c r="E433">
        <v>15</v>
      </c>
      <c r="F433">
        <v>0.4</v>
      </c>
      <c r="G433">
        <v>0.96</v>
      </c>
      <c r="H433">
        <v>24</v>
      </c>
    </row>
    <row r="434" spans="1:8" x14ac:dyDescent="0.3">
      <c r="A434" t="s">
        <v>440</v>
      </c>
      <c r="B434">
        <v>74</v>
      </c>
      <c r="C434">
        <v>25</v>
      </c>
      <c r="D434">
        <v>11</v>
      </c>
      <c r="E434">
        <v>14</v>
      </c>
      <c r="F434">
        <v>0.3</v>
      </c>
      <c r="G434">
        <v>1.08</v>
      </c>
      <c r="H434">
        <v>27</v>
      </c>
    </row>
    <row r="435" spans="1:8" x14ac:dyDescent="0.3">
      <c r="A435" t="s">
        <v>441</v>
      </c>
      <c r="B435">
        <v>81</v>
      </c>
      <c r="C435">
        <v>30</v>
      </c>
      <c r="D435">
        <v>6</v>
      </c>
      <c r="E435">
        <v>24</v>
      </c>
      <c r="F435">
        <v>0.4</v>
      </c>
      <c r="G435">
        <v>0.67</v>
      </c>
      <c r="H435">
        <v>20</v>
      </c>
    </row>
    <row r="436" spans="1:8" x14ac:dyDescent="0.3">
      <c r="A436" t="s">
        <v>442</v>
      </c>
      <c r="B436">
        <v>74</v>
      </c>
      <c r="C436">
        <v>27</v>
      </c>
      <c r="D436">
        <v>5</v>
      </c>
      <c r="E436">
        <v>22</v>
      </c>
      <c r="F436">
        <v>0.4</v>
      </c>
      <c r="G436">
        <v>0.59</v>
      </c>
      <c r="H436">
        <v>16</v>
      </c>
    </row>
    <row r="437" spans="1:8" x14ac:dyDescent="0.3">
      <c r="A437" t="s">
        <v>443</v>
      </c>
      <c r="B437">
        <v>91</v>
      </c>
      <c r="C437">
        <v>37</v>
      </c>
      <c r="D437">
        <v>4</v>
      </c>
      <c r="E437">
        <v>33</v>
      </c>
      <c r="F437">
        <v>0.4</v>
      </c>
      <c r="G437">
        <v>0.35</v>
      </c>
      <c r="H437">
        <v>13</v>
      </c>
    </row>
    <row r="438" spans="1:8" x14ac:dyDescent="0.3">
      <c r="A438" t="s">
        <v>444</v>
      </c>
      <c r="B438">
        <v>81</v>
      </c>
      <c r="C438">
        <v>31</v>
      </c>
      <c r="D438">
        <v>6</v>
      </c>
      <c r="E438">
        <v>25</v>
      </c>
      <c r="F438">
        <v>0.4</v>
      </c>
      <c r="G438">
        <v>0.52</v>
      </c>
      <c r="H438">
        <v>16</v>
      </c>
    </row>
    <row r="439" spans="1:8" x14ac:dyDescent="0.3">
      <c r="A439" t="s">
        <v>445</v>
      </c>
      <c r="B439">
        <v>84</v>
      </c>
      <c r="C439">
        <v>34</v>
      </c>
      <c r="D439">
        <v>7</v>
      </c>
      <c r="E439">
        <v>27</v>
      </c>
      <c r="F439">
        <v>0.4</v>
      </c>
      <c r="G439">
        <v>0.5</v>
      </c>
      <c r="H439">
        <v>17</v>
      </c>
    </row>
    <row r="440" spans="1:8" x14ac:dyDescent="0.3">
      <c r="A440" t="s">
        <v>446</v>
      </c>
      <c r="B440">
        <v>91</v>
      </c>
      <c r="C440">
        <v>30</v>
      </c>
      <c r="D440">
        <v>4</v>
      </c>
      <c r="E440">
        <v>26</v>
      </c>
      <c r="F440">
        <v>0.3</v>
      </c>
      <c r="G440">
        <v>0.27</v>
      </c>
      <c r="H440">
        <v>8</v>
      </c>
    </row>
    <row r="441" spans="1:8" x14ac:dyDescent="0.3">
      <c r="A441" t="s">
        <v>447</v>
      </c>
      <c r="B441">
        <v>92</v>
      </c>
      <c r="C441">
        <v>32</v>
      </c>
      <c r="D441">
        <v>4</v>
      </c>
      <c r="E441">
        <v>29</v>
      </c>
      <c r="F441">
        <v>0.3</v>
      </c>
      <c r="G441">
        <v>0.28000000000000003</v>
      </c>
      <c r="H441">
        <v>9</v>
      </c>
    </row>
    <row r="442" spans="1:8" x14ac:dyDescent="0.3">
      <c r="A442" t="s">
        <v>448</v>
      </c>
      <c r="B442">
        <v>86</v>
      </c>
      <c r="C442">
        <v>25</v>
      </c>
      <c r="D442">
        <v>2</v>
      </c>
      <c r="E442">
        <v>22</v>
      </c>
      <c r="F442">
        <v>0.3</v>
      </c>
      <c r="G442">
        <v>0.36</v>
      </c>
      <c r="H442">
        <v>9</v>
      </c>
    </row>
    <row r="443" spans="1:8" x14ac:dyDescent="0.3">
      <c r="A443" t="s">
        <v>449</v>
      </c>
      <c r="B443">
        <v>82</v>
      </c>
      <c r="C443">
        <v>28</v>
      </c>
      <c r="D443">
        <v>3</v>
      </c>
      <c r="E443">
        <v>24</v>
      </c>
      <c r="F443">
        <v>0.3</v>
      </c>
      <c r="G443">
        <v>0.28999999999999998</v>
      </c>
      <c r="H443">
        <v>8</v>
      </c>
    </row>
    <row r="444" spans="1:8" x14ac:dyDescent="0.3">
      <c r="A444" t="s">
        <v>450</v>
      </c>
      <c r="B444">
        <v>77</v>
      </c>
      <c r="C444">
        <v>27</v>
      </c>
      <c r="D444">
        <v>6</v>
      </c>
      <c r="E444">
        <v>21</v>
      </c>
      <c r="F444">
        <v>0.4</v>
      </c>
      <c r="G444">
        <v>0.52</v>
      </c>
      <c r="H444">
        <v>14</v>
      </c>
    </row>
    <row r="445" spans="1:8" x14ac:dyDescent="0.3">
      <c r="A445" t="s">
        <v>451</v>
      </c>
      <c r="B445">
        <v>72</v>
      </c>
      <c r="C445">
        <v>29</v>
      </c>
      <c r="D445">
        <v>3</v>
      </c>
      <c r="E445">
        <v>26</v>
      </c>
      <c r="F445">
        <v>0.4</v>
      </c>
      <c r="G445">
        <v>0.28000000000000003</v>
      </c>
      <c r="H445">
        <v>8</v>
      </c>
    </row>
    <row r="446" spans="1:8" x14ac:dyDescent="0.3">
      <c r="A446" t="s">
        <v>452</v>
      </c>
      <c r="B446">
        <v>76</v>
      </c>
      <c r="C446">
        <v>28</v>
      </c>
      <c r="D446">
        <v>1</v>
      </c>
      <c r="E446">
        <v>27</v>
      </c>
      <c r="F446">
        <v>0.4</v>
      </c>
      <c r="G446">
        <v>0.11</v>
      </c>
      <c r="H446">
        <v>3</v>
      </c>
    </row>
    <row r="447" spans="1:8" x14ac:dyDescent="0.3">
      <c r="A447" t="s">
        <v>453</v>
      </c>
      <c r="B447">
        <v>72</v>
      </c>
      <c r="C447">
        <v>27</v>
      </c>
      <c r="D447">
        <v>3</v>
      </c>
      <c r="E447">
        <v>24</v>
      </c>
      <c r="F447">
        <v>0.4</v>
      </c>
      <c r="G447">
        <v>0.22</v>
      </c>
      <c r="H447">
        <v>6</v>
      </c>
    </row>
    <row r="448" spans="1:8" x14ac:dyDescent="0.3">
      <c r="A448" t="s">
        <v>454</v>
      </c>
      <c r="B448">
        <v>67</v>
      </c>
      <c r="C448">
        <v>26</v>
      </c>
      <c r="D448">
        <v>3</v>
      </c>
      <c r="E448">
        <v>23</v>
      </c>
      <c r="F448">
        <v>0.4</v>
      </c>
      <c r="G448">
        <v>0.31</v>
      </c>
      <c r="H448">
        <v>8</v>
      </c>
    </row>
    <row r="449" spans="1:8" x14ac:dyDescent="0.3">
      <c r="A449" t="s">
        <v>455</v>
      </c>
      <c r="B449">
        <v>61</v>
      </c>
      <c r="C449">
        <v>27</v>
      </c>
      <c r="D449">
        <v>2</v>
      </c>
      <c r="E449">
        <v>25</v>
      </c>
      <c r="F449">
        <v>0.4</v>
      </c>
      <c r="G449">
        <v>0.11</v>
      </c>
      <c r="H449">
        <v>3</v>
      </c>
    </row>
    <row r="450" spans="1:8" x14ac:dyDescent="0.3">
      <c r="A450" t="s">
        <v>456</v>
      </c>
      <c r="B450">
        <v>41</v>
      </c>
      <c r="C450">
        <v>16</v>
      </c>
      <c r="D450">
        <v>3</v>
      </c>
      <c r="E450">
        <v>14</v>
      </c>
      <c r="F450">
        <v>0.4</v>
      </c>
      <c r="G450">
        <v>0.44</v>
      </c>
      <c r="H450">
        <v>7</v>
      </c>
    </row>
    <row r="451" spans="1:8" x14ac:dyDescent="0.3">
      <c r="A451" t="s">
        <v>457</v>
      </c>
      <c r="B451">
        <v>29</v>
      </c>
      <c r="C451">
        <v>10</v>
      </c>
      <c r="D451">
        <v>1</v>
      </c>
      <c r="E451">
        <v>9</v>
      </c>
      <c r="F451">
        <v>0.3</v>
      </c>
      <c r="G451">
        <v>0.2</v>
      </c>
      <c r="H451">
        <v>2</v>
      </c>
    </row>
    <row r="452" spans="1:8" x14ac:dyDescent="0.3">
      <c r="A452" t="s">
        <v>458</v>
      </c>
      <c r="B452">
        <v>34</v>
      </c>
      <c r="C452">
        <v>13</v>
      </c>
      <c r="D452">
        <v>3</v>
      </c>
      <c r="E452">
        <v>9</v>
      </c>
      <c r="F452">
        <v>0.4</v>
      </c>
      <c r="G452">
        <v>0.31</v>
      </c>
      <c r="H452">
        <v>4</v>
      </c>
    </row>
    <row r="453" spans="1:8" x14ac:dyDescent="0.3">
      <c r="A453" t="s">
        <v>459</v>
      </c>
      <c r="B453">
        <v>29</v>
      </c>
      <c r="C453">
        <v>13</v>
      </c>
      <c r="D453">
        <v>7</v>
      </c>
      <c r="E453">
        <v>6</v>
      </c>
      <c r="F453">
        <v>0.4</v>
      </c>
      <c r="G453">
        <v>1</v>
      </c>
      <c r="H453">
        <v>13</v>
      </c>
    </row>
    <row r="454" spans="1:8" x14ac:dyDescent="0.3">
      <c r="A454" t="s">
        <v>460</v>
      </c>
      <c r="B454">
        <v>32</v>
      </c>
      <c r="C454">
        <v>15</v>
      </c>
      <c r="D454">
        <v>5</v>
      </c>
      <c r="E454">
        <v>9</v>
      </c>
      <c r="F454">
        <v>0.5</v>
      </c>
      <c r="G454">
        <v>0.87</v>
      </c>
      <c r="H454">
        <v>13</v>
      </c>
    </row>
    <row r="455" spans="1:8" x14ac:dyDescent="0.3">
      <c r="A455" t="s">
        <v>461</v>
      </c>
      <c r="B455">
        <v>46</v>
      </c>
      <c r="C455">
        <v>18</v>
      </c>
      <c r="D455">
        <v>2</v>
      </c>
      <c r="E455">
        <v>16</v>
      </c>
      <c r="F455">
        <v>0.4</v>
      </c>
      <c r="G455">
        <v>0.33</v>
      </c>
      <c r="H455">
        <v>6</v>
      </c>
    </row>
    <row r="456" spans="1:8" x14ac:dyDescent="0.3">
      <c r="A456" t="s">
        <v>462</v>
      </c>
      <c r="B456">
        <v>61</v>
      </c>
      <c r="C456">
        <v>29</v>
      </c>
      <c r="D456">
        <v>9</v>
      </c>
      <c r="E456">
        <v>20</v>
      </c>
      <c r="F456">
        <v>0.5</v>
      </c>
      <c r="G456">
        <v>0.62</v>
      </c>
      <c r="H456">
        <v>18</v>
      </c>
    </row>
    <row r="457" spans="1:8" x14ac:dyDescent="0.3">
      <c r="A457" t="s">
        <v>463</v>
      </c>
      <c r="B457">
        <v>68</v>
      </c>
      <c r="C457">
        <v>30</v>
      </c>
      <c r="D457">
        <v>13</v>
      </c>
      <c r="E457">
        <v>18</v>
      </c>
      <c r="F457">
        <v>0.4</v>
      </c>
      <c r="G457">
        <v>1.07</v>
      </c>
      <c r="H457">
        <v>32</v>
      </c>
    </row>
    <row r="458" spans="1:8" x14ac:dyDescent="0.3">
      <c r="A458" t="s">
        <v>464</v>
      </c>
      <c r="B458">
        <v>81</v>
      </c>
      <c r="C458">
        <v>40</v>
      </c>
      <c r="D458">
        <v>18</v>
      </c>
      <c r="E458">
        <v>22</v>
      </c>
      <c r="F458">
        <v>0.5</v>
      </c>
      <c r="G458">
        <v>1.2</v>
      </c>
      <c r="H458">
        <v>48</v>
      </c>
    </row>
    <row r="459" spans="1:8" x14ac:dyDescent="0.3">
      <c r="A459" t="s">
        <v>465</v>
      </c>
      <c r="B459">
        <v>96</v>
      </c>
      <c r="C459">
        <v>42</v>
      </c>
      <c r="D459">
        <v>15</v>
      </c>
      <c r="E459">
        <v>28</v>
      </c>
      <c r="F459">
        <v>0.4</v>
      </c>
      <c r="G459">
        <v>0.88</v>
      </c>
      <c r="H459">
        <v>37</v>
      </c>
    </row>
    <row r="460" spans="1:8" x14ac:dyDescent="0.3">
      <c r="A460" t="s">
        <v>466</v>
      </c>
      <c r="B460">
        <v>96</v>
      </c>
      <c r="C460">
        <v>42</v>
      </c>
      <c r="D460">
        <v>15</v>
      </c>
      <c r="E460">
        <v>27</v>
      </c>
      <c r="F460">
        <v>0.4</v>
      </c>
      <c r="G460">
        <v>0.9</v>
      </c>
      <c r="H460">
        <v>38</v>
      </c>
    </row>
    <row r="461" spans="1:8" x14ac:dyDescent="0.3">
      <c r="A461" t="s">
        <v>467</v>
      </c>
      <c r="B461">
        <v>102</v>
      </c>
      <c r="C461">
        <v>38</v>
      </c>
      <c r="D461">
        <v>10</v>
      </c>
      <c r="E461">
        <v>28</v>
      </c>
      <c r="F461">
        <v>0.4</v>
      </c>
      <c r="G461">
        <v>0.68</v>
      </c>
      <c r="H461">
        <v>26</v>
      </c>
    </row>
    <row r="462" spans="1:8" x14ac:dyDescent="0.3">
      <c r="A462" t="s">
        <v>468</v>
      </c>
      <c r="B462">
        <v>110</v>
      </c>
      <c r="C462">
        <v>43</v>
      </c>
      <c r="D462">
        <v>22</v>
      </c>
      <c r="E462">
        <v>21</v>
      </c>
      <c r="F462">
        <v>0.4</v>
      </c>
      <c r="G462">
        <v>0.79</v>
      </c>
      <c r="H462">
        <v>34</v>
      </c>
    </row>
    <row r="463" spans="1:8" x14ac:dyDescent="0.3">
      <c r="A463" t="s">
        <v>469</v>
      </c>
      <c r="B463">
        <v>100</v>
      </c>
      <c r="C463">
        <v>34</v>
      </c>
      <c r="D463">
        <v>20</v>
      </c>
      <c r="E463">
        <v>15</v>
      </c>
      <c r="F463">
        <v>0.3</v>
      </c>
      <c r="G463">
        <v>0.88</v>
      </c>
      <c r="H463">
        <v>30</v>
      </c>
    </row>
    <row r="464" spans="1:8" x14ac:dyDescent="0.3">
      <c r="A464" t="s">
        <v>470</v>
      </c>
      <c r="B464">
        <v>81</v>
      </c>
      <c r="C464">
        <v>29</v>
      </c>
      <c r="D464">
        <v>13</v>
      </c>
      <c r="E464">
        <v>16</v>
      </c>
      <c r="F464">
        <v>0.4</v>
      </c>
      <c r="G464">
        <v>0.93</v>
      </c>
      <c r="H464">
        <v>27</v>
      </c>
    </row>
    <row r="465" spans="1:8" x14ac:dyDescent="0.3">
      <c r="A465" t="s">
        <v>471</v>
      </c>
      <c r="B465">
        <v>75</v>
      </c>
      <c r="C465">
        <v>23</v>
      </c>
      <c r="D465">
        <v>9</v>
      </c>
      <c r="E465">
        <v>14</v>
      </c>
      <c r="F465">
        <v>0.3</v>
      </c>
      <c r="G465">
        <v>0.56999999999999995</v>
      </c>
      <c r="H465">
        <v>13</v>
      </c>
    </row>
    <row r="466" spans="1:8" x14ac:dyDescent="0.3">
      <c r="A466" t="s">
        <v>472</v>
      </c>
      <c r="B466">
        <v>67</v>
      </c>
      <c r="C466">
        <v>22</v>
      </c>
      <c r="D466">
        <v>8</v>
      </c>
      <c r="E466">
        <v>13</v>
      </c>
      <c r="F466">
        <v>0.3</v>
      </c>
      <c r="G466">
        <v>0.73</v>
      </c>
      <c r="H466">
        <v>16</v>
      </c>
    </row>
    <row r="467" spans="1:8" x14ac:dyDescent="0.3">
      <c r="A467" t="s">
        <v>473</v>
      </c>
      <c r="B467">
        <v>64</v>
      </c>
      <c r="C467">
        <v>21</v>
      </c>
      <c r="D467">
        <v>8</v>
      </c>
      <c r="E467">
        <v>13</v>
      </c>
      <c r="F467">
        <v>0.3</v>
      </c>
      <c r="G467">
        <v>0.52</v>
      </c>
      <c r="H467">
        <v>11</v>
      </c>
    </row>
    <row r="468" spans="1:8" x14ac:dyDescent="0.3">
      <c r="A468" t="s">
        <v>474</v>
      </c>
      <c r="B468">
        <v>71</v>
      </c>
      <c r="C468">
        <v>26</v>
      </c>
      <c r="D468">
        <v>7</v>
      </c>
      <c r="E468">
        <v>19</v>
      </c>
      <c r="F468">
        <v>0.4</v>
      </c>
      <c r="G468">
        <v>0.57999999999999996</v>
      </c>
      <c r="H468">
        <v>15</v>
      </c>
    </row>
    <row r="469" spans="1:8" x14ac:dyDescent="0.3">
      <c r="A469" t="s">
        <v>475</v>
      </c>
      <c r="B469">
        <v>72</v>
      </c>
      <c r="C469">
        <v>26</v>
      </c>
      <c r="D469">
        <v>5</v>
      </c>
      <c r="E469">
        <v>21</v>
      </c>
      <c r="F469">
        <v>0.4</v>
      </c>
      <c r="G469">
        <v>0.42</v>
      </c>
      <c r="H469">
        <v>11</v>
      </c>
    </row>
    <row r="470" spans="1:8" x14ac:dyDescent="0.3">
      <c r="A470" t="s">
        <v>476</v>
      </c>
      <c r="B470">
        <v>74</v>
      </c>
      <c r="C470">
        <v>28</v>
      </c>
      <c r="D470">
        <v>6</v>
      </c>
      <c r="E470">
        <v>22</v>
      </c>
      <c r="F470">
        <v>0.4</v>
      </c>
      <c r="G470">
        <v>0.43</v>
      </c>
      <c r="H470">
        <v>12</v>
      </c>
    </row>
    <row r="471" spans="1:8" x14ac:dyDescent="0.3">
      <c r="A471" t="s">
        <v>477</v>
      </c>
      <c r="B471">
        <v>90</v>
      </c>
      <c r="C471">
        <v>35</v>
      </c>
      <c r="D471">
        <v>7</v>
      </c>
      <c r="E471">
        <v>27</v>
      </c>
      <c r="F471">
        <v>0.4</v>
      </c>
      <c r="G471">
        <v>0.37</v>
      </c>
      <c r="H471">
        <v>13</v>
      </c>
    </row>
    <row r="472" spans="1:8" x14ac:dyDescent="0.3">
      <c r="A472" t="s">
        <v>478</v>
      </c>
      <c r="B472">
        <v>82</v>
      </c>
      <c r="C472">
        <v>35</v>
      </c>
      <c r="D472">
        <v>20</v>
      </c>
      <c r="E472">
        <v>15</v>
      </c>
      <c r="F472">
        <v>0.4</v>
      </c>
      <c r="G472">
        <v>0.86</v>
      </c>
      <c r="H472">
        <v>30</v>
      </c>
    </row>
    <row r="473" spans="1:8" x14ac:dyDescent="0.3">
      <c r="A473" t="s">
        <v>479</v>
      </c>
      <c r="B473">
        <v>67</v>
      </c>
      <c r="C473">
        <v>33</v>
      </c>
      <c r="D473">
        <v>14</v>
      </c>
      <c r="E473">
        <v>19</v>
      </c>
      <c r="F473">
        <v>0.5</v>
      </c>
      <c r="G473">
        <v>0.94</v>
      </c>
      <c r="H473">
        <v>31</v>
      </c>
    </row>
    <row r="474" spans="1:8" x14ac:dyDescent="0.3">
      <c r="A474" t="s">
        <v>480</v>
      </c>
      <c r="B474">
        <v>56</v>
      </c>
      <c r="C474">
        <v>22</v>
      </c>
      <c r="D474">
        <v>6</v>
      </c>
      <c r="E474">
        <v>16</v>
      </c>
      <c r="F474">
        <v>0.4</v>
      </c>
      <c r="G474">
        <v>0.59</v>
      </c>
      <c r="H474">
        <v>13</v>
      </c>
    </row>
    <row r="475" spans="1:8" x14ac:dyDescent="0.3">
      <c r="A475" t="s">
        <v>481</v>
      </c>
      <c r="B475">
        <v>35</v>
      </c>
      <c r="C475">
        <v>12</v>
      </c>
      <c r="D475">
        <v>0</v>
      </c>
      <c r="E475">
        <v>12</v>
      </c>
      <c r="F475">
        <v>0.3</v>
      </c>
      <c r="G475">
        <v>0.08</v>
      </c>
      <c r="H475">
        <v>1</v>
      </c>
    </row>
    <row r="476" spans="1:8" x14ac:dyDescent="0.3">
      <c r="A476" t="s">
        <v>482</v>
      </c>
      <c r="B476">
        <v>23</v>
      </c>
      <c r="C476">
        <v>10</v>
      </c>
      <c r="D476">
        <v>0</v>
      </c>
      <c r="E476">
        <v>10</v>
      </c>
      <c r="F476">
        <v>0.4</v>
      </c>
      <c r="G476">
        <v>0</v>
      </c>
    </row>
    <row r="477" spans="1:8" x14ac:dyDescent="0.3">
      <c r="A477" t="s">
        <v>483</v>
      </c>
      <c r="B477">
        <v>23</v>
      </c>
      <c r="C477">
        <v>10</v>
      </c>
      <c r="D477">
        <v>0</v>
      </c>
      <c r="E477">
        <v>9</v>
      </c>
      <c r="F477">
        <v>0.4</v>
      </c>
      <c r="G477">
        <v>0.2</v>
      </c>
      <c r="H477">
        <v>2</v>
      </c>
    </row>
    <row r="478" spans="1:8" x14ac:dyDescent="0.3">
      <c r="A478" t="s">
        <v>484</v>
      </c>
      <c r="B478">
        <v>23</v>
      </c>
      <c r="C478">
        <v>11</v>
      </c>
      <c r="D478">
        <v>0</v>
      </c>
      <c r="E478">
        <v>11</v>
      </c>
      <c r="F478">
        <v>0.5</v>
      </c>
      <c r="G478">
        <v>0</v>
      </c>
    </row>
    <row r="479" spans="1:8" x14ac:dyDescent="0.3">
      <c r="A479" t="s">
        <v>485</v>
      </c>
      <c r="B479">
        <v>26</v>
      </c>
      <c r="C479">
        <v>11</v>
      </c>
      <c r="D479">
        <v>0</v>
      </c>
      <c r="E479">
        <v>11</v>
      </c>
      <c r="F479">
        <v>0.4</v>
      </c>
      <c r="G479">
        <v>0</v>
      </c>
    </row>
    <row r="480" spans="1:8" x14ac:dyDescent="0.3">
      <c r="A480" t="s">
        <v>486</v>
      </c>
      <c r="B480">
        <v>31</v>
      </c>
      <c r="C480">
        <v>11</v>
      </c>
      <c r="D480">
        <v>0</v>
      </c>
      <c r="E480">
        <v>11</v>
      </c>
      <c r="F480">
        <v>0.4</v>
      </c>
      <c r="G480">
        <v>0.09</v>
      </c>
      <c r="H480">
        <v>1</v>
      </c>
    </row>
    <row r="481" spans="1:8" x14ac:dyDescent="0.3">
      <c r="A481" t="s">
        <v>487</v>
      </c>
      <c r="B481">
        <v>47</v>
      </c>
      <c r="C481">
        <v>15</v>
      </c>
      <c r="D481">
        <v>2</v>
      </c>
      <c r="E481">
        <v>13</v>
      </c>
      <c r="F481">
        <v>0.3</v>
      </c>
      <c r="G481">
        <v>0.27</v>
      </c>
      <c r="H481">
        <v>4</v>
      </c>
    </row>
    <row r="482" spans="1:8" x14ac:dyDescent="0.3">
      <c r="A482" t="s">
        <v>488</v>
      </c>
      <c r="B482">
        <v>62</v>
      </c>
      <c r="C482">
        <v>24</v>
      </c>
      <c r="D482">
        <v>5</v>
      </c>
      <c r="E482">
        <v>19</v>
      </c>
      <c r="F482">
        <v>0.4</v>
      </c>
      <c r="G482">
        <v>0.46</v>
      </c>
      <c r="H482">
        <v>11</v>
      </c>
    </row>
    <row r="483" spans="1:8" x14ac:dyDescent="0.3">
      <c r="A483" t="s">
        <v>489</v>
      </c>
      <c r="B483">
        <v>72</v>
      </c>
      <c r="C483">
        <v>29</v>
      </c>
      <c r="D483">
        <v>6</v>
      </c>
      <c r="E483">
        <v>23</v>
      </c>
      <c r="F483">
        <v>0.4</v>
      </c>
      <c r="G483">
        <v>0.41</v>
      </c>
      <c r="H483">
        <v>12</v>
      </c>
    </row>
    <row r="484" spans="1:8" x14ac:dyDescent="0.3">
      <c r="A484" t="s">
        <v>490</v>
      </c>
      <c r="B484">
        <v>94</v>
      </c>
      <c r="C484">
        <v>38</v>
      </c>
      <c r="D484">
        <v>5</v>
      </c>
      <c r="E484">
        <v>32</v>
      </c>
      <c r="F484">
        <v>0.4</v>
      </c>
      <c r="G484">
        <v>0.39</v>
      </c>
      <c r="H484">
        <v>15</v>
      </c>
    </row>
    <row r="485" spans="1:8" x14ac:dyDescent="0.3">
      <c r="A485" t="s">
        <v>491</v>
      </c>
      <c r="B485">
        <v>113</v>
      </c>
      <c r="C485">
        <v>49</v>
      </c>
      <c r="D485">
        <v>5</v>
      </c>
      <c r="E485">
        <v>45</v>
      </c>
      <c r="F485">
        <v>0.4</v>
      </c>
      <c r="G485">
        <v>0.27</v>
      </c>
      <c r="H485">
        <v>13</v>
      </c>
    </row>
    <row r="486" spans="1:8" x14ac:dyDescent="0.3">
      <c r="A486" t="s">
        <v>492</v>
      </c>
      <c r="B486">
        <v>117</v>
      </c>
      <c r="C486">
        <v>49</v>
      </c>
      <c r="D486">
        <v>13</v>
      </c>
      <c r="E486">
        <v>36</v>
      </c>
      <c r="F486">
        <v>0.4</v>
      </c>
      <c r="G486">
        <v>0.56999999999999995</v>
      </c>
      <c r="H486">
        <v>28</v>
      </c>
    </row>
    <row r="487" spans="1:8" x14ac:dyDescent="0.3">
      <c r="A487" t="s">
        <v>493</v>
      </c>
      <c r="B487">
        <v>95</v>
      </c>
      <c r="C487">
        <v>40</v>
      </c>
      <c r="D487">
        <v>15</v>
      </c>
      <c r="E487">
        <v>25</v>
      </c>
      <c r="F487">
        <v>0.4</v>
      </c>
      <c r="G487">
        <v>0.88</v>
      </c>
      <c r="H487">
        <v>35</v>
      </c>
    </row>
    <row r="488" spans="1:8" x14ac:dyDescent="0.3">
      <c r="A488" t="s">
        <v>494</v>
      </c>
      <c r="B488">
        <v>102</v>
      </c>
      <c r="C488">
        <v>40</v>
      </c>
      <c r="D488">
        <v>10</v>
      </c>
      <c r="E488">
        <v>30</v>
      </c>
      <c r="F488">
        <v>0.4</v>
      </c>
      <c r="G488">
        <v>0.4</v>
      </c>
      <c r="H488">
        <v>16</v>
      </c>
    </row>
    <row r="489" spans="1:8" x14ac:dyDescent="0.3">
      <c r="A489" t="s">
        <v>495</v>
      </c>
      <c r="B489">
        <v>90</v>
      </c>
      <c r="C489">
        <v>35</v>
      </c>
      <c r="D489">
        <v>5</v>
      </c>
      <c r="E489">
        <v>30</v>
      </c>
      <c r="F489">
        <v>0.4</v>
      </c>
      <c r="G489">
        <v>0.34</v>
      </c>
      <c r="H489">
        <v>12</v>
      </c>
    </row>
    <row r="490" spans="1:8" x14ac:dyDescent="0.3">
      <c r="A490" t="s">
        <v>496</v>
      </c>
      <c r="B490">
        <v>74</v>
      </c>
      <c r="C490">
        <v>25</v>
      </c>
      <c r="D490">
        <v>4</v>
      </c>
      <c r="E490">
        <v>21</v>
      </c>
      <c r="F490">
        <v>0.3</v>
      </c>
      <c r="G490">
        <v>0.32</v>
      </c>
      <c r="H490">
        <v>8</v>
      </c>
    </row>
    <row r="491" spans="1:8" x14ac:dyDescent="0.3">
      <c r="A491" t="s">
        <v>497</v>
      </c>
      <c r="B491">
        <v>63</v>
      </c>
      <c r="C491">
        <v>20</v>
      </c>
      <c r="D491">
        <v>3</v>
      </c>
      <c r="E491">
        <v>17</v>
      </c>
      <c r="F491">
        <v>0.3</v>
      </c>
      <c r="G491">
        <v>0.3</v>
      </c>
      <c r="H491">
        <v>6</v>
      </c>
    </row>
    <row r="492" spans="1:8" x14ac:dyDescent="0.3">
      <c r="A492" t="s">
        <v>498</v>
      </c>
      <c r="B492">
        <v>57</v>
      </c>
      <c r="C492">
        <v>21</v>
      </c>
      <c r="D492">
        <v>2</v>
      </c>
      <c r="E492">
        <v>19</v>
      </c>
      <c r="F492">
        <v>0.4</v>
      </c>
      <c r="G492">
        <v>0.24</v>
      </c>
      <c r="H492">
        <v>5</v>
      </c>
    </row>
    <row r="493" spans="1:8" x14ac:dyDescent="0.3">
      <c r="A493" t="s">
        <v>499</v>
      </c>
      <c r="B493">
        <v>67</v>
      </c>
      <c r="C493">
        <v>22</v>
      </c>
      <c r="D493">
        <v>3</v>
      </c>
      <c r="E493">
        <v>19</v>
      </c>
      <c r="F493">
        <v>0.3</v>
      </c>
      <c r="G493">
        <v>0.36</v>
      </c>
      <c r="H493">
        <v>8</v>
      </c>
    </row>
    <row r="494" spans="1:8" x14ac:dyDescent="0.3">
      <c r="A494" t="s">
        <v>500</v>
      </c>
      <c r="B494">
        <v>75</v>
      </c>
      <c r="C494">
        <v>32</v>
      </c>
      <c r="D494">
        <v>4</v>
      </c>
      <c r="E494">
        <v>28</v>
      </c>
      <c r="F494">
        <v>0.4</v>
      </c>
      <c r="G494">
        <v>0.16</v>
      </c>
      <c r="H494">
        <v>5</v>
      </c>
    </row>
    <row r="495" spans="1:8" x14ac:dyDescent="0.3">
      <c r="A495" t="s">
        <v>501</v>
      </c>
      <c r="B495">
        <v>79</v>
      </c>
      <c r="C495">
        <v>36</v>
      </c>
      <c r="D495">
        <v>9</v>
      </c>
      <c r="E495">
        <v>27</v>
      </c>
      <c r="F495">
        <v>0.5</v>
      </c>
      <c r="G495">
        <v>0.47</v>
      </c>
      <c r="H495">
        <v>17</v>
      </c>
    </row>
    <row r="496" spans="1:8" x14ac:dyDescent="0.3">
      <c r="A496" t="s">
        <v>502</v>
      </c>
      <c r="B496">
        <v>77</v>
      </c>
      <c r="C496">
        <v>34</v>
      </c>
      <c r="D496">
        <v>15</v>
      </c>
      <c r="E496">
        <v>19</v>
      </c>
      <c r="F496">
        <v>0.4</v>
      </c>
      <c r="G496">
        <v>0.76</v>
      </c>
      <c r="H496">
        <v>26</v>
      </c>
    </row>
    <row r="497" spans="1:8" x14ac:dyDescent="0.3">
      <c r="A497" t="s">
        <v>503</v>
      </c>
      <c r="B497">
        <v>62</v>
      </c>
      <c r="C497">
        <v>24</v>
      </c>
      <c r="D497">
        <v>11</v>
      </c>
      <c r="E497">
        <v>13</v>
      </c>
      <c r="F497">
        <v>0.4</v>
      </c>
      <c r="G497">
        <v>0.96</v>
      </c>
      <c r="H497">
        <v>23</v>
      </c>
    </row>
    <row r="498" spans="1:8" x14ac:dyDescent="0.3">
      <c r="A498" t="s">
        <v>504</v>
      </c>
      <c r="B498">
        <v>44</v>
      </c>
      <c r="C498">
        <v>15</v>
      </c>
      <c r="D498">
        <v>5</v>
      </c>
      <c r="E498">
        <v>10</v>
      </c>
      <c r="F498">
        <v>0.3</v>
      </c>
      <c r="G498">
        <v>0.8</v>
      </c>
      <c r="H498">
        <v>12</v>
      </c>
    </row>
    <row r="499" spans="1:8" x14ac:dyDescent="0.3">
      <c r="A499" t="s">
        <v>505</v>
      </c>
      <c r="B499">
        <v>25</v>
      </c>
      <c r="C499">
        <v>8</v>
      </c>
      <c r="D499">
        <v>1</v>
      </c>
      <c r="E499">
        <v>7</v>
      </c>
      <c r="F499">
        <v>0.3</v>
      </c>
      <c r="G499">
        <v>0.5</v>
      </c>
      <c r="H499">
        <v>4</v>
      </c>
    </row>
    <row r="500" spans="1:8" x14ac:dyDescent="0.3">
      <c r="A500" t="s">
        <v>506</v>
      </c>
      <c r="B500">
        <v>17</v>
      </c>
      <c r="C500">
        <v>6</v>
      </c>
      <c r="D500">
        <v>0</v>
      </c>
      <c r="E500">
        <v>6</v>
      </c>
      <c r="F500">
        <v>0.4</v>
      </c>
      <c r="G500">
        <v>0.17</v>
      </c>
      <c r="H500">
        <v>1</v>
      </c>
    </row>
    <row r="501" spans="1:8" x14ac:dyDescent="0.3">
      <c r="A501" t="s">
        <v>507</v>
      </c>
      <c r="B501">
        <v>15</v>
      </c>
      <c r="C501">
        <v>7</v>
      </c>
      <c r="D501">
        <v>0</v>
      </c>
      <c r="E501">
        <v>7</v>
      </c>
      <c r="F501">
        <v>0.5</v>
      </c>
      <c r="G501">
        <v>0</v>
      </c>
    </row>
    <row r="502" spans="1:8" x14ac:dyDescent="0.3">
      <c r="A502" t="s">
        <v>508</v>
      </c>
      <c r="B502">
        <v>20</v>
      </c>
      <c r="C502">
        <v>8</v>
      </c>
      <c r="D502">
        <v>0</v>
      </c>
      <c r="E502">
        <v>8</v>
      </c>
      <c r="F502">
        <v>0.4</v>
      </c>
      <c r="G502">
        <v>0</v>
      </c>
    </row>
    <row r="503" spans="1:8" x14ac:dyDescent="0.3">
      <c r="A503" t="s">
        <v>509</v>
      </c>
      <c r="B503">
        <v>21</v>
      </c>
      <c r="C503">
        <v>10</v>
      </c>
      <c r="D503">
        <v>1</v>
      </c>
      <c r="E503">
        <v>8</v>
      </c>
      <c r="F503">
        <v>0.5</v>
      </c>
      <c r="G503">
        <v>0.3</v>
      </c>
      <c r="H503">
        <v>3</v>
      </c>
    </row>
    <row r="504" spans="1:8" x14ac:dyDescent="0.3">
      <c r="A504" t="s">
        <v>510</v>
      </c>
      <c r="B504">
        <v>31</v>
      </c>
      <c r="C504">
        <v>12</v>
      </c>
      <c r="D504">
        <v>1</v>
      </c>
      <c r="E504">
        <v>11</v>
      </c>
      <c r="F504">
        <v>0.4</v>
      </c>
      <c r="G504">
        <v>0.33</v>
      </c>
      <c r="H504">
        <v>4</v>
      </c>
    </row>
    <row r="505" spans="1:8" x14ac:dyDescent="0.3">
      <c r="A505" t="s">
        <v>511</v>
      </c>
      <c r="B505">
        <v>43</v>
      </c>
      <c r="C505">
        <v>17</v>
      </c>
      <c r="D505">
        <v>1</v>
      </c>
      <c r="E505">
        <v>16</v>
      </c>
      <c r="F505">
        <v>0.4</v>
      </c>
      <c r="G505">
        <v>0.18</v>
      </c>
      <c r="H505">
        <v>3</v>
      </c>
    </row>
    <row r="506" spans="1:8" x14ac:dyDescent="0.3">
      <c r="A506" t="s">
        <v>512</v>
      </c>
      <c r="B506">
        <v>58</v>
      </c>
      <c r="C506">
        <v>21</v>
      </c>
      <c r="D506">
        <v>5</v>
      </c>
      <c r="E506">
        <v>16</v>
      </c>
      <c r="F506">
        <v>0.4</v>
      </c>
      <c r="G506">
        <v>0.71</v>
      </c>
      <c r="H506">
        <v>15</v>
      </c>
    </row>
    <row r="507" spans="1:8" x14ac:dyDescent="0.3">
      <c r="A507" t="s">
        <v>513</v>
      </c>
      <c r="B507">
        <v>66</v>
      </c>
      <c r="C507">
        <v>28</v>
      </c>
      <c r="D507">
        <v>5</v>
      </c>
      <c r="E507">
        <v>23</v>
      </c>
      <c r="F507">
        <v>0.4</v>
      </c>
      <c r="G507">
        <v>0.56999999999999995</v>
      </c>
      <c r="H507">
        <v>16</v>
      </c>
    </row>
    <row r="508" spans="1:8" x14ac:dyDescent="0.3">
      <c r="A508" t="s">
        <v>514</v>
      </c>
      <c r="B508">
        <v>85</v>
      </c>
      <c r="C508">
        <v>36</v>
      </c>
      <c r="D508">
        <v>6</v>
      </c>
      <c r="E508">
        <v>30</v>
      </c>
      <c r="F508">
        <v>0.4</v>
      </c>
      <c r="G508">
        <v>0.53</v>
      </c>
      <c r="H508">
        <v>19</v>
      </c>
    </row>
    <row r="509" spans="1:8" x14ac:dyDescent="0.3">
      <c r="A509" t="s">
        <v>515</v>
      </c>
      <c r="B509">
        <v>84</v>
      </c>
      <c r="C509">
        <v>41</v>
      </c>
      <c r="D509">
        <v>5</v>
      </c>
      <c r="E509">
        <v>36</v>
      </c>
      <c r="F509">
        <v>0.5</v>
      </c>
      <c r="G509">
        <v>0.32</v>
      </c>
      <c r="H509">
        <v>13</v>
      </c>
    </row>
    <row r="510" spans="1:8" x14ac:dyDescent="0.3">
      <c r="A510" t="s">
        <v>516</v>
      </c>
      <c r="B510">
        <v>89</v>
      </c>
      <c r="C510">
        <v>37</v>
      </c>
      <c r="D510">
        <v>4</v>
      </c>
      <c r="E510">
        <v>33</v>
      </c>
      <c r="F510">
        <v>0.4</v>
      </c>
      <c r="G510">
        <v>0.32</v>
      </c>
      <c r="H510">
        <v>12</v>
      </c>
    </row>
    <row r="511" spans="1:8" x14ac:dyDescent="0.3">
      <c r="A511" t="s">
        <v>517</v>
      </c>
      <c r="B511">
        <v>83</v>
      </c>
      <c r="C511">
        <v>33</v>
      </c>
      <c r="D511">
        <v>8</v>
      </c>
      <c r="E511">
        <v>26</v>
      </c>
      <c r="F511">
        <v>0.4</v>
      </c>
      <c r="G511">
        <v>0.21</v>
      </c>
      <c r="H511">
        <v>7</v>
      </c>
    </row>
    <row r="512" spans="1:8" x14ac:dyDescent="0.3">
      <c r="A512" t="s">
        <v>518</v>
      </c>
      <c r="B512">
        <v>84</v>
      </c>
      <c r="C512">
        <v>34</v>
      </c>
      <c r="D512">
        <v>4</v>
      </c>
      <c r="E512">
        <v>30</v>
      </c>
      <c r="F512">
        <v>0.4</v>
      </c>
      <c r="G512">
        <v>0.56000000000000005</v>
      </c>
      <c r="H512">
        <v>19</v>
      </c>
    </row>
    <row r="513" spans="1:8" x14ac:dyDescent="0.3">
      <c r="A513" t="s">
        <v>519</v>
      </c>
      <c r="B513">
        <v>75</v>
      </c>
      <c r="C513">
        <v>30</v>
      </c>
      <c r="D513">
        <v>4</v>
      </c>
      <c r="E513">
        <v>26</v>
      </c>
      <c r="F513">
        <v>0.4</v>
      </c>
      <c r="G513">
        <v>0.3</v>
      </c>
      <c r="H513">
        <v>9</v>
      </c>
    </row>
    <row r="514" spans="1:8" x14ac:dyDescent="0.3">
      <c r="A514" t="s">
        <v>520</v>
      </c>
      <c r="B514">
        <v>72</v>
      </c>
      <c r="C514">
        <v>31</v>
      </c>
      <c r="D514">
        <v>4</v>
      </c>
      <c r="E514">
        <v>27</v>
      </c>
      <c r="F514">
        <v>0.4</v>
      </c>
      <c r="G514">
        <v>0.42</v>
      </c>
      <c r="H514">
        <v>13</v>
      </c>
    </row>
    <row r="515" spans="1:8" x14ac:dyDescent="0.3">
      <c r="A515" t="s">
        <v>521</v>
      </c>
      <c r="B515">
        <v>60</v>
      </c>
      <c r="C515">
        <v>28</v>
      </c>
      <c r="D515">
        <v>5</v>
      </c>
      <c r="E515">
        <v>23</v>
      </c>
      <c r="F515">
        <v>0.5</v>
      </c>
      <c r="G515">
        <v>0.39</v>
      </c>
      <c r="H515">
        <v>11</v>
      </c>
    </row>
    <row r="516" spans="1:8" x14ac:dyDescent="0.3">
      <c r="A516" t="s">
        <v>522</v>
      </c>
      <c r="B516">
        <v>48</v>
      </c>
      <c r="C516">
        <v>19</v>
      </c>
      <c r="D516">
        <v>4</v>
      </c>
      <c r="E516">
        <v>15</v>
      </c>
      <c r="F516">
        <v>0.4</v>
      </c>
      <c r="G516">
        <v>0.37</v>
      </c>
      <c r="H516">
        <v>7</v>
      </c>
    </row>
    <row r="517" spans="1:8" x14ac:dyDescent="0.3">
      <c r="A517" t="s">
        <v>523</v>
      </c>
      <c r="B517">
        <v>47</v>
      </c>
      <c r="C517">
        <v>18</v>
      </c>
      <c r="D517">
        <v>5</v>
      </c>
      <c r="E517">
        <v>13</v>
      </c>
      <c r="F517">
        <v>0.4</v>
      </c>
      <c r="G517">
        <v>0.33</v>
      </c>
      <c r="H517">
        <v>6</v>
      </c>
    </row>
    <row r="518" spans="1:8" x14ac:dyDescent="0.3">
      <c r="A518" t="s">
        <v>524</v>
      </c>
      <c r="B518">
        <v>42</v>
      </c>
      <c r="C518">
        <v>15</v>
      </c>
      <c r="D518">
        <v>4</v>
      </c>
      <c r="E518">
        <v>11</v>
      </c>
      <c r="F518">
        <v>0.4</v>
      </c>
      <c r="G518">
        <v>0.67</v>
      </c>
      <c r="H518">
        <v>10</v>
      </c>
    </row>
    <row r="519" spans="1:8" x14ac:dyDescent="0.3">
      <c r="A519" t="s">
        <v>525</v>
      </c>
      <c r="B519">
        <v>43</v>
      </c>
      <c r="C519">
        <v>12</v>
      </c>
      <c r="D519">
        <v>3</v>
      </c>
      <c r="E519">
        <v>9</v>
      </c>
      <c r="F519">
        <v>0.3</v>
      </c>
      <c r="G519">
        <v>0.75</v>
      </c>
      <c r="H519">
        <v>9</v>
      </c>
    </row>
    <row r="520" spans="1:8" x14ac:dyDescent="0.3">
      <c r="A520" t="s">
        <v>526</v>
      </c>
      <c r="B520">
        <v>28</v>
      </c>
      <c r="C520">
        <v>12</v>
      </c>
      <c r="D520">
        <v>0</v>
      </c>
      <c r="E520">
        <v>12</v>
      </c>
      <c r="F520">
        <v>0.4</v>
      </c>
      <c r="G520">
        <v>0.17</v>
      </c>
      <c r="H520">
        <v>2</v>
      </c>
    </row>
    <row r="521" spans="1:8" x14ac:dyDescent="0.3">
      <c r="A521" t="s">
        <v>527</v>
      </c>
      <c r="B521">
        <v>29</v>
      </c>
      <c r="C521">
        <v>10</v>
      </c>
      <c r="D521">
        <v>2</v>
      </c>
      <c r="E521">
        <v>8</v>
      </c>
      <c r="F521">
        <v>0.3</v>
      </c>
      <c r="G521">
        <v>0.3</v>
      </c>
      <c r="H521">
        <v>3</v>
      </c>
    </row>
    <row r="522" spans="1:8" x14ac:dyDescent="0.3">
      <c r="A522" t="s">
        <v>528</v>
      </c>
      <c r="B522">
        <v>24</v>
      </c>
      <c r="C522">
        <v>10</v>
      </c>
      <c r="D522">
        <v>1</v>
      </c>
      <c r="E522">
        <v>9</v>
      </c>
      <c r="F522">
        <v>0.4</v>
      </c>
      <c r="G522">
        <v>0.3</v>
      </c>
      <c r="H522">
        <v>3</v>
      </c>
    </row>
    <row r="523" spans="1:8" x14ac:dyDescent="0.3">
      <c r="A523" t="s">
        <v>529</v>
      </c>
      <c r="B523">
        <v>34</v>
      </c>
      <c r="C523">
        <v>13</v>
      </c>
      <c r="D523">
        <v>2</v>
      </c>
      <c r="E523">
        <v>12</v>
      </c>
      <c r="F523">
        <v>0.4</v>
      </c>
      <c r="G523">
        <v>0.08</v>
      </c>
      <c r="H523">
        <v>1</v>
      </c>
    </row>
    <row r="524" spans="1:8" x14ac:dyDescent="0.3">
      <c r="A524" t="s">
        <v>530</v>
      </c>
      <c r="B524">
        <v>46</v>
      </c>
      <c r="C524">
        <v>20</v>
      </c>
      <c r="D524">
        <v>4</v>
      </c>
      <c r="E524">
        <v>16</v>
      </c>
      <c r="F524">
        <v>0.4</v>
      </c>
      <c r="G524">
        <v>0.55000000000000004</v>
      </c>
      <c r="H524">
        <v>11</v>
      </c>
    </row>
    <row r="525" spans="1:8" x14ac:dyDescent="0.3">
      <c r="A525" t="s">
        <v>531</v>
      </c>
      <c r="B525">
        <v>56</v>
      </c>
      <c r="C525">
        <v>24</v>
      </c>
      <c r="D525">
        <v>8</v>
      </c>
      <c r="E525">
        <v>16</v>
      </c>
      <c r="F525">
        <v>0.4</v>
      </c>
      <c r="G525">
        <v>1</v>
      </c>
      <c r="H525">
        <v>24</v>
      </c>
    </row>
    <row r="526" spans="1:8" x14ac:dyDescent="0.3">
      <c r="A526" t="s">
        <v>532</v>
      </c>
      <c r="B526">
        <v>71</v>
      </c>
      <c r="C526">
        <v>32</v>
      </c>
      <c r="D526">
        <v>6</v>
      </c>
      <c r="E526">
        <v>25</v>
      </c>
      <c r="F526">
        <v>0.5</v>
      </c>
      <c r="G526">
        <v>0.59</v>
      </c>
      <c r="H526">
        <v>19</v>
      </c>
    </row>
    <row r="527" spans="1:8" x14ac:dyDescent="0.3">
      <c r="A527" t="s">
        <v>533</v>
      </c>
      <c r="B527">
        <v>78</v>
      </c>
      <c r="C527">
        <v>34</v>
      </c>
      <c r="D527">
        <v>8</v>
      </c>
      <c r="E527">
        <v>26</v>
      </c>
      <c r="F527">
        <v>0.4</v>
      </c>
      <c r="G527">
        <v>0.62</v>
      </c>
      <c r="H527">
        <v>21</v>
      </c>
    </row>
    <row r="528" spans="1:8" x14ac:dyDescent="0.3">
      <c r="A528" t="s">
        <v>534</v>
      </c>
      <c r="B528">
        <v>93</v>
      </c>
      <c r="C528">
        <v>44</v>
      </c>
      <c r="D528">
        <v>13</v>
      </c>
      <c r="E528">
        <v>31</v>
      </c>
      <c r="F528">
        <v>0.5</v>
      </c>
      <c r="G528">
        <v>0.59</v>
      </c>
      <c r="H528">
        <v>26</v>
      </c>
    </row>
    <row r="529" spans="1:8" x14ac:dyDescent="0.3">
      <c r="A529" t="s">
        <v>535</v>
      </c>
      <c r="B529">
        <v>97</v>
      </c>
      <c r="C529">
        <v>42</v>
      </c>
      <c r="D529">
        <v>14</v>
      </c>
      <c r="E529">
        <v>28</v>
      </c>
      <c r="F529">
        <v>0.4</v>
      </c>
      <c r="G529">
        <v>1</v>
      </c>
      <c r="H529">
        <v>42</v>
      </c>
    </row>
    <row r="530" spans="1:8" x14ac:dyDescent="0.3">
      <c r="A530" t="s">
        <v>536</v>
      </c>
      <c r="B530">
        <v>105</v>
      </c>
      <c r="C530">
        <v>51</v>
      </c>
      <c r="D530">
        <v>7</v>
      </c>
      <c r="E530">
        <v>44</v>
      </c>
      <c r="F530">
        <v>0.5</v>
      </c>
      <c r="G530">
        <v>0.51</v>
      </c>
      <c r="H530">
        <v>26</v>
      </c>
    </row>
    <row r="531" spans="1:8" x14ac:dyDescent="0.3">
      <c r="A531" t="s">
        <v>537</v>
      </c>
      <c r="B531">
        <v>110</v>
      </c>
      <c r="C531">
        <v>51</v>
      </c>
      <c r="D531">
        <v>6</v>
      </c>
      <c r="E531">
        <v>45</v>
      </c>
      <c r="F531">
        <v>0.5</v>
      </c>
      <c r="G531">
        <v>0.31</v>
      </c>
      <c r="H531">
        <v>16</v>
      </c>
    </row>
    <row r="532" spans="1:8" x14ac:dyDescent="0.3">
      <c r="A532" t="s">
        <v>538</v>
      </c>
      <c r="B532">
        <v>116</v>
      </c>
      <c r="C532">
        <v>56</v>
      </c>
      <c r="D532">
        <v>8</v>
      </c>
      <c r="E532">
        <v>48</v>
      </c>
      <c r="F532">
        <v>0.5</v>
      </c>
      <c r="G532">
        <v>0.38</v>
      </c>
      <c r="H532">
        <v>21</v>
      </c>
    </row>
    <row r="533" spans="1:8" x14ac:dyDescent="0.3">
      <c r="A533" t="s">
        <v>539</v>
      </c>
      <c r="B533">
        <v>112</v>
      </c>
      <c r="C533">
        <v>51</v>
      </c>
      <c r="D533">
        <v>8</v>
      </c>
      <c r="E533">
        <v>43</v>
      </c>
      <c r="F533">
        <v>0.5</v>
      </c>
      <c r="G533">
        <v>0.43</v>
      </c>
      <c r="H533">
        <v>22</v>
      </c>
    </row>
    <row r="534" spans="1:8" x14ac:dyDescent="0.3">
      <c r="A534" t="s">
        <v>540</v>
      </c>
      <c r="B534">
        <v>108</v>
      </c>
      <c r="C534">
        <v>46</v>
      </c>
      <c r="D534">
        <v>5</v>
      </c>
      <c r="E534">
        <v>41</v>
      </c>
      <c r="F534">
        <v>0.4</v>
      </c>
      <c r="G534">
        <v>0.37</v>
      </c>
      <c r="H534">
        <v>17</v>
      </c>
    </row>
    <row r="535" spans="1:8" x14ac:dyDescent="0.3">
      <c r="A535" t="s">
        <v>541</v>
      </c>
      <c r="B535">
        <v>100</v>
      </c>
      <c r="C535">
        <v>40</v>
      </c>
      <c r="D535">
        <v>3</v>
      </c>
      <c r="E535">
        <v>36</v>
      </c>
      <c r="F535">
        <v>0.4</v>
      </c>
      <c r="G535">
        <v>0.15</v>
      </c>
      <c r="H535">
        <v>6</v>
      </c>
    </row>
    <row r="536" spans="1:8" x14ac:dyDescent="0.3">
      <c r="A536" t="s">
        <v>542</v>
      </c>
      <c r="B536">
        <v>85</v>
      </c>
      <c r="C536">
        <v>34</v>
      </c>
      <c r="D536">
        <v>5</v>
      </c>
      <c r="E536">
        <v>30</v>
      </c>
      <c r="F536">
        <v>0.4</v>
      </c>
      <c r="G536">
        <v>0.35</v>
      </c>
      <c r="H536">
        <v>12</v>
      </c>
    </row>
    <row r="537" spans="1:8" x14ac:dyDescent="0.3">
      <c r="A537" t="s">
        <v>543</v>
      </c>
      <c r="B537">
        <v>69</v>
      </c>
      <c r="C537">
        <v>25</v>
      </c>
      <c r="D537">
        <v>6</v>
      </c>
      <c r="E537">
        <v>19</v>
      </c>
      <c r="F537">
        <v>0.4</v>
      </c>
      <c r="G537">
        <v>0.44</v>
      </c>
      <c r="H537">
        <v>11</v>
      </c>
    </row>
    <row r="538" spans="1:8" x14ac:dyDescent="0.3">
      <c r="A538" t="s">
        <v>544</v>
      </c>
      <c r="B538">
        <v>58</v>
      </c>
      <c r="C538">
        <v>22</v>
      </c>
      <c r="D538">
        <v>4</v>
      </c>
      <c r="E538">
        <v>18</v>
      </c>
      <c r="F538">
        <v>0.4</v>
      </c>
      <c r="G538">
        <v>0.32</v>
      </c>
      <c r="H538">
        <v>7</v>
      </c>
    </row>
    <row r="539" spans="1:8" x14ac:dyDescent="0.3">
      <c r="A539" t="s">
        <v>545</v>
      </c>
      <c r="B539">
        <v>62</v>
      </c>
      <c r="C539">
        <v>20</v>
      </c>
      <c r="D539">
        <v>4</v>
      </c>
      <c r="E539">
        <v>16</v>
      </c>
      <c r="F539">
        <v>0.3</v>
      </c>
      <c r="G539">
        <v>0.55000000000000004</v>
      </c>
      <c r="H539">
        <v>11</v>
      </c>
    </row>
    <row r="540" spans="1:8" x14ac:dyDescent="0.3">
      <c r="A540" t="s">
        <v>546</v>
      </c>
      <c r="B540">
        <v>66</v>
      </c>
      <c r="C540">
        <v>28</v>
      </c>
      <c r="D540">
        <v>2</v>
      </c>
      <c r="E540">
        <v>26</v>
      </c>
      <c r="F540">
        <v>0.4</v>
      </c>
      <c r="G540">
        <v>0.14000000000000001</v>
      </c>
      <c r="H540">
        <v>4</v>
      </c>
    </row>
    <row r="541" spans="1:8" x14ac:dyDescent="0.3">
      <c r="A541" t="s">
        <v>547</v>
      </c>
      <c r="B541">
        <v>60</v>
      </c>
      <c r="C541">
        <v>27</v>
      </c>
      <c r="D541">
        <v>7</v>
      </c>
      <c r="E541">
        <v>20</v>
      </c>
      <c r="F541">
        <v>0.5</v>
      </c>
      <c r="G541">
        <v>0.63</v>
      </c>
      <c r="H541">
        <v>17</v>
      </c>
    </row>
    <row r="542" spans="1:8" x14ac:dyDescent="0.3">
      <c r="A542" t="s">
        <v>548</v>
      </c>
      <c r="B542">
        <v>57</v>
      </c>
      <c r="C542">
        <v>24</v>
      </c>
      <c r="D542">
        <v>5</v>
      </c>
      <c r="E542">
        <v>18</v>
      </c>
      <c r="F542">
        <v>0.4</v>
      </c>
      <c r="G542">
        <v>0.42</v>
      </c>
      <c r="H542">
        <v>10</v>
      </c>
    </row>
    <row r="543" spans="1:8" x14ac:dyDescent="0.3">
      <c r="A543" t="s">
        <v>549</v>
      </c>
      <c r="B543">
        <v>51</v>
      </c>
      <c r="C543">
        <v>19</v>
      </c>
      <c r="D543">
        <v>6</v>
      </c>
      <c r="E543">
        <v>13</v>
      </c>
      <c r="F543">
        <v>0.4</v>
      </c>
      <c r="G543">
        <v>0.79</v>
      </c>
      <c r="H543">
        <v>15</v>
      </c>
    </row>
    <row r="544" spans="1:8" x14ac:dyDescent="0.3">
      <c r="A544" t="s">
        <v>550</v>
      </c>
      <c r="B544">
        <v>45</v>
      </c>
      <c r="C544">
        <v>17</v>
      </c>
      <c r="D544">
        <v>2</v>
      </c>
      <c r="E544">
        <v>15</v>
      </c>
      <c r="F544">
        <v>0.4</v>
      </c>
      <c r="G544">
        <v>0.28999999999999998</v>
      </c>
      <c r="H544">
        <v>5</v>
      </c>
    </row>
    <row r="545" spans="1:8" x14ac:dyDescent="0.3">
      <c r="A545" t="s">
        <v>551</v>
      </c>
      <c r="B545">
        <v>37</v>
      </c>
      <c r="C545">
        <v>15</v>
      </c>
      <c r="D545">
        <v>2</v>
      </c>
      <c r="E545">
        <v>13</v>
      </c>
      <c r="F545">
        <v>0.4</v>
      </c>
      <c r="G545">
        <v>0.27</v>
      </c>
      <c r="H545">
        <v>4</v>
      </c>
    </row>
    <row r="546" spans="1:8" x14ac:dyDescent="0.3">
      <c r="A546" t="s">
        <v>552</v>
      </c>
      <c r="B546">
        <v>34</v>
      </c>
      <c r="C546">
        <v>14</v>
      </c>
      <c r="D546">
        <v>1</v>
      </c>
      <c r="E546">
        <v>12</v>
      </c>
      <c r="F546">
        <v>0.4</v>
      </c>
      <c r="G546">
        <v>0.21</v>
      </c>
      <c r="H546">
        <v>3</v>
      </c>
    </row>
    <row r="547" spans="1:8" x14ac:dyDescent="0.3">
      <c r="A547" t="s">
        <v>553</v>
      </c>
      <c r="B547">
        <v>31</v>
      </c>
      <c r="C547">
        <v>12</v>
      </c>
      <c r="D547">
        <v>2</v>
      </c>
      <c r="E547">
        <v>11</v>
      </c>
      <c r="F547">
        <v>0.4</v>
      </c>
      <c r="G547">
        <v>0.33</v>
      </c>
      <c r="H547">
        <v>4</v>
      </c>
    </row>
    <row r="548" spans="1:8" x14ac:dyDescent="0.3">
      <c r="A548" t="s">
        <v>554</v>
      </c>
      <c r="B548">
        <v>36</v>
      </c>
      <c r="C548">
        <v>14</v>
      </c>
      <c r="D548">
        <v>3</v>
      </c>
      <c r="E548">
        <v>10</v>
      </c>
      <c r="F548">
        <v>0.4</v>
      </c>
      <c r="G548">
        <v>0.36</v>
      </c>
      <c r="H548">
        <v>5</v>
      </c>
    </row>
    <row r="549" spans="1:8" x14ac:dyDescent="0.3">
      <c r="A549" t="s">
        <v>555</v>
      </c>
      <c r="B549">
        <v>43</v>
      </c>
      <c r="C549">
        <v>18</v>
      </c>
      <c r="D549">
        <v>9</v>
      </c>
      <c r="E549">
        <v>9</v>
      </c>
      <c r="F549">
        <v>0.4</v>
      </c>
      <c r="G549">
        <v>1.1100000000000001</v>
      </c>
      <c r="H549">
        <v>20</v>
      </c>
    </row>
    <row r="550" spans="1:8" x14ac:dyDescent="0.3">
      <c r="A550" t="s">
        <v>556</v>
      </c>
      <c r="B550">
        <v>58</v>
      </c>
      <c r="C550">
        <v>24</v>
      </c>
      <c r="D550">
        <v>6</v>
      </c>
      <c r="E550">
        <v>17</v>
      </c>
      <c r="F550">
        <v>0.4</v>
      </c>
      <c r="G550">
        <v>0.71</v>
      </c>
      <c r="H550">
        <v>17</v>
      </c>
    </row>
    <row r="551" spans="1:8" x14ac:dyDescent="0.3">
      <c r="A551" t="s">
        <v>557</v>
      </c>
      <c r="B551">
        <v>72</v>
      </c>
      <c r="C551">
        <v>29</v>
      </c>
      <c r="D551">
        <v>8</v>
      </c>
      <c r="E551">
        <v>21</v>
      </c>
      <c r="F551">
        <v>0.4</v>
      </c>
      <c r="G551">
        <v>0.69</v>
      </c>
      <c r="H551">
        <v>20</v>
      </c>
    </row>
    <row r="552" spans="1:8" x14ac:dyDescent="0.3">
      <c r="A552" t="s">
        <v>558</v>
      </c>
      <c r="B552">
        <v>85</v>
      </c>
      <c r="C552">
        <v>34</v>
      </c>
      <c r="D552">
        <v>6</v>
      </c>
      <c r="E552">
        <v>28</v>
      </c>
      <c r="F552">
        <v>0.4</v>
      </c>
      <c r="G552">
        <v>0.53</v>
      </c>
      <c r="H552">
        <v>18</v>
      </c>
    </row>
    <row r="553" spans="1:8" x14ac:dyDescent="0.3">
      <c r="A553" t="s">
        <v>559</v>
      </c>
      <c r="B553">
        <v>96</v>
      </c>
      <c r="C553">
        <v>41</v>
      </c>
      <c r="D553">
        <v>9</v>
      </c>
      <c r="E553">
        <v>33</v>
      </c>
      <c r="F553">
        <v>0.4</v>
      </c>
      <c r="G553">
        <v>0.54</v>
      </c>
      <c r="H553">
        <v>22</v>
      </c>
    </row>
    <row r="554" spans="1:8" x14ac:dyDescent="0.3">
      <c r="A554" t="s">
        <v>560</v>
      </c>
      <c r="B554">
        <v>99</v>
      </c>
      <c r="C554">
        <v>38</v>
      </c>
      <c r="D554">
        <v>7</v>
      </c>
      <c r="E554">
        <v>31</v>
      </c>
      <c r="F554">
        <v>0.4</v>
      </c>
      <c r="G554">
        <v>0.66</v>
      </c>
      <c r="H554">
        <v>25</v>
      </c>
    </row>
    <row r="555" spans="1:8" x14ac:dyDescent="0.3">
      <c r="A555" t="s">
        <v>561</v>
      </c>
      <c r="B555">
        <v>109</v>
      </c>
      <c r="C555">
        <v>48</v>
      </c>
      <c r="D555">
        <v>7</v>
      </c>
      <c r="E555">
        <v>41</v>
      </c>
      <c r="F555">
        <v>0.4</v>
      </c>
      <c r="G555">
        <v>0.42</v>
      </c>
      <c r="H555">
        <v>20</v>
      </c>
    </row>
    <row r="556" spans="1:8" x14ac:dyDescent="0.3">
      <c r="A556" t="s">
        <v>562</v>
      </c>
      <c r="B556">
        <v>111</v>
      </c>
      <c r="C556">
        <v>48</v>
      </c>
      <c r="D556">
        <v>7</v>
      </c>
      <c r="E556">
        <v>41</v>
      </c>
      <c r="F556">
        <v>0.4</v>
      </c>
      <c r="G556">
        <v>0.42</v>
      </c>
      <c r="H556">
        <v>20</v>
      </c>
    </row>
    <row r="557" spans="1:8" x14ac:dyDescent="0.3">
      <c r="A557" t="s">
        <v>563</v>
      </c>
      <c r="B557">
        <v>118</v>
      </c>
      <c r="C557">
        <v>47</v>
      </c>
      <c r="D557">
        <v>6</v>
      </c>
      <c r="E557">
        <v>41</v>
      </c>
      <c r="F557">
        <v>0.4</v>
      </c>
      <c r="G557">
        <v>0.34</v>
      </c>
      <c r="H557">
        <v>16</v>
      </c>
    </row>
    <row r="558" spans="1:8" x14ac:dyDescent="0.3">
      <c r="A558" t="s">
        <v>564</v>
      </c>
      <c r="B558">
        <v>112</v>
      </c>
      <c r="C558">
        <v>51</v>
      </c>
      <c r="D558">
        <v>14</v>
      </c>
      <c r="E558">
        <v>36</v>
      </c>
      <c r="F558">
        <v>0.5</v>
      </c>
      <c r="G558">
        <v>0.47</v>
      </c>
      <c r="H558">
        <v>24</v>
      </c>
    </row>
    <row r="559" spans="1:8" x14ac:dyDescent="0.3">
      <c r="A559" t="s">
        <v>565</v>
      </c>
      <c r="B559">
        <v>91</v>
      </c>
      <c r="C559">
        <v>42</v>
      </c>
      <c r="D559">
        <v>23</v>
      </c>
      <c r="E559">
        <v>19</v>
      </c>
      <c r="F559">
        <v>0.5</v>
      </c>
      <c r="G559">
        <v>0.81</v>
      </c>
      <c r="H559">
        <v>34</v>
      </c>
    </row>
    <row r="560" spans="1:8" x14ac:dyDescent="0.3">
      <c r="A560" t="s">
        <v>566</v>
      </c>
      <c r="B560">
        <v>90</v>
      </c>
      <c r="C560">
        <v>37</v>
      </c>
      <c r="D560">
        <v>15</v>
      </c>
      <c r="E560">
        <v>22</v>
      </c>
      <c r="F560">
        <v>0.4</v>
      </c>
      <c r="G560">
        <v>0.78</v>
      </c>
      <c r="H560">
        <v>29</v>
      </c>
    </row>
    <row r="561" spans="1:8" x14ac:dyDescent="0.3">
      <c r="A561" t="s">
        <v>567</v>
      </c>
      <c r="B561">
        <v>86</v>
      </c>
      <c r="C561">
        <v>30</v>
      </c>
      <c r="D561">
        <v>8</v>
      </c>
      <c r="E561">
        <v>22</v>
      </c>
      <c r="F561">
        <v>0.3</v>
      </c>
      <c r="G561">
        <v>0.43</v>
      </c>
      <c r="H561">
        <v>13</v>
      </c>
    </row>
    <row r="562" spans="1:8" x14ac:dyDescent="0.3">
      <c r="A562" t="s">
        <v>568</v>
      </c>
      <c r="B562">
        <v>74</v>
      </c>
      <c r="C562">
        <v>26</v>
      </c>
      <c r="D562">
        <v>9</v>
      </c>
      <c r="E562">
        <v>16</v>
      </c>
      <c r="F562">
        <v>0.4</v>
      </c>
      <c r="G562">
        <v>0.65</v>
      </c>
      <c r="H562">
        <v>17</v>
      </c>
    </row>
    <row r="563" spans="1:8" x14ac:dyDescent="0.3">
      <c r="A563" t="s">
        <v>569</v>
      </c>
      <c r="B563">
        <v>67</v>
      </c>
      <c r="C563">
        <v>22</v>
      </c>
      <c r="D563">
        <v>7</v>
      </c>
      <c r="E563">
        <v>15</v>
      </c>
      <c r="F563">
        <v>0.3</v>
      </c>
      <c r="G563">
        <v>0.55000000000000004</v>
      </c>
      <c r="H563">
        <v>12</v>
      </c>
    </row>
    <row r="564" spans="1:8" x14ac:dyDescent="0.3">
      <c r="A564" t="s">
        <v>570</v>
      </c>
      <c r="B564">
        <v>71</v>
      </c>
      <c r="C564">
        <v>23</v>
      </c>
      <c r="D564">
        <v>5</v>
      </c>
      <c r="E564">
        <v>19</v>
      </c>
      <c r="F564">
        <v>0.3</v>
      </c>
      <c r="G564">
        <v>0.56999999999999995</v>
      </c>
      <c r="H564">
        <v>13</v>
      </c>
    </row>
    <row r="565" spans="1:8" x14ac:dyDescent="0.3">
      <c r="A565" t="s">
        <v>571</v>
      </c>
      <c r="B565">
        <v>74</v>
      </c>
      <c r="C565">
        <v>27</v>
      </c>
      <c r="D565">
        <v>6</v>
      </c>
      <c r="E565">
        <v>21</v>
      </c>
      <c r="F565">
        <v>0.4</v>
      </c>
      <c r="G565">
        <v>0.52</v>
      </c>
      <c r="H565">
        <v>14</v>
      </c>
    </row>
    <row r="566" spans="1:8" x14ac:dyDescent="0.3">
      <c r="A566" t="s">
        <v>572</v>
      </c>
      <c r="B566">
        <v>71</v>
      </c>
      <c r="C566">
        <v>27</v>
      </c>
      <c r="D566">
        <v>8</v>
      </c>
      <c r="E566">
        <v>19</v>
      </c>
      <c r="F566">
        <v>0.4</v>
      </c>
      <c r="G566">
        <v>0.52</v>
      </c>
      <c r="H566">
        <v>14</v>
      </c>
    </row>
    <row r="567" spans="1:8" x14ac:dyDescent="0.3">
      <c r="A567" t="s">
        <v>573</v>
      </c>
      <c r="B567">
        <v>75</v>
      </c>
      <c r="C567">
        <v>28</v>
      </c>
      <c r="D567">
        <v>12</v>
      </c>
      <c r="E567">
        <v>17</v>
      </c>
      <c r="F567">
        <v>0.4</v>
      </c>
      <c r="G567">
        <v>0.68</v>
      </c>
      <c r="H567">
        <v>19</v>
      </c>
    </row>
    <row r="568" spans="1:8" x14ac:dyDescent="0.3">
      <c r="A568" t="s">
        <v>574</v>
      </c>
      <c r="B568">
        <v>70</v>
      </c>
      <c r="C568">
        <v>26</v>
      </c>
      <c r="D568">
        <v>16</v>
      </c>
      <c r="E568">
        <v>10</v>
      </c>
      <c r="F568">
        <v>0.4</v>
      </c>
      <c r="G568">
        <v>1.23</v>
      </c>
      <c r="H568">
        <v>32</v>
      </c>
    </row>
    <row r="569" spans="1:8" x14ac:dyDescent="0.3">
      <c r="A569" t="s">
        <v>575</v>
      </c>
      <c r="B569">
        <v>58</v>
      </c>
      <c r="C569">
        <v>19</v>
      </c>
      <c r="D569">
        <v>11</v>
      </c>
      <c r="E569">
        <v>8</v>
      </c>
      <c r="F569">
        <v>0.3</v>
      </c>
      <c r="G569">
        <v>1.32</v>
      </c>
      <c r="H569">
        <v>25</v>
      </c>
    </row>
    <row r="570" spans="1:8" x14ac:dyDescent="0.3">
      <c r="A570" t="s">
        <v>576</v>
      </c>
      <c r="B570">
        <v>45</v>
      </c>
      <c r="C570">
        <v>15</v>
      </c>
      <c r="D570">
        <v>4</v>
      </c>
      <c r="E570">
        <v>11</v>
      </c>
      <c r="F570">
        <v>0.3</v>
      </c>
      <c r="G570">
        <v>0.73</v>
      </c>
      <c r="H570">
        <v>11</v>
      </c>
    </row>
    <row r="571" spans="1:8" x14ac:dyDescent="0.3">
      <c r="A571" t="s">
        <v>577</v>
      </c>
      <c r="B571">
        <v>31</v>
      </c>
      <c r="C571">
        <v>10</v>
      </c>
      <c r="D571">
        <v>0</v>
      </c>
      <c r="E571">
        <v>10</v>
      </c>
      <c r="F571">
        <v>0.3</v>
      </c>
      <c r="G571">
        <v>0.1</v>
      </c>
      <c r="H571">
        <v>1</v>
      </c>
    </row>
    <row r="572" spans="1:8" x14ac:dyDescent="0.3">
      <c r="A572" t="s">
        <v>578</v>
      </c>
      <c r="B572">
        <v>24</v>
      </c>
      <c r="C572">
        <v>11</v>
      </c>
      <c r="D572">
        <v>0</v>
      </c>
      <c r="E572">
        <v>10</v>
      </c>
      <c r="F572">
        <v>0.5</v>
      </c>
      <c r="G572">
        <v>0.09</v>
      </c>
      <c r="H572">
        <v>1</v>
      </c>
    </row>
    <row r="573" spans="1:8" x14ac:dyDescent="0.3">
      <c r="A573" t="s">
        <v>579</v>
      </c>
      <c r="B573">
        <v>24</v>
      </c>
      <c r="C573">
        <v>8</v>
      </c>
      <c r="D573">
        <v>0</v>
      </c>
      <c r="E573">
        <v>8</v>
      </c>
      <c r="F573">
        <v>0.3</v>
      </c>
      <c r="G573">
        <v>0.13</v>
      </c>
      <c r="H573">
        <v>1</v>
      </c>
    </row>
    <row r="574" spans="1:8" x14ac:dyDescent="0.3">
      <c r="A574" t="s">
        <v>580</v>
      </c>
      <c r="B574">
        <v>26</v>
      </c>
      <c r="C574">
        <v>9</v>
      </c>
      <c r="D574">
        <v>1</v>
      </c>
      <c r="E574">
        <v>8</v>
      </c>
      <c r="F574">
        <v>0.3</v>
      </c>
      <c r="G574">
        <v>0.22</v>
      </c>
      <c r="H574">
        <v>2</v>
      </c>
    </row>
    <row r="575" spans="1:8" x14ac:dyDescent="0.3">
      <c r="A575" t="s">
        <v>581</v>
      </c>
      <c r="B575">
        <v>35</v>
      </c>
      <c r="C575">
        <v>11</v>
      </c>
      <c r="D575">
        <v>2</v>
      </c>
      <c r="E575">
        <v>9</v>
      </c>
      <c r="F575">
        <v>0.3</v>
      </c>
      <c r="G575">
        <v>0.55000000000000004</v>
      </c>
      <c r="H575">
        <v>6</v>
      </c>
    </row>
    <row r="576" spans="1:8" x14ac:dyDescent="0.3">
      <c r="A576" t="s">
        <v>582</v>
      </c>
      <c r="B576">
        <v>50</v>
      </c>
      <c r="C576">
        <v>18</v>
      </c>
      <c r="D576">
        <v>2</v>
      </c>
      <c r="E576">
        <v>16</v>
      </c>
      <c r="F576">
        <v>0.4</v>
      </c>
      <c r="G576">
        <v>0.28000000000000003</v>
      </c>
      <c r="H576">
        <v>5</v>
      </c>
    </row>
    <row r="577" spans="1:8" x14ac:dyDescent="0.3">
      <c r="A577" t="s">
        <v>583</v>
      </c>
      <c r="B577">
        <v>57</v>
      </c>
      <c r="C577">
        <v>23</v>
      </c>
      <c r="D577">
        <v>8</v>
      </c>
      <c r="E577">
        <v>15</v>
      </c>
      <c r="F577">
        <v>0.4</v>
      </c>
      <c r="G577">
        <v>0.7</v>
      </c>
      <c r="H577">
        <v>16</v>
      </c>
    </row>
    <row r="578" spans="1:8" x14ac:dyDescent="0.3">
      <c r="A578" t="s">
        <v>584</v>
      </c>
      <c r="B578">
        <v>72</v>
      </c>
      <c r="C578">
        <v>28</v>
      </c>
      <c r="D578">
        <v>11</v>
      </c>
      <c r="E578">
        <v>17</v>
      </c>
      <c r="F578">
        <v>0.4</v>
      </c>
      <c r="G578">
        <v>1.1100000000000001</v>
      </c>
      <c r="H578">
        <v>31</v>
      </c>
    </row>
    <row r="579" spans="1:8" x14ac:dyDescent="0.3">
      <c r="A579" t="s">
        <v>585</v>
      </c>
      <c r="B579">
        <v>93</v>
      </c>
      <c r="C579">
        <v>36</v>
      </c>
      <c r="D579">
        <v>7</v>
      </c>
      <c r="E579">
        <v>29</v>
      </c>
      <c r="F579">
        <v>0.4</v>
      </c>
      <c r="G579">
        <v>0.47</v>
      </c>
      <c r="H579">
        <v>17</v>
      </c>
    </row>
    <row r="580" spans="1:8" x14ac:dyDescent="0.3">
      <c r="A580" t="s">
        <v>586</v>
      </c>
      <c r="B580">
        <v>116</v>
      </c>
      <c r="C580">
        <v>44</v>
      </c>
      <c r="D580">
        <v>7</v>
      </c>
      <c r="E580">
        <v>37</v>
      </c>
      <c r="F580">
        <v>0.4</v>
      </c>
      <c r="G580">
        <v>0.41</v>
      </c>
      <c r="H580">
        <v>18</v>
      </c>
    </row>
    <row r="581" spans="1:8" x14ac:dyDescent="0.3">
      <c r="A581" t="s">
        <v>587</v>
      </c>
      <c r="B581">
        <v>123</v>
      </c>
      <c r="C581">
        <v>50</v>
      </c>
      <c r="D581">
        <v>8</v>
      </c>
      <c r="E581">
        <v>42</v>
      </c>
      <c r="F581">
        <v>0.4</v>
      </c>
      <c r="G581">
        <v>0.34</v>
      </c>
      <c r="H581">
        <v>17</v>
      </c>
    </row>
    <row r="582" spans="1:8" x14ac:dyDescent="0.3">
      <c r="A582" t="s">
        <v>588</v>
      </c>
      <c r="B582">
        <v>116</v>
      </c>
      <c r="C582">
        <v>45</v>
      </c>
      <c r="D582">
        <v>16</v>
      </c>
      <c r="E582">
        <v>28</v>
      </c>
      <c r="F582">
        <v>0.4</v>
      </c>
      <c r="G582">
        <v>0.71</v>
      </c>
      <c r="H582">
        <v>32</v>
      </c>
    </row>
    <row r="583" spans="1:8" x14ac:dyDescent="0.3">
      <c r="A583" t="s">
        <v>589</v>
      </c>
      <c r="B583">
        <v>106</v>
      </c>
      <c r="C583">
        <v>43</v>
      </c>
      <c r="D583">
        <v>23</v>
      </c>
      <c r="E583">
        <v>21</v>
      </c>
      <c r="F583">
        <v>0.4</v>
      </c>
      <c r="G583">
        <v>0.86</v>
      </c>
      <c r="H583">
        <v>37</v>
      </c>
    </row>
    <row r="584" spans="1:8" x14ac:dyDescent="0.3">
      <c r="A584" t="s">
        <v>590</v>
      </c>
      <c r="B584">
        <v>91</v>
      </c>
      <c r="C584">
        <v>34</v>
      </c>
      <c r="D584">
        <v>11</v>
      </c>
      <c r="E584">
        <v>23</v>
      </c>
      <c r="F584">
        <v>0.4</v>
      </c>
      <c r="G584">
        <v>0.62</v>
      </c>
      <c r="H584">
        <v>21</v>
      </c>
    </row>
    <row r="585" spans="1:8" x14ac:dyDescent="0.3">
      <c r="A585" t="s">
        <v>591</v>
      </c>
      <c r="B585">
        <v>101</v>
      </c>
      <c r="C585">
        <v>36</v>
      </c>
      <c r="D585">
        <v>6</v>
      </c>
      <c r="E585">
        <v>30</v>
      </c>
      <c r="F585">
        <v>0.4</v>
      </c>
      <c r="G585">
        <v>0.44</v>
      </c>
      <c r="H585">
        <v>16</v>
      </c>
    </row>
    <row r="586" spans="1:8" x14ac:dyDescent="0.3">
      <c r="A586" t="s">
        <v>592</v>
      </c>
      <c r="B586">
        <v>86</v>
      </c>
      <c r="C586">
        <v>32</v>
      </c>
      <c r="D586">
        <v>2</v>
      </c>
      <c r="E586">
        <v>30</v>
      </c>
      <c r="F586">
        <v>0.4</v>
      </c>
      <c r="G586">
        <v>0.16</v>
      </c>
      <c r="H586">
        <v>5</v>
      </c>
    </row>
    <row r="587" spans="1:8" x14ac:dyDescent="0.3">
      <c r="A587" t="s">
        <v>593</v>
      </c>
      <c r="B587">
        <v>71</v>
      </c>
      <c r="C587">
        <v>28</v>
      </c>
      <c r="D587">
        <v>3</v>
      </c>
      <c r="E587">
        <v>26</v>
      </c>
      <c r="F587">
        <v>0.4</v>
      </c>
      <c r="G587">
        <v>0.25</v>
      </c>
      <c r="H587">
        <v>7</v>
      </c>
    </row>
    <row r="588" spans="1:8" x14ac:dyDescent="0.3">
      <c r="A588" t="s">
        <v>594</v>
      </c>
      <c r="B588">
        <v>72</v>
      </c>
      <c r="C588">
        <v>26</v>
      </c>
      <c r="D588">
        <v>6</v>
      </c>
      <c r="E588">
        <v>20</v>
      </c>
      <c r="F588">
        <v>0.4</v>
      </c>
      <c r="G588">
        <v>0.35</v>
      </c>
      <c r="H588">
        <v>9</v>
      </c>
    </row>
    <row r="589" spans="1:8" x14ac:dyDescent="0.3">
      <c r="A589" t="s">
        <v>595</v>
      </c>
      <c r="B589">
        <v>73</v>
      </c>
      <c r="C589">
        <v>27</v>
      </c>
      <c r="D589">
        <v>4</v>
      </c>
      <c r="E589">
        <v>23</v>
      </c>
      <c r="F589">
        <v>0.4</v>
      </c>
      <c r="G589">
        <v>0.33</v>
      </c>
      <c r="H589">
        <v>9</v>
      </c>
    </row>
    <row r="590" spans="1:8" x14ac:dyDescent="0.3">
      <c r="A590" t="s">
        <v>596</v>
      </c>
      <c r="B590">
        <v>83</v>
      </c>
      <c r="C590">
        <v>36</v>
      </c>
      <c r="D590">
        <v>7</v>
      </c>
      <c r="E590">
        <v>28</v>
      </c>
      <c r="F590">
        <v>0.4</v>
      </c>
      <c r="G590">
        <v>0.33</v>
      </c>
      <c r="H590">
        <v>12</v>
      </c>
    </row>
    <row r="591" spans="1:8" x14ac:dyDescent="0.3">
      <c r="A591" t="s">
        <v>597</v>
      </c>
      <c r="B591">
        <v>83</v>
      </c>
      <c r="C591">
        <v>39</v>
      </c>
      <c r="D591">
        <v>9</v>
      </c>
      <c r="E591">
        <v>30</v>
      </c>
      <c r="F591">
        <v>0.5</v>
      </c>
      <c r="G591">
        <v>0.46</v>
      </c>
      <c r="H591">
        <v>18</v>
      </c>
    </row>
    <row r="592" spans="1:8" x14ac:dyDescent="0.3">
      <c r="A592" t="s">
        <v>598</v>
      </c>
      <c r="B592">
        <v>73</v>
      </c>
      <c r="C592">
        <v>31</v>
      </c>
      <c r="D592">
        <v>17</v>
      </c>
      <c r="E592">
        <v>14</v>
      </c>
      <c r="F592">
        <v>0.4</v>
      </c>
      <c r="G592">
        <v>1.03</v>
      </c>
      <c r="H592">
        <v>32</v>
      </c>
    </row>
    <row r="593" spans="1:8" x14ac:dyDescent="0.3">
      <c r="A593" t="s">
        <v>599</v>
      </c>
      <c r="B593">
        <v>66</v>
      </c>
      <c r="C593">
        <v>27</v>
      </c>
      <c r="D593">
        <v>13</v>
      </c>
      <c r="E593">
        <v>14</v>
      </c>
      <c r="F593">
        <v>0.4</v>
      </c>
      <c r="G593">
        <v>0.93</v>
      </c>
      <c r="H593">
        <v>25</v>
      </c>
    </row>
    <row r="594" spans="1:8" x14ac:dyDescent="0.3">
      <c r="A594" t="s">
        <v>600</v>
      </c>
      <c r="B594">
        <v>53</v>
      </c>
      <c r="C594">
        <v>18</v>
      </c>
      <c r="D594">
        <v>2</v>
      </c>
      <c r="E594">
        <v>16</v>
      </c>
      <c r="F594">
        <v>0.3</v>
      </c>
      <c r="G594">
        <v>0.44</v>
      </c>
      <c r="H594">
        <v>8</v>
      </c>
    </row>
    <row r="595" spans="1:8" x14ac:dyDescent="0.3">
      <c r="A595" t="s">
        <v>601</v>
      </c>
      <c r="B595">
        <v>37</v>
      </c>
      <c r="C595">
        <v>14</v>
      </c>
      <c r="D595">
        <v>0</v>
      </c>
      <c r="E595">
        <v>14</v>
      </c>
      <c r="F595">
        <v>0.4</v>
      </c>
      <c r="G595">
        <v>7.0000000000000007E-2</v>
      </c>
      <c r="H595">
        <v>1</v>
      </c>
    </row>
    <row r="596" spans="1:8" x14ac:dyDescent="0.3">
      <c r="A596" t="s">
        <v>602</v>
      </c>
      <c r="B596">
        <v>31</v>
      </c>
      <c r="C596">
        <v>16</v>
      </c>
      <c r="D596">
        <v>0</v>
      </c>
      <c r="E596">
        <v>16</v>
      </c>
      <c r="F596">
        <v>0.5</v>
      </c>
      <c r="G596">
        <v>0.06</v>
      </c>
      <c r="H596">
        <v>1</v>
      </c>
    </row>
    <row r="597" spans="1:8" x14ac:dyDescent="0.3">
      <c r="A597" t="s">
        <v>603</v>
      </c>
      <c r="B597">
        <v>25</v>
      </c>
      <c r="C597">
        <v>11</v>
      </c>
      <c r="D597">
        <v>0</v>
      </c>
      <c r="E597">
        <v>11</v>
      </c>
      <c r="F597">
        <v>0.4</v>
      </c>
      <c r="G597">
        <v>0</v>
      </c>
    </row>
    <row r="598" spans="1:8" x14ac:dyDescent="0.3">
      <c r="A598" t="s">
        <v>604</v>
      </c>
      <c r="B598">
        <v>22</v>
      </c>
      <c r="C598">
        <v>8</v>
      </c>
      <c r="D598">
        <v>1</v>
      </c>
      <c r="E598">
        <v>7</v>
      </c>
      <c r="F598">
        <v>0.4</v>
      </c>
      <c r="G598">
        <v>0.13</v>
      </c>
      <c r="H598">
        <v>1</v>
      </c>
    </row>
    <row r="599" spans="1:8" x14ac:dyDescent="0.3">
      <c r="A599" t="s">
        <v>605</v>
      </c>
      <c r="B599">
        <v>34</v>
      </c>
      <c r="C599">
        <v>13</v>
      </c>
      <c r="D599">
        <v>0</v>
      </c>
      <c r="E599">
        <v>12</v>
      </c>
      <c r="F599">
        <v>0.4</v>
      </c>
      <c r="G599">
        <v>0.08</v>
      </c>
      <c r="H599">
        <v>1</v>
      </c>
    </row>
    <row r="600" spans="1:8" x14ac:dyDescent="0.3">
      <c r="A600" t="s">
        <v>606</v>
      </c>
      <c r="B600">
        <v>53</v>
      </c>
      <c r="C600">
        <v>22</v>
      </c>
      <c r="D600">
        <v>2</v>
      </c>
      <c r="E600">
        <v>20</v>
      </c>
      <c r="F600">
        <v>0.4</v>
      </c>
      <c r="G600">
        <v>0.23</v>
      </c>
      <c r="H600">
        <v>5</v>
      </c>
    </row>
    <row r="601" spans="1:8" x14ac:dyDescent="0.3">
      <c r="A601" t="s">
        <v>607</v>
      </c>
      <c r="B601">
        <v>70</v>
      </c>
      <c r="C601">
        <v>27</v>
      </c>
      <c r="D601">
        <v>8</v>
      </c>
      <c r="E601">
        <v>19</v>
      </c>
      <c r="F601">
        <v>0.4</v>
      </c>
      <c r="G601">
        <v>0.63</v>
      </c>
      <c r="H601">
        <v>17</v>
      </c>
    </row>
    <row r="602" spans="1:8" x14ac:dyDescent="0.3">
      <c r="A602" t="s">
        <v>608</v>
      </c>
      <c r="B602">
        <v>75</v>
      </c>
      <c r="C602">
        <v>37</v>
      </c>
      <c r="D602">
        <v>12</v>
      </c>
      <c r="E602">
        <v>24</v>
      </c>
      <c r="F602">
        <v>0.5</v>
      </c>
      <c r="G602">
        <v>1</v>
      </c>
      <c r="H602">
        <v>37</v>
      </c>
    </row>
    <row r="603" spans="1:8" x14ac:dyDescent="0.3">
      <c r="A603" t="s">
        <v>609</v>
      </c>
      <c r="B603">
        <v>87</v>
      </c>
      <c r="C603">
        <v>40</v>
      </c>
      <c r="D603">
        <v>7</v>
      </c>
      <c r="E603">
        <v>32</v>
      </c>
      <c r="F603">
        <v>0.5</v>
      </c>
      <c r="G603">
        <v>0.68</v>
      </c>
      <c r="H603">
        <v>27</v>
      </c>
    </row>
    <row r="604" spans="1:8" x14ac:dyDescent="0.3">
      <c r="A604" t="s">
        <v>610</v>
      </c>
      <c r="B604">
        <v>110</v>
      </c>
      <c r="C604">
        <v>44</v>
      </c>
      <c r="D604">
        <v>6</v>
      </c>
      <c r="E604">
        <v>38</v>
      </c>
      <c r="F604">
        <v>0.4</v>
      </c>
      <c r="G604">
        <v>0.41</v>
      </c>
      <c r="H604">
        <v>18</v>
      </c>
    </row>
    <row r="605" spans="1:8" x14ac:dyDescent="0.3">
      <c r="A605" t="s">
        <v>611</v>
      </c>
      <c r="B605">
        <v>115</v>
      </c>
      <c r="C605">
        <v>53</v>
      </c>
      <c r="D605">
        <v>8</v>
      </c>
      <c r="E605">
        <v>45</v>
      </c>
      <c r="F605">
        <v>0.5</v>
      </c>
      <c r="G605">
        <v>0.32</v>
      </c>
      <c r="H605">
        <v>17</v>
      </c>
    </row>
    <row r="606" spans="1:8" x14ac:dyDescent="0.3">
      <c r="A606" t="s">
        <v>612</v>
      </c>
      <c r="B606">
        <v>115</v>
      </c>
      <c r="C606">
        <v>49</v>
      </c>
      <c r="D606">
        <v>18</v>
      </c>
      <c r="E606">
        <v>32</v>
      </c>
      <c r="F606">
        <v>0.4</v>
      </c>
      <c r="G606">
        <v>0.61</v>
      </c>
      <c r="H606">
        <v>30</v>
      </c>
    </row>
    <row r="607" spans="1:8" x14ac:dyDescent="0.3">
      <c r="A607" t="s">
        <v>613</v>
      </c>
      <c r="B607">
        <v>102</v>
      </c>
      <c r="C607">
        <v>40</v>
      </c>
      <c r="D607">
        <v>23</v>
      </c>
      <c r="E607">
        <v>17</v>
      </c>
      <c r="F607">
        <v>0.4</v>
      </c>
      <c r="G607">
        <v>1.07</v>
      </c>
      <c r="H607">
        <v>43</v>
      </c>
    </row>
    <row r="608" spans="1:8" x14ac:dyDescent="0.3">
      <c r="A608" t="s">
        <v>614</v>
      </c>
      <c r="B608">
        <v>102</v>
      </c>
      <c r="C608">
        <v>45</v>
      </c>
      <c r="D608">
        <v>8</v>
      </c>
      <c r="E608">
        <v>37</v>
      </c>
      <c r="F608">
        <v>0.4</v>
      </c>
      <c r="G608">
        <v>0.53</v>
      </c>
      <c r="H608">
        <v>24</v>
      </c>
    </row>
    <row r="609" spans="1:8" x14ac:dyDescent="0.3">
      <c r="A609" t="s">
        <v>615</v>
      </c>
      <c r="B609">
        <v>89</v>
      </c>
      <c r="C609">
        <v>32</v>
      </c>
      <c r="D609">
        <v>3</v>
      </c>
      <c r="E609">
        <v>29</v>
      </c>
      <c r="F609">
        <v>0.4</v>
      </c>
      <c r="G609">
        <v>0.19</v>
      </c>
      <c r="H609">
        <v>6</v>
      </c>
    </row>
    <row r="610" spans="1:8" x14ac:dyDescent="0.3">
      <c r="A610" t="s">
        <v>616</v>
      </c>
      <c r="B610">
        <v>76</v>
      </c>
      <c r="C610">
        <v>24</v>
      </c>
      <c r="D610">
        <v>2</v>
      </c>
      <c r="E610">
        <v>22</v>
      </c>
      <c r="F610">
        <v>0.3</v>
      </c>
      <c r="G610">
        <v>0.25</v>
      </c>
      <c r="H610">
        <v>6</v>
      </c>
    </row>
    <row r="611" spans="1:8" x14ac:dyDescent="0.3">
      <c r="A611" t="s">
        <v>617</v>
      </c>
      <c r="B611">
        <v>78</v>
      </c>
      <c r="C611">
        <v>26</v>
      </c>
      <c r="D611">
        <v>3</v>
      </c>
      <c r="E611">
        <v>23</v>
      </c>
      <c r="F611">
        <v>0.3</v>
      </c>
      <c r="G611">
        <v>0.19</v>
      </c>
      <c r="H611">
        <v>5</v>
      </c>
    </row>
    <row r="612" spans="1:8" x14ac:dyDescent="0.3">
      <c r="A612" t="s">
        <v>618</v>
      </c>
      <c r="B612">
        <v>76</v>
      </c>
      <c r="C612">
        <v>24</v>
      </c>
      <c r="D612">
        <v>5</v>
      </c>
      <c r="E612">
        <v>19</v>
      </c>
      <c r="F612">
        <v>0.3</v>
      </c>
      <c r="G612">
        <v>0.33</v>
      </c>
      <c r="H612">
        <v>8</v>
      </c>
    </row>
    <row r="613" spans="1:8" x14ac:dyDescent="0.3">
      <c r="A613" t="s">
        <v>619</v>
      </c>
      <c r="B613">
        <v>75</v>
      </c>
      <c r="C613">
        <v>32</v>
      </c>
      <c r="D613">
        <v>2</v>
      </c>
      <c r="E613">
        <v>30</v>
      </c>
      <c r="F613">
        <v>0.4</v>
      </c>
      <c r="G613">
        <v>0.19</v>
      </c>
      <c r="H613">
        <v>6</v>
      </c>
    </row>
    <row r="614" spans="1:8" x14ac:dyDescent="0.3">
      <c r="A614" t="s">
        <v>620</v>
      </c>
      <c r="B614">
        <v>87</v>
      </c>
      <c r="C614">
        <v>33</v>
      </c>
      <c r="D614">
        <v>6</v>
      </c>
      <c r="E614">
        <v>28</v>
      </c>
      <c r="F614">
        <v>0.4</v>
      </c>
      <c r="G614">
        <v>0.27</v>
      </c>
      <c r="H614">
        <v>9</v>
      </c>
    </row>
    <row r="615" spans="1:8" x14ac:dyDescent="0.3">
      <c r="A615" t="s">
        <v>621</v>
      </c>
      <c r="B615">
        <v>92</v>
      </c>
      <c r="C615">
        <v>41</v>
      </c>
      <c r="D615">
        <v>9</v>
      </c>
      <c r="E615">
        <v>32</v>
      </c>
      <c r="F615">
        <v>0.4</v>
      </c>
      <c r="G615">
        <v>0.34</v>
      </c>
      <c r="H615">
        <v>14</v>
      </c>
    </row>
    <row r="616" spans="1:8" x14ac:dyDescent="0.3">
      <c r="A616" t="s">
        <v>622</v>
      </c>
      <c r="B616">
        <v>80</v>
      </c>
      <c r="C616">
        <v>34</v>
      </c>
      <c r="D616">
        <v>17</v>
      </c>
      <c r="E616">
        <v>17</v>
      </c>
      <c r="F616">
        <v>0.4</v>
      </c>
      <c r="G616">
        <v>0.88</v>
      </c>
      <c r="H616">
        <v>30</v>
      </c>
    </row>
    <row r="617" spans="1:8" x14ac:dyDescent="0.3">
      <c r="A617" t="s">
        <v>623</v>
      </c>
      <c r="B617">
        <v>69</v>
      </c>
      <c r="C617">
        <v>29</v>
      </c>
      <c r="D617">
        <v>13</v>
      </c>
      <c r="E617">
        <v>16</v>
      </c>
      <c r="F617">
        <v>0.4</v>
      </c>
      <c r="G617">
        <v>0.86</v>
      </c>
      <c r="H617">
        <v>25</v>
      </c>
    </row>
    <row r="618" spans="1:8" x14ac:dyDescent="0.3">
      <c r="A618" t="s">
        <v>624</v>
      </c>
      <c r="B618">
        <v>49</v>
      </c>
      <c r="C618">
        <v>17</v>
      </c>
      <c r="D618">
        <v>2</v>
      </c>
      <c r="E618">
        <v>15</v>
      </c>
      <c r="F618">
        <v>0.3</v>
      </c>
      <c r="G618">
        <v>0.47</v>
      </c>
      <c r="H618">
        <v>8</v>
      </c>
    </row>
    <row r="619" spans="1:8" x14ac:dyDescent="0.3">
      <c r="A619" t="s">
        <v>625</v>
      </c>
      <c r="B619">
        <v>33</v>
      </c>
      <c r="C619">
        <v>14</v>
      </c>
      <c r="D619">
        <v>0</v>
      </c>
      <c r="E619">
        <v>14</v>
      </c>
      <c r="F619">
        <v>0.4</v>
      </c>
      <c r="G619">
        <v>0</v>
      </c>
    </row>
    <row r="620" spans="1:8" x14ac:dyDescent="0.3">
      <c r="A620" t="s">
        <v>626</v>
      </c>
      <c r="B620">
        <v>26</v>
      </c>
      <c r="C620">
        <v>12</v>
      </c>
      <c r="D620">
        <v>0</v>
      </c>
      <c r="E620">
        <v>11</v>
      </c>
      <c r="F620">
        <v>0.5</v>
      </c>
      <c r="G620">
        <v>0</v>
      </c>
    </row>
    <row r="621" spans="1:8" x14ac:dyDescent="0.3">
      <c r="A621" t="s">
        <v>627</v>
      </c>
      <c r="B621">
        <v>21</v>
      </c>
      <c r="C621">
        <v>9</v>
      </c>
      <c r="D621">
        <v>0</v>
      </c>
      <c r="E621">
        <v>9</v>
      </c>
      <c r="F621">
        <v>0.4</v>
      </c>
      <c r="G621">
        <v>0.22</v>
      </c>
      <c r="H621">
        <v>2</v>
      </c>
    </row>
    <row r="622" spans="1:8" x14ac:dyDescent="0.3">
      <c r="A622" t="s">
        <v>628</v>
      </c>
      <c r="B622">
        <v>24</v>
      </c>
      <c r="C622">
        <v>9</v>
      </c>
      <c r="D622">
        <v>1</v>
      </c>
      <c r="E622">
        <v>9</v>
      </c>
      <c r="F622">
        <v>0.4</v>
      </c>
      <c r="G622">
        <v>0.11</v>
      </c>
      <c r="H622">
        <v>1</v>
      </c>
    </row>
    <row r="623" spans="1:8" x14ac:dyDescent="0.3">
      <c r="A623" t="s">
        <v>629</v>
      </c>
      <c r="B623">
        <v>28</v>
      </c>
      <c r="C623">
        <v>13</v>
      </c>
      <c r="D623">
        <v>1</v>
      </c>
      <c r="E623">
        <v>12</v>
      </c>
      <c r="F623">
        <v>0.5</v>
      </c>
      <c r="G623">
        <v>0.23</v>
      </c>
      <c r="H623">
        <v>3</v>
      </c>
    </row>
    <row r="624" spans="1:8" x14ac:dyDescent="0.3">
      <c r="A624" t="s">
        <v>630</v>
      </c>
      <c r="B624">
        <v>42</v>
      </c>
      <c r="C624">
        <v>18</v>
      </c>
      <c r="D624">
        <v>2</v>
      </c>
      <c r="E624">
        <v>16</v>
      </c>
      <c r="F624">
        <v>0.4</v>
      </c>
      <c r="G624">
        <v>0.06</v>
      </c>
      <c r="H624">
        <v>1</v>
      </c>
    </row>
    <row r="625" spans="1:8" x14ac:dyDescent="0.3">
      <c r="A625" t="s">
        <v>631</v>
      </c>
      <c r="B625">
        <v>48</v>
      </c>
      <c r="C625">
        <v>22</v>
      </c>
      <c r="D625">
        <v>4</v>
      </c>
      <c r="E625">
        <v>19</v>
      </c>
      <c r="F625">
        <v>0.5</v>
      </c>
      <c r="G625">
        <v>0.41</v>
      </c>
      <c r="H625">
        <v>9</v>
      </c>
    </row>
    <row r="626" spans="1:8" x14ac:dyDescent="0.3">
      <c r="A626" t="s">
        <v>632</v>
      </c>
      <c r="B626">
        <v>64</v>
      </c>
      <c r="C626">
        <v>25</v>
      </c>
      <c r="D626">
        <v>5</v>
      </c>
      <c r="E626">
        <v>20</v>
      </c>
      <c r="F626">
        <v>0.4</v>
      </c>
      <c r="G626">
        <v>0.48</v>
      </c>
      <c r="H626">
        <v>12</v>
      </c>
    </row>
    <row r="627" spans="1:8" x14ac:dyDescent="0.3">
      <c r="A627" t="s">
        <v>633</v>
      </c>
      <c r="B627">
        <v>82</v>
      </c>
      <c r="C627">
        <v>30</v>
      </c>
      <c r="D627">
        <v>7</v>
      </c>
      <c r="E627">
        <v>24</v>
      </c>
      <c r="F627">
        <v>0.4</v>
      </c>
      <c r="G627">
        <v>0.67</v>
      </c>
      <c r="H627">
        <v>20</v>
      </c>
    </row>
    <row r="628" spans="1:8" x14ac:dyDescent="0.3">
      <c r="A628" t="s">
        <v>634</v>
      </c>
      <c r="B628">
        <v>92</v>
      </c>
      <c r="C628">
        <v>40</v>
      </c>
      <c r="D628">
        <v>4</v>
      </c>
      <c r="E628">
        <v>36</v>
      </c>
      <c r="F628">
        <v>0.4</v>
      </c>
      <c r="G628">
        <v>0.28000000000000003</v>
      </c>
      <c r="H628">
        <v>11</v>
      </c>
    </row>
    <row r="629" spans="1:8" x14ac:dyDescent="0.3">
      <c r="A629" t="s">
        <v>635</v>
      </c>
      <c r="B629">
        <v>107</v>
      </c>
      <c r="C629">
        <v>50</v>
      </c>
      <c r="D629">
        <v>11</v>
      </c>
      <c r="E629">
        <v>39</v>
      </c>
      <c r="F629">
        <v>0.5</v>
      </c>
      <c r="G629">
        <v>0.46</v>
      </c>
      <c r="H629">
        <v>23</v>
      </c>
    </row>
    <row r="630" spans="1:8" x14ac:dyDescent="0.3">
      <c r="A630" t="s">
        <v>636</v>
      </c>
      <c r="B630">
        <v>104</v>
      </c>
      <c r="C630">
        <v>45</v>
      </c>
      <c r="D630">
        <v>14</v>
      </c>
      <c r="E630">
        <v>31</v>
      </c>
      <c r="F630">
        <v>0.4</v>
      </c>
      <c r="G630">
        <v>0.56000000000000005</v>
      </c>
      <c r="H630">
        <v>25</v>
      </c>
    </row>
    <row r="631" spans="1:8" x14ac:dyDescent="0.3">
      <c r="A631" t="s">
        <v>637</v>
      </c>
      <c r="B631">
        <v>113</v>
      </c>
      <c r="C631">
        <v>38</v>
      </c>
      <c r="D631">
        <v>12</v>
      </c>
      <c r="E631">
        <v>26</v>
      </c>
      <c r="F631">
        <v>0.3</v>
      </c>
      <c r="G631">
        <v>0.57999999999999996</v>
      </c>
      <c r="H631">
        <v>22</v>
      </c>
    </row>
    <row r="632" spans="1:8" x14ac:dyDescent="0.3">
      <c r="A632" t="s">
        <v>638</v>
      </c>
      <c r="B632">
        <v>117</v>
      </c>
      <c r="C632">
        <v>45</v>
      </c>
      <c r="D632">
        <v>3</v>
      </c>
      <c r="E632">
        <v>42</v>
      </c>
      <c r="F632">
        <v>0.4</v>
      </c>
      <c r="G632">
        <v>0.2</v>
      </c>
      <c r="H632">
        <v>9</v>
      </c>
    </row>
    <row r="633" spans="1:8" x14ac:dyDescent="0.3">
      <c r="A633" t="s">
        <v>639</v>
      </c>
      <c r="B633">
        <v>91</v>
      </c>
      <c r="C633">
        <v>38</v>
      </c>
      <c r="D633">
        <v>4</v>
      </c>
      <c r="E633">
        <v>34</v>
      </c>
      <c r="F633">
        <v>0.4</v>
      </c>
      <c r="G633">
        <v>0.21</v>
      </c>
      <c r="H633">
        <v>8</v>
      </c>
    </row>
    <row r="634" spans="1:8" x14ac:dyDescent="0.3">
      <c r="A634" t="s">
        <v>640</v>
      </c>
      <c r="B634">
        <v>77</v>
      </c>
      <c r="C634">
        <v>27</v>
      </c>
      <c r="D634">
        <v>1</v>
      </c>
      <c r="E634">
        <v>27</v>
      </c>
      <c r="F634">
        <v>0.4</v>
      </c>
      <c r="G634">
        <v>0.04</v>
      </c>
      <c r="H634">
        <v>1</v>
      </c>
    </row>
    <row r="635" spans="1:8" x14ac:dyDescent="0.3">
      <c r="A635" t="s">
        <v>641</v>
      </c>
      <c r="B635">
        <v>75</v>
      </c>
      <c r="C635">
        <v>32</v>
      </c>
      <c r="D635">
        <v>2</v>
      </c>
      <c r="E635">
        <v>30</v>
      </c>
      <c r="F635">
        <v>0.4</v>
      </c>
      <c r="G635">
        <v>0.09</v>
      </c>
      <c r="H635">
        <v>3</v>
      </c>
    </row>
    <row r="636" spans="1:8" x14ac:dyDescent="0.3">
      <c r="A636" t="s">
        <v>642</v>
      </c>
      <c r="B636">
        <v>74</v>
      </c>
      <c r="C636">
        <v>27</v>
      </c>
      <c r="D636">
        <v>3</v>
      </c>
      <c r="E636">
        <v>24</v>
      </c>
      <c r="F636">
        <v>0.4</v>
      </c>
      <c r="G636">
        <v>0.19</v>
      </c>
      <c r="H636">
        <v>5</v>
      </c>
    </row>
    <row r="637" spans="1:8" x14ac:dyDescent="0.3">
      <c r="A637" t="s">
        <v>643</v>
      </c>
      <c r="B637">
        <v>70</v>
      </c>
      <c r="C637">
        <v>22</v>
      </c>
      <c r="D637">
        <v>4</v>
      </c>
      <c r="E637">
        <v>19</v>
      </c>
      <c r="F637">
        <v>0.3</v>
      </c>
      <c r="G637">
        <v>0.27</v>
      </c>
      <c r="H637">
        <v>6</v>
      </c>
    </row>
    <row r="638" spans="1:8" x14ac:dyDescent="0.3">
      <c r="A638" t="s">
        <v>644</v>
      </c>
      <c r="B638">
        <v>84</v>
      </c>
      <c r="C638">
        <v>30</v>
      </c>
      <c r="D638">
        <v>2</v>
      </c>
      <c r="E638">
        <v>28</v>
      </c>
      <c r="F638">
        <v>0.4</v>
      </c>
      <c r="G638">
        <v>0.13</v>
      </c>
      <c r="H638">
        <v>4</v>
      </c>
    </row>
    <row r="639" spans="1:8" x14ac:dyDescent="0.3">
      <c r="A639" t="s">
        <v>645</v>
      </c>
      <c r="B639">
        <v>75</v>
      </c>
      <c r="C639">
        <v>32</v>
      </c>
      <c r="D639">
        <v>9</v>
      </c>
      <c r="E639">
        <v>22</v>
      </c>
      <c r="F639">
        <v>0.4</v>
      </c>
      <c r="G639">
        <v>0.5</v>
      </c>
      <c r="H639">
        <v>16</v>
      </c>
    </row>
    <row r="640" spans="1:8" x14ac:dyDescent="0.3">
      <c r="A640" t="s">
        <v>646</v>
      </c>
      <c r="B640">
        <v>76</v>
      </c>
      <c r="C640">
        <v>31</v>
      </c>
      <c r="D640">
        <v>11</v>
      </c>
      <c r="E640">
        <v>20</v>
      </c>
      <c r="F640">
        <v>0.4</v>
      </c>
      <c r="G640">
        <v>0.74</v>
      </c>
      <c r="H640">
        <v>23</v>
      </c>
    </row>
    <row r="641" spans="1:8" x14ac:dyDescent="0.3">
      <c r="A641" t="s">
        <v>647</v>
      </c>
      <c r="B641">
        <v>64</v>
      </c>
      <c r="C641">
        <v>23</v>
      </c>
      <c r="D641">
        <v>10</v>
      </c>
      <c r="E641">
        <v>13</v>
      </c>
      <c r="F641">
        <v>0.4</v>
      </c>
      <c r="G641">
        <v>0.91</v>
      </c>
      <c r="H641">
        <v>21</v>
      </c>
    </row>
    <row r="642" spans="1:8" x14ac:dyDescent="0.3">
      <c r="A642" t="s">
        <v>648</v>
      </c>
      <c r="B642">
        <v>38</v>
      </c>
      <c r="C642">
        <v>18</v>
      </c>
      <c r="D642">
        <v>3</v>
      </c>
      <c r="E642">
        <v>14</v>
      </c>
      <c r="F642">
        <v>0.5</v>
      </c>
      <c r="G642">
        <v>0.39</v>
      </c>
      <c r="H642">
        <v>7</v>
      </c>
    </row>
    <row r="643" spans="1:8" x14ac:dyDescent="0.3">
      <c r="A643" t="s">
        <v>649</v>
      </c>
      <c r="B643">
        <v>27</v>
      </c>
      <c r="C643">
        <v>11</v>
      </c>
      <c r="D643">
        <v>0</v>
      </c>
      <c r="E643">
        <v>11</v>
      </c>
      <c r="F643">
        <v>0.4</v>
      </c>
      <c r="G643">
        <v>0.09</v>
      </c>
      <c r="H643">
        <v>1</v>
      </c>
    </row>
    <row r="644" spans="1:8" x14ac:dyDescent="0.3">
      <c r="A644" t="s">
        <v>650</v>
      </c>
      <c r="B644">
        <v>18</v>
      </c>
      <c r="C644">
        <v>11</v>
      </c>
      <c r="D644">
        <v>0</v>
      </c>
      <c r="E644">
        <v>11</v>
      </c>
      <c r="F644">
        <v>0.6</v>
      </c>
      <c r="G644">
        <v>0</v>
      </c>
    </row>
    <row r="645" spans="1:8" x14ac:dyDescent="0.3">
      <c r="A645" t="s">
        <v>651</v>
      </c>
      <c r="B645">
        <v>17</v>
      </c>
      <c r="C645">
        <v>8</v>
      </c>
      <c r="D645">
        <v>0</v>
      </c>
      <c r="E645">
        <v>8</v>
      </c>
      <c r="F645">
        <v>0.5</v>
      </c>
      <c r="G645">
        <v>0</v>
      </c>
    </row>
    <row r="646" spans="1:8" x14ac:dyDescent="0.3">
      <c r="A646" t="s">
        <v>652</v>
      </c>
      <c r="B646">
        <v>15</v>
      </c>
      <c r="C646">
        <v>6</v>
      </c>
      <c r="D646">
        <v>0</v>
      </c>
      <c r="E646">
        <v>6</v>
      </c>
      <c r="F646">
        <v>0.4</v>
      </c>
      <c r="G646">
        <v>0</v>
      </c>
    </row>
    <row r="647" spans="1:8" x14ac:dyDescent="0.3">
      <c r="A647" t="s">
        <v>653</v>
      </c>
      <c r="B647">
        <v>16</v>
      </c>
      <c r="C647">
        <v>7</v>
      </c>
      <c r="D647">
        <v>0</v>
      </c>
      <c r="E647">
        <v>7</v>
      </c>
      <c r="F647">
        <v>0.4</v>
      </c>
      <c r="G647">
        <v>0</v>
      </c>
    </row>
    <row r="648" spans="1:8" x14ac:dyDescent="0.3">
      <c r="A648" t="s">
        <v>654</v>
      </c>
      <c r="B648">
        <v>27</v>
      </c>
      <c r="C648">
        <v>10</v>
      </c>
      <c r="D648">
        <v>2</v>
      </c>
      <c r="E648">
        <v>8</v>
      </c>
      <c r="F648">
        <v>0.4</v>
      </c>
      <c r="G648">
        <v>0.3</v>
      </c>
      <c r="H648">
        <v>3</v>
      </c>
    </row>
    <row r="649" spans="1:8" x14ac:dyDescent="0.3">
      <c r="A649" t="s">
        <v>655</v>
      </c>
      <c r="B649">
        <v>36</v>
      </c>
      <c r="C649">
        <v>16</v>
      </c>
      <c r="D649">
        <v>2</v>
      </c>
      <c r="E649">
        <v>14</v>
      </c>
      <c r="F649">
        <v>0.4</v>
      </c>
      <c r="G649">
        <v>0.25</v>
      </c>
      <c r="H649">
        <v>4</v>
      </c>
    </row>
    <row r="650" spans="1:8" x14ac:dyDescent="0.3">
      <c r="A650" t="s">
        <v>656</v>
      </c>
      <c r="B650">
        <v>47</v>
      </c>
      <c r="C650">
        <v>23</v>
      </c>
      <c r="D650">
        <v>2</v>
      </c>
      <c r="E650">
        <v>20</v>
      </c>
      <c r="F650">
        <v>0.5</v>
      </c>
      <c r="G650">
        <v>0.22</v>
      </c>
      <c r="H650">
        <v>5</v>
      </c>
    </row>
    <row r="651" spans="1:8" x14ac:dyDescent="0.3">
      <c r="A651" t="s">
        <v>657</v>
      </c>
      <c r="B651">
        <v>54</v>
      </c>
      <c r="C651">
        <v>18</v>
      </c>
      <c r="D651">
        <v>2</v>
      </c>
      <c r="E651">
        <v>16</v>
      </c>
      <c r="F651">
        <v>0.3</v>
      </c>
      <c r="G651">
        <v>0.33</v>
      </c>
      <c r="H651">
        <v>6</v>
      </c>
    </row>
    <row r="652" spans="1:8" x14ac:dyDescent="0.3">
      <c r="A652" t="s">
        <v>658</v>
      </c>
      <c r="B652">
        <v>64</v>
      </c>
      <c r="C652">
        <v>30</v>
      </c>
      <c r="D652">
        <v>4</v>
      </c>
      <c r="E652">
        <v>26</v>
      </c>
      <c r="F652">
        <v>0.5</v>
      </c>
      <c r="G652">
        <v>0.37</v>
      </c>
      <c r="H652">
        <v>11</v>
      </c>
    </row>
    <row r="653" spans="1:8" x14ac:dyDescent="0.3">
      <c r="A653" t="s">
        <v>659</v>
      </c>
      <c r="B653">
        <v>86</v>
      </c>
      <c r="C653">
        <v>36</v>
      </c>
      <c r="D653">
        <v>6</v>
      </c>
      <c r="E653">
        <v>30</v>
      </c>
      <c r="F653">
        <v>0.4</v>
      </c>
      <c r="G653">
        <v>0.28000000000000003</v>
      </c>
      <c r="H653">
        <v>10</v>
      </c>
    </row>
    <row r="654" spans="1:8" x14ac:dyDescent="0.3">
      <c r="A654" t="s">
        <v>660</v>
      </c>
      <c r="B654">
        <v>88</v>
      </c>
      <c r="C654">
        <v>33</v>
      </c>
      <c r="D654">
        <v>11</v>
      </c>
      <c r="E654">
        <v>22</v>
      </c>
      <c r="F654">
        <v>0.4</v>
      </c>
      <c r="G654">
        <v>0.48</v>
      </c>
      <c r="H654">
        <v>16</v>
      </c>
    </row>
    <row r="655" spans="1:8" x14ac:dyDescent="0.3">
      <c r="A655" t="s">
        <v>661</v>
      </c>
      <c r="B655">
        <v>81</v>
      </c>
      <c r="C655">
        <v>30</v>
      </c>
      <c r="D655">
        <v>16</v>
      </c>
      <c r="E655">
        <v>14</v>
      </c>
      <c r="F655">
        <v>0.4</v>
      </c>
      <c r="G655">
        <v>1.03</v>
      </c>
      <c r="H655">
        <v>31</v>
      </c>
    </row>
    <row r="656" spans="1:8" x14ac:dyDescent="0.3">
      <c r="A656" t="s">
        <v>662</v>
      </c>
      <c r="B656">
        <v>77</v>
      </c>
      <c r="C656">
        <v>30</v>
      </c>
      <c r="D656">
        <v>4</v>
      </c>
      <c r="E656">
        <v>25</v>
      </c>
      <c r="F656">
        <v>0.4</v>
      </c>
      <c r="G656">
        <v>0.33</v>
      </c>
      <c r="H656">
        <v>10</v>
      </c>
    </row>
    <row r="657" spans="1:8" x14ac:dyDescent="0.3">
      <c r="A657" t="s">
        <v>663</v>
      </c>
      <c r="B657">
        <v>75</v>
      </c>
      <c r="C657">
        <v>26</v>
      </c>
      <c r="D657">
        <v>3</v>
      </c>
      <c r="E657">
        <v>23</v>
      </c>
      <c r="F657">
        <v>0.3</v>
      </c>
      <c r="G657">
        <v>0.23</v>
      </c>
      <c r="H657">
        <v>6</v>
      </c>
    </row>
    <row r="658" spans="1:8" x14ac:dyDescent="0.3">
      <c r="A658" t="s">
        <v>664</v>
      </c>
      <c r="B658">
        <v>65</v>
      </c>
      <c r="C658">
        <v>22</v>
      </c>
      <c r="D658">
        <v>4</v>
      </c>
      <c r="E658">
        <v>18</v>
      </c>
      <c r="F658">
        <v>0.3</v>
      </c>
      <c r="G658">
        <v>0.27</v>
      </c>
      <c r="H658">
        <v>6</v>
      </c>
    </row>
    <row r="659" spans="1:8" x14ac:dyDescent="0.3">
      <c r="A659" t="s">
        <v>665</v>
      </c>
      <c r="B659">
        <v>62</v>
      </c>
      <c r="C659">
        <v>17</v>
      </c>
      <c r="D659">
        <v>1</v>
      </c>
      <c r="E659">
        <v>16</v>
      </c>
      <c r="F659">
        <v>0.3</v>
      </c>
      <c r="G659">
        <v>0.35</v>
      </c>
      <c r="H659">
        <v>6</v>
      </c>
    </row>
    <row r="660" spans="1:8" x14ac:dyDescent="0.3">
      <c r="A660" t="s">
        <v>666</v>
      </c>
      <c r="B660">
        <v>53</v>
      </c>
      <c r="C660">
        <v>19</v>
      </c>
      <c r="D660">
        <v>4</v>
      </c>
      <c r="E660">
        <v>15</v>
      </c>
      <c r="F660">
        <v>0.4</v>
      </c>
      <c r="G660">
        <v>0.37</v>
      </c>
      <c r="H660">
        <v>7</v>
      </c>
    </row>
    <row r="661" spans="1:8" x14ac:dyDescent="0.3">
      <c r="A661" t="s">
        <v>667</v>
      </c>
      <c r="B661">
        <v>61</v>
      </c>
      <c r="C661">
        <v>20</v>
      </c>
      <c r="D661">
        <v>4</v>
      </c>
      <c r="E661">
        <v>16</v>
      </c>
      <c r="F661">
        <v>0.3</v>
      </c>
      <c r="G661">
        <v>0.45</v>
      </c>
      <c r="H661">
        <v>9</v>
      </c>
    </row>
    <row r="662" spans="1:8" x14ac:dyDescent="0.3">
      <c r="A662" t="s">
        <v>668</v>
      </c>
      <c r="B662">
        <v>54</v>
      </c>
      <c r="C662">
        <v>23</v>
      </c>
      <c r="D662">
        <v>4</v>
      </c>
      <c r="E662">
        <v>19</v>
      </c>
      <c r="F662">
        <v>0.4</v>
      </c>
      <c r="G662">
        <v>0.26</v>
      </c>
      <c r="H662">
        <v>6</v>
      </c>
    </row>
    <row r="663" spans="1:8" x14ac:dyDescent="0.3">
      <c r="A663" t="s">
        <v>669</v>
      </c>
      <c r="B663">
        <v>63</v>
      </c>
      <c r="C663">
        <v>26</v>
      </c>
      <c r="D663">
        <v>8</v>
      </c>
      <c r="E663">
        <v>18</v>
      </c>
      <c r="F663">
        <v>0.4</v>
      </c>
      <c r="G663">
        <v>0.65</v>
      </c>
      <c r="H663">
        <v>17</v>
      </c>
    </row>
    <row r="664" spans="1:8" x14ac:dyDescent="0.3">
      <c r="A664" t="s">
        <v>670</v>
      </c>
      <c r="B664">
        <v>53</v>
      </c>
      <c r="C664">
        <v>22</v>
      </c>
      <c r="D664">
        <v>13</v>
      </c>
      <c r="E664">
        <v>9</v>
      </c>
      <c r="F664">
        <v>0.4</v>
      </c>
      <c r="G664">
        <v>1.18</v>
      </c>
      <c r="H664">
        <v>26</v>
      </c>
    </row>
    <row r="665" spans="1:8" x14ac:dyDescent="0.3">
      <c r="A665" t="s">
        <v>671</v>
      </c>
      <c r="B665">
        <v>42</v>
      </c>
      <c r="C665">
        <v>16</v>
      </c>
      <c r="D665">
        <v>11</v>
      </c>
      <c r="E665">
        <v>4</v>
      </c>
      <c r="F665">
        <v>0.4</v>
      </c>
      <c r="G665">
        <v>1.25</v>
      </c>
      <c r="H665">
        <v>20</v>
      </c>
    </row>
    <row r="666" spans="1:8" x14ac:dyDescent="0.3">
      <c r="A666" t="s">
        <v>672</v>
      </c>
      <c r="B666">
        <v>34</v>
      </c>
      <c r="C666">
        <v>10</v>
      </c>
      <c r="D666">
        <v>6</v>
      </c>
      <c r="E666">
        <v>4</v>
      </c>
      <c r="F666">
        <v>0.3</v>
      </c>
      <c r="G666">
        <v>1.1000000000000001</v>
      </c>
      <c r="H666">
        <v>11</v>
      </c>
    </row>
    <row r="667" spans="1:8" x14ac:dyDescent="0.3">
      <c r="A667" t="s">
        <v>673</v>
      </c>
      <c r="B667">
        <v>17</v>
      </c>
      <c r="C667">
        <v>4</v>
      </c>
      <c r="D667">
        <v>0</v>
      </c>
      <c r="E667">
        <v>4</v>
      </c>
      <c r="F667">
        <v>0.2</v>
      </c>
      <c r="G667">
        <v>0.25</v>
      </c>
      <c r="H667">
        <v>1</v>
      </c>
    </row>
    <row r="668" spans="1:8" x14ac:dyDescent="0.3">
      <c r="A668" t="s">
        <v>674</v>
      </c>
      <c r="B668">
        <v>13</v>
      </c>
      <c r="C668">
        <v>4</v>
      </c>
      <c r="D668">
        <v>1</v>
      </c>
      <c r="E668">
        <v>3</v>
      </c>
      <c r="F668">
        <v>0.3</v>
      </c>
      <c r="G668">
        <v>0.25</v>
      </c>
      <c r="H668">
        <v>1</v>
      </c>
    </row>
    <row r="669" spans="1:8" x14ac:dyDescent="0.3">
      <c r="A669" t="s">
        <v>675</v>
      </c>
      <c r="B669">
        <v>12</v>
      </c>
      <c r="C669">
        <v>6</v>
      </c>
      <c r="D669">
        <v>1</v>
      </c>
      <c r="E669">
        <v>5</v>
      </c>
      <c r="F669">
        <v>0.5</v>
      </c>
      <c r="G669">
        <v>0.5</v>
      </c>
      <c r="H669">
        <v>3</v>
      </c>
    </row>
    <row r="670" spans="1:8" x14ac:dyDescent="0.3">
      <c r="A670" t="s">
        <v>676</v>
      </c>
      <c r="B670">
        <v>15</v>
      </c>
      <c r="C670">
        <v>5</v>
      </c>
      <c r="D670">
        <v>1</v>
      </c>
      <c r="E670">
        <v>4</v>
      </c>
      <c r="F670">
        <v>0.3</v>
      </c>
      <c r="G670">
        <v>0.2</v>
      </c>
      <c r="H670">
        <v>1</v>
      </c>
    </row>
    <row r="671" spans="1:8" x14ac:dyDescent="0.3">
      <c r="A671" t="s">
        <v>677</v>
      </c>
      <c r="B671">
        <v>20</v>
      </c>
      <c r="C671">
        <v>7</v>
      </c>
      <c r="D671">
        <v>1</v>
      </c>
      <c r="E671">
        <v>6</v>
      </c>
      <c r="F671">
        <v>0.3</v>
      </c>
      <c r="G671">
        <v>0.56999999999999995</v>
      </c>
      <c r="H671">
        <v>4</v>
      </c>
    </row>
    <row r="672" spans="1:8" x14ac:dyDescent="0.3">
      <c r="A672" t="s">
        <v>678</v>
      </c>
      <c r="B672">
        <v>28</v>
      </c>
      <c r="C672">
        <v>10</v>
      </c>
      <c r="D672">
        <v>2</v>
      </c>
      <c r="E672">
        <v>9</v>
      </c>
      <c r="F672">
        <v>0.4</v>
      </c>
      <c r="G672">
        <v>0.3</v>
      </c>
      <c r="H672">
        <v>3</v>
      </c>
    </row>
    <row r="673" spans="1:8" x14ac:dyDescent="0.3">
      <c r="A673" t="s">
        <v>679</v>
      </c>
      <c r="B673">
        <v>41</v>
      </c>
      <c r="C673">
        <v>16</v>
      </c>
      <c r="D673">
        <v>2</v>
      </c>
      <c r="E673">
        <v>13</v>
      </c>
      <c r="F673">
        <v>0.4</v>
      </c>
      <c r="G673">
        <v>0.38</v>
      </c>
      <c r="H673">
        <v>6</v>
      </c>
    </row>
    <row r="674" spans="1:8" x14ac:dyDescent="0.3">
      <c r="A674" t="s">
        <v>680</v>
      </c>
      <c r="B674">
        <v>54</v>
      </c>
      <c r="C674">
        <v>20</v>
      </c>
      <c r="D674">
        <v>5</v>
      </c>
      <c r="E674">
        <v>16</v>
      </c>
      <c r="F674">
        <v>0.4</v>
      </c>
      <c r="G674">
        <v>0.5</v>
      </c>
      <c r="H674">
        <v>10</v>
      </c>
    </row>
    <row r="675" spans="1:8" x14ac:dyDescent="0.3">
      <c r="A675" t="s">
        <v>681</v>
      </c>
      <c r="B675">
        <v>68</v>
      </c>
      <c r="C675">
        <v>23</v>
      </c>
      <c r="D675">
        <v>3</v>
      </c>
      <c r="E675">
        <v>20</v>
      </c>
      <c r="F675">
        <v>0.3</v>
      </c>
      <c r="G675">
        <v>0.43</v>
      </c>
      <c r="H675">
        <v>10</v>
      </c>
    </row>
    <row r="676" spans="1:8" x14ac:dyDescent="0.3">
      <c r="A676" t="s">
        <v>682</v>
      </c>
      <c r="B676">
        <v>77</v>
      </c>
      <c r="C676">
        <v>27</v>
      </c>
      <c r="D676">
        <v>3</v>
      </c>
      <c r="E676">
        <v>25</v>
      </c>
      <c r="F676">
        <v>0.4</v>
      </c>
      <c r="G676">
        <v>0.37</v>
      </c>
      <c r="H676">
        <v>10</v>
      </c>
    </row>
    <row r="677" spans="1:8" x14ac:dyDescent="0.3">
      <c r="A677" t="s">
        <v>683</v>
      </c>
      <c r="B677">
        <v>87</v>
      </c>
      <c r="C677">
        <v>39</v>
      </c>
      <c r="D677">
        <v>6</v>
      </c>
      <c r="E677">
        <v>34</v>
      </c>
      <c r="F677">
        <v>0.4</v>
      </c>
      <c r="G677">
        <v>0.31</v>
      </c>
      <c r="H677">
        <v>12</v>
      </c>
    </row>
    <row r="678" spans="1:8" x14ac:dyDescent="0.3">
      <c r="A678" t="s">
        <v>684</v>
      </c>
      <c r="B678">
        <v>87</v>
      </c>
      <c r="C678">
        <v>32</v>
      </c>
      <c r="D678">
        <v>5</v>
      </c>
      <c r="E678">
        <v>27</v>
      </c>
      <c r="F678">
        <v>0.4</v>
      </c>
      <c r="G678">
        <v>0.5</v>
      </c>
      <c r="H678">
        <v>16</v>
      </c>
    </row>
    <row r="679" spans="1:8" x14ac:dyDescent="0.3">
      <c r="A679" t="s">
        <v>685</v>
      </c>
      <c r="B679">
        <v>83</v>
      </c>
      <c r="C679">
        <v>30</v>
      </c>
      <c r="D679">
        <v>7</v>
      </c>
      <c r="E679">
        <v>23</v>
      </c>
      <c r="F679">
        <v>0.4</v>
      </c>
      <c r="G679">
        <v>0.53</v>
      </c>
      <c r="H679">
        <v>16</v>
      </c>
    </row>
    <row r="680" spans="1:8" x14ac:dyDescent="0.3">
      <c r="A680" t="s">
        <v>686</v>
      </c>
      <c r="B680">
        <v>80</v>
      </c>
      <c r="C680">
        <v>28</v>
      </c>
      <c r="D680">
        <v>4</v>
      </c>
      <c r="E680">
        <v>24</v>
      </c>
      <c r="F680">
        <v>0.3</v>
      </c>
      <c r="G680">
        <v>0.46</v>
      </c>
      <c r="H680">
        <v>13</v>
      </c>
    </row>
    <row r="681" spans="1:8" x14ac:dyDescent="0.3">
      <c r="A681" t="s">
        <v>687</v>
      </c>
      <c r="B681">
        <v>62</v>
      </c>
      <c r="C681">
        <v>23</v>
      </c>
      <c r="D681">
        <v>4</v>
      </c>
      <c r="E681">
        <v>19</v>
      </c>
      <c r="F681">
        <v>0.4</v>
      </c>
      <c r="G681">
        <v>0.61</v>
      </c>
      <c r="H681">
        <v>14</v>
      </c>
    </row>
    <row r="682" spans="1:8" x14ac:dyDescent="0.3">
      <c r="A682" t="s">
        <v>688</v>
      </c>
      <c r="B682">
        <v>62</v>
      </c>
      <c r="C682">
        <v>22</v>
      </c>
      <c r="D682">
        <v>3</v>
      </c>
      <c r="E682">
        <v>19</v>
      </c>
      <c r="F682">
        <v>0.4</v>
      </c>
      <c r="G682">
        <v>0.32</v>
      </c>
      <c r="H682">
        <v>7</v>
      </c>
    </row>
    <row r="683" spans="1:8" x14ac:dyDescent="0.3">
      <c r="A683" t="s">
        <v>689</v>
      </c>
      <c r="B683">
        <v>54</v>
      </c>
      <c r="C683">
        <v>19</v>
      </c>
      <c r="D683">
        <v>3</v>
      </c>
      <c r="E683">
        <v>17</v>
      </c>
      <c r="F683">
        <v>0.4</v>
      </c>
      <c r="G683">
        <v>0.21</v>
      </c>
      <c r="H683">
        <v>4</v>
      </c>
    </row>
    <row r="684" spans="1:8" x14ac:dyDescent="0.3">
      <c r="A684" t="s">
        <v>690</v>
      </c>
      <c r="B684">
        <v>53</v>
      </c>
      <c r="C684">
        <v>18</v>
      </c>
      <c r="D684">
        <v>2</v>
      </c>
      <c r="E684">
        <v>17</v>
      </c>
      <c r="F684">
        <v>0.3</v>
      </c>
      <c r="G684">
        <v>0.39</v>
      </c>
      <c r="H684">
        <v>7</v>
      </c>
    </row>
    <row r="685" spans="1:8" x14ac:dyDescent="0.3">
      <c r="A685" t="s">
        <v>691</v>
      </c>
      <c r="B685">
        <v>43</v>
      </c>
      <c r="C685">
        <v>19</v>
      </c>
      <c r="D685">
        <v>2</v>
      </c>
      <c r="E685">
        <v>16</v>
      </c>
      <c r="F685">
        <v>0.4</v>
      </c>
      <c r="G685">
        <v>0.26</v>
      </c>
      <c r="H685">
        <v>5</v>
      </c>
    </row>
    <row r="686" spans="1:8" x14ac:dyDescent="0.3">
      <c r="A686" t="s">
        <v>692</v>
      </c>
      <c r="B686">
        <v>42</v>
      </c>
      <c r="C686">
        <v>15</v>
      </c>
      <c r="D686">
        <v>3</v>
      </c>
      <c r="E686">
        <v>13</v>
      </c>
      <c r="F686">
        <v>0.4</v>
      </c>
      <c r="G686">
        <v>0.47</v>
      </c>
      <c r="H686">
        <v>7</v>
      </c>
    </row>
    <row r="687" spans="1:8" x14ac:dyDescent="0.3">
      <c r="A687" t="s">
        <v>693</v>
      </c>
      <c r="B687">
        <v>40</v>
      </c>
      <c r="C687">
        <v>14</v>
      </c>
      <c r="D687">
        <v>2</v>
      </c>
      <c r="E687">
        <v>12</v>
      </c>
      <c r="F687">
        <v>0.3</v>
      </c>
      <c r="G687">
        <v>0.36</v>
      </c>
      <c r="H687">
        <v>5</v>
      </c>
    </row>
    <row r="688" spans="1:8" x14ac:dyDescent="0.3">
      <c r="A688" t="s">
        <v>694</v>
      </c>
      <c r="B688">
        <v>37</v>
      </c>
      <c r="C688">
        <v>10</v>
      </c>
      <c r="D688">
        <v>1</v>
      </c>
      <c r="E688">
        <v>8</v>
      </c>
      <c r="F688">
        <v>0.3</v>
      </c>
      <c r="G688">
        <v>0.3</v>
      </c>
      <c r="H688">
        <v>3</v>
      </c>
    </row>
    <row r="689" spans="1:8" x14ac:dyDescent="0.3">
      <c r="A689" t="s">
        <v>695</v>
      </c>
      <c r="B689">
        <v>26</v>
      </c>
      <c r="C689">
        <v>6</v>
      </c>
      <c r="D689">
        <v>2</v>
      </c>
      <c r="E689">
        <v>5</v>
      </c>
      <c r="F689">
        <v>0.2</v>
      </c>
      <c r="G689">
        <v>0.5</v>
      </c>
      <c r="H689">
        <v>3</v>
      </c>
    </row>
    <row r="690" spans="1:8" x14ac:dyDescent="0.3">
      <c r="A690" t="s">
        <v>696</v>
      </c>
      <c r="B690">
        <v>27</v>
      </c>
      <c r="C690">
        <v>8</v>
      </c>
      <c r="D690">
        <v>1</v>
      </c>
      <c r="E690">
        <v>7</v>
      </c>
      <c r="F690">
        <v>0.3</v>
      </c>
      <c r="G690">
        <v>0.25</v>
      </c>
      <c r="H690">
        <v>2</v>
      </c>
    </row>
    <row r="691" spans="1:8" x14ac:dyDescent="0.3">
      <c r="A691" t="s">
        <v>697</v>
      </c>
      <c r="B691">
        <v>34</v>
      </c>
      <c r="C691">
        <v>13</v>
      </c>
      <c r="D691">
        <v>2</v>
      </c>
      <c r="E691">
        <v>11</v>
      </c>
      <c r="F691">
        <v>0.4</v>
      </c>
      <c r="G691">
        <v>0.31</v>
      </c>
      <c r="H691">
        <v>4</v>
      </c>
    </row>
    <row r="692" spans="1:8" x14ac:dyDescent="0.3">
      <c r="A692" t="s">
        <v>698</v>
      </c>
      <c r="B692">
        <v>48</v>
      </c>
      <c r="C692">
        <v>18</v>
      </c>
      <c r="D692">
        <v>1</v>
      </c>
      <c r="E692">
        <v>16</v>
      </c>
      <c r="F692">
        <v>0.4</v>
      </c>
      <c r="G692">
        <v>0.22</v>
      </c>
      <c r="H692">
        <v>4</v>
      </c>
    </row>
    <row r="693" spans="1:8" x14ac:dyDescent="0.3">
      <c r="A693" t="s">
        <v>699</v>
      </c>
      <c r="B693">
        <v>51</v>
      </c>
      <c r="C693">
        <v>20</v>
      </c>
      <c r="D693">
        <v>6</v>
      </c>
      <c r="E693">
        <v>14</v>
      </c>
      <c r="F693">
        <v>0.4</v>
      </c>
      <c r="G693">
        <v>0.65</v>
      </c>
      <c r="H693">
        <v>13</v>
      </c>
    </row>
    <row r="694" spans="1:8" x14ac:dyDescent="0.3">
      <c r="A694" t="s">
        <v>700</v>
      </c>
      <c r="B694">
        <v>56</v>
      </c>
      <c r="C694">
        <v>25</v>
      </c>
      <c r="D694">
        <v>6</v>
      </c>
      <c r="E694">
        <v>20</v>
      </c>
      <c r="F694">
        <v>0.4</v>
      </c>
      <c r="G694">
        <v>0.68</v>
      </c>
      <c r="H694">
        <v>17</v>
      </c>
    </row>
    <row r="695" spans="1:8" x14ac:dyDescent="0.3">
      <c r="A695" t="s">
        <v>701</v>
      </c>
      <c r="B695">
        <v>64</v>
      </c>
      <c r="C695">
        <v>27</v>
      </c>
      <c r="D695">
        <v>7</v>
      </c>
      <c r="E695">
        <v>20</v>
      </c>
      <c r="F695">
        <v>0.4</v>
      </c>
      <c r="G695">
        <v>0.48</v>
      </c>
      <c r="H695">
        <v>13</v>
      </c>
    </row>
    <row r="696" spans="1:8" x14ac:dyDescent="0.3">
      <c r="A696" t="s">
        <v>702</v>
      </c>
      <c r="B696">
        <v>74</v>
      </c>
      <c r="C696">
        <v>33</v>
      </c>
      <c r="D696">
        <v>8</v>
      </c>
      <c r="E696">
        <v>25</v>
      </c>
      <c r="F696">
        <v>0.4</v>
      </c>
      <c r="G696">
        <v>0.61</v>
      </c>
      <c r="H696">
        <v>20</v>
      </c>
    </row>
    <row r="697" spans="1:8" x14ac:dyDescent="0.3">
      <c r="A697" t="s">
        <v>703</v>
      </c>
      <c r="B697">
        <v>83</v>
      </c>
      <c r="C697">
        <v>29</v>
      </c>
      <c r="D697">
        <v>10</v>
      </c>
      <c r="E697">
        <v>19</v>
      </c>
      <c r="F697">
        <v>0.3</v>
      </c>
      <c r="G697">
        <v>1.03</v>
      </c>
      <c r="H697">
        <v>30</v>
      </c>
    </row>
    <row r="698" spans="1:8" x14ac:dyDescent="0.3">
      <c r="A698" t="s">
        <v>704</v>
      </c>
      <c r="B698">
        <v>90</v>
      </c>
      <c r="C698">
        <v>32</v>
      </c>
      <c r="D698">
        <v>7</v>
      </c>
      <c r="E698">
        <v>25</v>
      </c>
      <c r="F698">
        <v>0.4</v>
      </c>
      <c r="G698">
        <v>0.63</v>
      </c>
      <c r="H698">
        <v>20</v>
      </c>
    </row>
    <row r="699" spans="1:8" x14ac:dyDescent="0.3">
      <c r="A699" t="s">
        <v>705</v>
      </c>
      <c r="B699">
        <v>91</v>
      </c>
      <c r="C699">
        <v>36</v>
      </c>
      <c r="D699">
        <v>5</v>
      </c>
      <c r="E699">
        <v>31</v>
      </c>
      <c r="F699">
        <v>0.4</v>
      </c>
      <c r="G699">
        <v>0.47</v>
      </c>
      <c r="H699">
        <v>17</v>
      </c>
    </row>
    <row r="700" spans="1:8" x14ac:dyDescent="0.3">
      <c r="A700" t="s">
        <v>706</v>
      </c>
      <c r="B700">
        <v>93</v>
      </c>
      <c r="C700">
        <v>45</v>
      </c>
      <c r="D700">
        <v>5</v>
      </c>
      <c r="E700">
        <v>40</v>
      </c>
      <c r="F700">
        <v>0.5</v>
      </c>
      <c r="G700">
        <v>0.24</v>
      </c>
      <c r="H700">
        <v>11</v>
      </c>
    </row>
    <row r="701" spans="1:8" x14ac:dyDescent="0.3">
      <c r="A701" t="s">
        <v>707</v>
      </c>
      <c r="B701">
        <v>83</v>
      </c>
      <c r="C701">
        <v>35</v>
      </c>
      <c r="D701">
        <v>6</v>
      </c>
      <c r="E701">
        <v>29</v>
      </c>
      <c r="F701">
        <v>0.4</v>
      </c>
      <c r="G701">
        <v>0.49</v>
      </c>
      <c r="H701">
        <v>17</v>
      </c>
    </row>
    <row r="702" spans="1:8" x14ac:dyDescent="0.3">
      <c r="A702" t="s">
        <v>708</v>
      </c>
      <c r="B702">
        <v>86</v>
      </c>
      <c r="C702">
        <v>34</v>
      </c>
      <c r="D702">
        <v>6</v>
      </c>
      <c r="E702">
        <v>29</v>
      </c>
      <c r="F702">
        <v>0.4</v>
      </c>
      <c r="G702">
        <v>0.47</v>
      </c>
      <c r="H702">
        <v>16</v>
      </c>
    </row>
    <row r="703" spans="1:8" x14ac:dyDescent="0.3">
      <c r="A703" t="s">
        <v>709</v>
      </c>
      <c r="B703">
        <v>81</v>
      </c>
      <c r="C703">
        <v>31</v>
      </c>
      <c r="D703">
        <v>7</v>
      </c>
      <c r="E703">
        <v>25</v>
      </c>
      <c r="F703">
        <v>0.4</v>
      </c>
      <c r="G703">
        <v>0.52</v>
      </c>
      <c r="H703">
        <v>16</v>
      </c>
    </row>
    <row r="704" spans="1:8" x14ac:dyDescent="0.3">
      <c r="A704" t="s">
        <v>710</v>
      </c>
      <c r="B704">
        <v>77</v>
      </c>
      <c r="C704">
        <v>28</v>
      </c>
      <c r="D704">
        <v>4</v>
      </c>
      <c r="E704">
        <v>24</v>
      </c>
      <c r="F704">
        <v>0.4</v>
      </c>
      <c r="G704">
        <v>0.39</v>
      </c>
      <c r="H704">
        <v>11</v>
      </c>
    </row>
    <row r="705" spans="1:8" x14ac:dyDescent="0.3">
      <c r="A705" t="s">
        <v>711</v>
      </c>
      <c r="B705">
        <v>67</v>
      </c>
      <c r="C705">
        <v>22</v>
      </c>
      <c r="D705">
        <v>3</v>
      </c>
      <c r="E705">
        <v>19</v>
      </c>
      <c r="F705">
        <v>0.3</v>
      </c>
      <c r="G705">
        <v>0.32</v>
      </c>
      <c r="H705">
        <v>7</v>
      </c>
    </row>
    <row r="706" spans="1:8" x14ac:dyDescent="0.3">
      <c r="A706" t="s">
        <v>712</v>
      </c>
      <c r="B706">
        <v>69</v>
      </c>
      <c r="C706">
        <v>23</v>
      </c>
      <c r="D706">
        <v>3</v>
      </c>
      <c r="E706">
        <v>20</v>
      </c>
      <c r="F706">
        <v>0.3</v>
      </c>
      <c r="G706">
        <v>0.26</v>
      </c>
      <c r="H706">
        <v>6</v>
      </c>
    </row>
    <row r="707" spans="1:8" x14ac:dyDescent="0.3">
      <c r="A707" t="s">
        <v>713</v>
      </c>
      <c r="B707">
        <v>52</v>
      </c>
      <c r="C707">
        <v>21</v>
      </c>
      <c r="D707">
        <v>5</v>
      </c>
      <c r="E707">
        <v>16</v>
      </c>
      <c r="F707">
        <v>0.4</v>
      </c>
      <c r="G707">
        <v>0.38</v>
      </c>
      <c r="H707">
        <v>8</v>
      </c>
    </row>
    <row r="708" spans="1:8" x14ac:dyDescent="0.3">
      <c r="A708" t="s">
        <v>714</v>
      </c>
      <c r="B708">
        <v>53</v>
      </c>
      <c r="C708">
        <v>18</v>
      </c>
      <c r="D708">
        <v>4</v>
      </c>
      <c r="E708">
        <v>14</v>
      </c>
      <c r="F708">
        <v>0.3</v>
      </c>
      <c r="G708">
        <v>0.56000000000000005</v>
      </c>
      <c r="H708">
        <v>10</v>
      </c>
    </row>
    <row r="709" spans="1:8" x14ac:dyDescent="0.3">
      <c r="A709" t="s">
        <v>715</v>
      </c>
      <c r="B709">
        <v>51</v>
      </c>
      <c r="C709">
        <v>17</v>
      </c>
      <c r="D709">
        <v>2</v>
      </c>
      <c r="E709">
        <v>15</v>
      </c>
      <c r="F709">
        <v>0.3</v>
      </c>
      <c r="G709">
        <v>0.41</v>
      </c>
      <c r="H709">
        <v>7</v>
      </c>
    </row>
    <row r="710" spans="1:8" x14ac:dyDescent="0.3">
      <c r="A710" t="s">
        <v>716</v>
      </c>
      <c r="B710">
        <v>43</v>
      </c>
      <c r="C710">
        <v>18</v>
      </c>
      <c r="D710">
        <v>5</v>
      </c>
      <c r="E710">
        <v>12</v>
      </c>
      <c r="F710">
        <v>0.4</v>
      </c>
      <c r="G710">
        <v>0.44</v>
      </c>
      <c r="H710">
        <v>8</v>
      </c>
    </row>
    <row r="711" spans="1:8" x14ac:dyDescent="0.3">
      <c r="A711" t="s">
        <v>717</v>
      </c>
      <c r="B711">
        <v>41</v>
      </c>
      <c r="C711">
        <v>16</v>
      </c>
      <c r="D711">
        <v>4</v>
      </c>
      <c r="E711">
        <v>12</v>
      </c>
      <c r="F711">
        <v>0.4</v>
      </c>
      <c r="G711">
        <v>0.81</v>
      </c>
      <c r="H711">
        <v>13</v>
      </c>
    </row>
    <row r="712" spans="1:8" x14ac:dyDescent="0.3">
      <c r="A712" t="s">
        <v>718</v>
      </c>
      <c r="B712">
        <v>37</v>
      </c>
      <c r="C712">
        <v>12</v>
      </c>
      <c r="D712">
        <v>3</v>
      </c>
      <c r="E712">
        <v>9</v>
      </c>
      <c r="F712">
        <v>0.3</v>
      </c>
      <c r="G712">
        <v>0.67</v>
      </c>
      <c r="H712">
        <v>8</v>
      </c>
    </row>
    <row r="713" spans="1:8" x14ac:dyDescent="0.3">
      <c r="A713" t="s">
        <v>719</v>
      </c>
      <c r="B713">
        <v>27</v>
      </c>
      <c r="C713">
        <v>7</v>
      </c>
      <c r="D713">
        <v>2</v>
      </c>
      <c r="E713">
        <v>5</v>
      </c>
      <c r="F713">
        <v>0.3</v>
      </c>
      <c r="G713">
        <v>0.56999999999999995</v>
      </c>
      <c r="H713">
        <v>4</v>
      </c>
    </row>
    <row r="714" spans="1:8" x14ac:dyDescent="0.3">
      <c r="A714" t="s">
        <v>720</v>
      </c>
      <c r="B714">
        <v>18</v>
      </c>
      <c r="C714">
        <v>5</v>
      </c>
      <c r="D714">
        <v>1</v>
      </c>
      <c r="E714">
        <v>5</v>
      </c>
      <c r="F714">
        <v>0.3</v>
      </c>
      <c r="G714">
        <v>0.4</v>
      </c>
      <c r="H714">
        <v>2</v>
      </c>
    </row>
    <row r="715" spans="1:8" x14ac:dyDescent="0.3">
      <c r="A715" t="s">
        <v>721</v>
      </c>
      <c r="B715">
        <v>24</v>
      </c>
      <c r="C715">
        <v>9</v>
      </c>
      <c r="D715">
        <v>1</v>
      </c>
      <c r="E715">
        <v>7</v>
      </c>
      <c r="F715">
        <v>0.4</v>
      </c>
      <c r="G715">
        <v>0.33</v>
      </c>
      <c r="H715">
        <v>3</v>
      </c>
    </row>
    <row r="716" spans="1:8" x14ac:dyDescent="0.3">
      <c r="A716" t="s">
        <v>722</v>
      </c>
      <c r="B716">
        <v>34</v>
      </c>
      <c r="C716">
        <v>14</v>
      </c>
      <c r="D716">
        <v>4</v>
      </c>
      <c r="E716">
        <v>11</v>
      </c>
      <c r="F716">
        <v>0.4</v>
      </c>
      <c r="G716">
        <v>0.71</v>
      </c>
      <c r="H716">
        <v>10</v>
      </c>
    </row>
    <row r="717" spans="1:8" x14ac:dyDescent="0.3">
      <c r="A717" t="s">
        <v>723</v>
      </c>
      <c r="B717">
        <v>40</v>
      </c>
      <c r="C717">
        <v>19</v>
      </c>
      <c r="D717">
        <v>5</v>
      </c>
      <c r="E717">
        <v>13</v>
      </c>
      <c r="F717">
        <v>0.5</v>
      </c>
      <c r="G717">
        <v>0.68</v>
      </c>
      <c r="H717">
        <v>13</v>
      </c>
    </row>
    <row r="718" spans="1:8" x14ac:dyDescent="0.3">
      <c r="A718" t="s">
        <v>724</v>
      </c>
      <c r="B718">
        <v>47</v>
      </c>
      <c r="C718">
        <v>24</v>
      </c>
      <c r="D718">
        <v>7</v>
      </c>
      <c r="E718">
        <v>17</v>
      </c>
      <c r="F718">
        <v>0.5</v>
      </c>
      <c r="G718">
        <v>0.79</v>
      </c>
      <c r="H718">
        <v>19</v>
      </c>
    </row>
    <row r="719" spans="1:8" x14ac:dyDescent="0.3">
      <c r="A719" t="s">
        <v>725</v>
      </c>
      <c r="B719">
        <v>59</v>
      </c>
      <c r="C719">
        <v>26</v>
      </c>
      <c r="D719">
        <v>5</v>
      </c>
      <c r="E719">
        <v>21</v>
      </c>
      <c r="F719">
        <v>0.4</v>
      </c>
      <c r="G719">
        <v>0.57999999999999996</v>
      </c>
      <c r="H719">
        <v>15</v>
      </c>
    </row>
    <row r="720" spans="1:8" x14ac:dyDescent="0.3">
      <c r="A720" t="s">
        <v>726</v>
      </c>
      <c r="B720">
        <v>74</v>
      </c>
      <c r="C720">
        <v>30</v>
      </c>
      <c r="D720">
        <v>8</v>
      </c>
      <c r="E720">
        <v>22</v>
      </c>
      <c r="F720">
        <v>0.4</v>
      </c>
      <c r="G720">
        <v>0.7</v>
      </c>
      <c r="H720">
        <v>21</v>
      </c>
    </row>
    <row r="721" spans="1:8" x14ac:dyDescent="0.3">
      <c r="A721" t="s">
        <v>727</v>
      </c>
      <c r="B721">
        <v>88</v>
      </c>
      <c r="C721">
        <v>35</v>
      </c>
      <c r="D721">
        <v>10</v>
      </c>
      <c r="E721">
        <v>25</v>
      </c>
      <c r="F721">
        <v>0.4</v>
      </c>
      <c r="G721">
        <v>0.77</v>
      </c>
      <c r="H721">
        <v>27</v>
      </c>
    </row>
    <row r="722" spans="1:8" x14ac:dyDescent="0.3">
      <c r="A722" t="s">
        <v>728</v>
      </c>
      <c r="B722">
        <v>95</v>
      </c>
      <c r="C722">
        <v>40</v>
      </c>
      <c r="D722">
        <v>9</v>
      </c>
      <c r="E722">
        <v>31</v>
      </c>
      <c r="F722">
        <v>0.4</v>
      </c>
      <c r="G722">
        <v>0.7</v>
      </c>
      <c r="H722">
        <v>28</v>
      </c>
    </row>
    <row r="723" spans="1:8" x14ac:dyDescent="0.3">
      <c r="A723" t="s">
        <v>729</v>
      </c>
      <c r="B723">
        <v>106</v>
      </c>
      <c r="C723">
        <v>46</v>
      </c>
      <c r="D723">
        <v>4</v>
      </c>
      <c r="E723">
        <v>42</v>
      </c>
      <c r="F723">
        <v>0.4</v>
      </c>
      <c r="G723">
        <v>0.28000000000000003</v>
      </c>
      <c r="H723">
        <v>13</v>
      </c>
    </row>
    <row r="724" spans="1:8" x14ac:dyDescent="0.3">
      <c r="A724" t="s">
        <v>730</v>
      </c>
      <c r="B724">
        <v>108</v>
      </c>
      <c r="C724">
        <v>44</v>
      </c>
      <c r="D724">
        <v>7</v>
      </c>
      <c r="E724">
        <v>36</v>
      </c>
      <c r="F724">
        <v>0.4</v>
      </c>
      <c r="G724">
        <v>0.41</v>
      </c>
      <c r="H724">
        <v>18</v>
      </c>
    </row>
    <row r="725" spans="1:8" x14ac:dyDescent="0.3">
      <c r="A725" t="s">
        <v>731</v>
      </c>
      <c r="B725">
        <v>108</v>
      </c>
      <c r="C725">
        <v>42</v>
      </c>
      <c r="D725">
        <v>12</v>
      </c>
      <c r="E725">
        <v>31</v>
      </c>
      <c r="F725">
        <v>0.4</v>
      </c>
      <c r="G725">
        <v>0.55000000000000004</v>
      </c>
      <c r="H725">
        <v>23</v>
      </c>
    </row>
    <row r="726" spans="1:8" x14ac:dyDescent="0.3">
      <c r="A726" t="s">
        <v>732</v>
      </c>
      <c r="B726">
        <v>102</v>
      </c>
      <c r="C726">
        <v>40</v>
      </c>
      <c r="D726">
        <v>15</v>
      </c>
      <c r="E726">
        <v>24</v>
      </c>
      <c r="F726">
        <v>0.4</v>
      </c>
      <c r="G726">
        <v>0.68</v>
      </c>
      <c r="H726">
        <v>27</v>
      </c>
    </row>
    <row r="727" spans="1:8" x14ac:dyDescent="0.3">
      <c r="A727" t="s">
        <v>733</v>
      </c>
      <c r="B727">
        <v>83</v>
      </c>
      <c r="C727">
        <v>37</v>
      </c>
      <c r="D727">
        <v>22</v>
      </c>
      <c r="E727">
        <v>15</v>
      </c>
      <c r="F727">
        <v>0.4</v>
      </c>
      <c r="G727">
        <v>0.78</v>
      </c>
      <c r="H727">
        <v>29</v>
      </c>
    </row>
    <row r="728" spans="1:8" x14ac:dyDescent="0.3">
      <c r="A728" t="s">
        <v>734</v>
      </c>
      <c r="B728">
        <v>82</v>
      </c>
      <c r="C728">
        <v>25</v>
      </c>
      <c r="D728">
        <v>11</v>
      </c>
      <c r="E728">
        <v>14</v>
      </c>
      <c r="F728">
        <v>0.3</v>
      </c>
      <c r="G728">
        <v>1</v>
      </c>
      <c r="H728">
        <v>25</v>
      </c>
    </row>
    <row r="729" spans="1:8" x14ac:dyDescent="0.3">
      <c r="A729" t="s">
        <v>735</v>
      </c>
      <c r="B729">
        <v>63</v>
      </c>
      <c r="C729">
        <v>22</v>
      </c>
      <c r="D729">
        <v>10</v>
      </c>
      <c r="E729">
        <v>11</v>
      </c>
      <c r="F729">
        <v>0.3</v>
      </c>
      <c r="G729">
        <v>0.68</v>
      </c>
      <c r="H729">
        <v>15</v>
      </c>
    </row>
    <row r="730" spans="1:8" x14ac:dyDescent="0.3">
      <c r="A730" t="s">
        <v>736</v>
      </c>
      <c r="B730">
        <v>62</v>
      </c>
      <c r="C730">
        <v>22</v>
      </c>
      <c r="D730">
        <v>10</v>
      </c>
      <c r="E730">
        <v>11</v>
      </c>
      <c r="F730">
        <v>0.4</v>
      </c>
      <c r="G730">
        <v>0.86</v>
      </c>
      <c r="H730">
        <v>19</v>
      </c>
    </row>
    <row r="731" spans="1:8" x14ac:dyDescent="0.3">
      <c r="A731" t="s">
        <v>737</v>
      </c>
      <c r="B731">
        <v>65</v>
      </c>
      <c r="C731">
        <v>21</v>
      </c>
      <c r="D731">
        <v>6</v>
      </c>
      <c r="E731">
        <v>15</v>
      </c>
      <c r="F731">
        <v>0.3</v>
      </c>
      <c r="G731">
        <v>0.56999999999999995</v>
      </c>
      <c r="H731">
        <v>12</v>
      </c>
    </row>
    <row r="732" spans="1:8" x14ac:dyDescent="0.3">
      <c r="A732" t="s">
        <v>738</v>
      </c>
      <c r="B732">
        <v>65</v>
      </c>
      <c r="C732">
        <v>23</v>
      </c>
      <c r="D732">
        <v>4</v>
      </c>
      <c r="E732">
        <v>18</v>
      </c>
      <c r="F732">
        <v>0.4</v>
      </c>
      <c r="G732">
        <v>0.39</v>
      </c>
      <c r="H732">
        <v>9</v>
      </c>
    </row>
    <row r="733" spans="1:8" x14ac:dyDescent="0.3">
      <c r="A733" t="s">
        <v>739</v>
      </c>
      <c r="B733">
        <v>58</v>
      </c>
      <c r="C733">
        <v>22</v>
      </c>
      <c r="D733">
        <v>6</v>
      </c>
      <c r="E733">
        <v>16</v>
      </c>
      <c r="F733">
        <v>0.4</v>
      </c>
      <c r="G733">
        <v>0.45</v>
      </c>
      <c r="H733">
        <v>10</v>
      </c>
    </row>
    <row r="734" spans="1:8" x14ac:dyDescent="0.3">
      <c r="A734" t="s">
        <v>740</v>
      </c>
      <c r="B734">
        <v>56</v>
      </c>
      <c r="C734">
        <v>23</v>
      </c>
      <c r="D734">
        <v>5</v>
      </c>
      <c r="E734">
        <v>18</v>
      </c>
      <c r="F734">
        <v>0.4</v>
      </c>
      <c r="G734">
        <v>0.39</v>
      </c>
      <c r="H734">
        <v>9</v>
      </c>
    </row>
    <row r="735" spans="1:8" x14ac:dyDescent="0.3">
      <c r="A735" t="s">
        <v>741</v>
      </c>
      <c r="B735">
        <v>67</v>
      </c>
      <c r="C735">
        <v>27</v>
      </c>
      <c r="D735">
        <v>10</v>
      </c>
      <c r="E735">
        <v>17</v>
      </c>
      <c r="F735">
        <v>0.4</v>
      </c>
      <c r="G735">
        <v>0.67</v>
      </c>
      <c r="H735">
        <v>18</v>
      </c>
    </row>
    <row r="736" spans="1:8" x14ac:dyDescent="0.3">
      <c r="A736" t="s">
        <v>742</v>
      </c>
      <c r="B736">
        <v>58</v>
      </c>
      <c r="C736">
        <v>24</v>
      </c>
      <c r="D736">
        <v>12</v>
      </c>
      <c r="E736">
        <v>12</v>
      </c>
      <c r="F736">
        <v>0.4</v>
      </c>
      <c r="G736">
        <v>1.04</v>
      </c>
      <c r="H736">
        <v>25</v>
      </c>
    </row>
    <row r="737" spans="1:8" x14ac:dyDescent="0.3">
      <c r="A737" t="s">
        <v>743</v>
      </c>
      <c r="B737">
        <v>48</v>
      </c>
      <c r="C737">
        <v>16</v>
      </c>
      <c r="D737">
        <v>8</v>
      </c>
      <c r="E737">
        <v>8</v>
      </c>
      <c r="F737">
        <v>0.3</v>
      </c>
      <c r="G737">
        <v>1</v>
      </c>
      <c r="H737">
        <v>16</v>
      </c>
    </row>
    <row r="738" spans="1:8" x14ac:dyDescent="0.3">
      <c r="A738" t="s">
        <v>744</v>
      </c>
      <c r="B738">
        <v>38</v>
      </c>
      <c r="C738">
        <v>9</v>
      </c>
      <c r="D738">
        <v>3</v>
      </c>
      <c r="E738">
        <v>6</v>
      </c>
      <c r="F738">
        <v>0.2</v>
      </c>
      <c r="G738">
        <v>1.22</v>
      </c>
      <c r="H738">
        <v>11</v>
      </c>
    </row>
    <row r="739" spans="1:8" x14ac:dyDescent="0.3">
      <c r="A739" t="s">
        <v>745</v>
      </c>
      <c r="B739">
        <v>19</v>
      </c>
      <c r="C739">
        <v>5</v>
      </c>
      <c r="D739">
        <v>1</v>
      </c>
      <c r="E739">
        <v>4</v>
      </c>
      <c r="F739">
        <v>0.3</v>
      </c>
      <c r="G739">
        <v>0.2</v>
      </c>
      <c r="H739">
        <v>1</v>
      </c>
    </row>
    <row r="740" spans="1:8" x14ac:dyDescent="0.3">
      <c r="A740" t="s">
        <v>746</v>
      </c>
      <c r="B740">
        <v>20</v>
      </c>
      <c r="C740">
        <v>7</v>
      </c>
      <c r="D740">
        <v>1</v>
      </c>
      <c r="E740">
        <v>5</v>
      </c>
      <c r="F740">
        <v>0.3</v>
      </c>
      <c r="G740">
        <v>0.28999999999999998</v>
      </c>
      <c r="H740">
        <v>2</v>
      </c>
    </row>
    <row r="741" spans="1:8" x14ac:dyDescent="0.3">
      <c r="A741" t="s">
        <v>747</v>
      </c>
      <c r="B741">
        <v>27</v>
      </c>
      <c r="C741">
        <v>12</v>
      </c>
      <c r="D741">
        <v>4</v>
      </c>
      <c r="E741">
        <v>8</v>
      </c>
      <c r="F741">
        <v>0.4</v>
      </c>
      <c r="G741">
        <v>0.75</v>
      </c>
      <c r="H741">
        <v>9</v>
      </c>
    </row>
    <row r="742" spans="1:8" x14ac:dyDescent="0.3">
      <c r="A742" t="s">
        <v>748</v>
      </c>
      <c r="B742">
        <v>40</v>
      </c>
      <c r="C742">
        <v>20</v>
      </c>
      <c r="D742">
        <v>4</v>
      </c>
      <c r="E742">
        <v>16</v>
      </c>
      <c r="F742">
        <v>0.5</v>
      </c>
      <c r="G742">
        <v>0.6</v>
      </c>
      <c r="H742">
        <v>12</v>
      </c>
    </row>
    <row r="743" spans="1:8" x14ac:dyDescent="0.3">
      <c r="A743" t="s">
        <v>749</v>
      </c>
      <c r="B743">
        <v>45</v>
      </c>
      <c r="C743">
        <v>24</v>
      </c>
      <c r="D743">
        <v>1</v>
      </c>
      <c r="E743">
        <v>23</v>
      </c>
      <c r="F743">
        <v>0.5</v>
      </c>
      <c r="G743">
        <v>0.17</v>
      </c>
      <c r="H743">
        <v>4</v>
      </c>
    </row>
    <row r="744" spans="1:8" x14ac:dyDescent="0.3">
      <c r="A744" t="s">
        <v>750</v>
      </c>
      <c r="B744">
        <v>61</v>
      </c>
      <c r="C744">
        <v>28</v>
      </c>
      <c r="D744">
        <v>5</v>
      </c>
      <c r="E744">
        <v>23</v>
      </c>
      <c r="F744">
        <v>0.5</v>
      </c>
      <c r="G744">
        <v>0.56999999999999995</v>
      </c>
      <c r="H744">
        <v>16</v>
      </c>
    </row>
    <row r="745" spans="1:8" x14ac:dyDescent="0.3">
      <c r="A745" t="s">
        <v>751</v>
      </c>
      <c r="B745">
        <v>62</v>
      </c>
      <c r="C745">
        <v>30</v>
      </c>
      <c r="D745">
        <v>8</v>
      </c>
      <c r="E745">
        <v>22</v>
      </c>
      <c r="F745">
        <v>0.5</v>
      </c>
      <c r="G745">
        <v>0.8</v>
      </c>
      <c r="H745">
        <v>24</v>
      </c>
    </row>
    <row r="746" spans="1:8" x14ac:dyDescent="0.3">
      <c r="A746" t="s">
        <v>752</v>
      </c>
      <c r="B746">
        <v>68</v>
      </c>
      <c r="C746">
        <v>30</v>
      </c>
      <c r="D746">
        <v>11</v>
      </c>
      <c r="E746">
        <v>19</v>
      </c>
      <c r="F746">
        <v>0.4</v>
      </c>
      <c r="G746">
        <v>0.83</v>
      </c>
      <c r="H746">
        <v>25</v>
      </c>
    </row>
    <row r="747" spans="1:8" x14ac:dyDescent="0.3">
      <c r="A747" t="s">
        <v>753</v>
      </c>
      <c r="B747">
        <v>77</v>
      </c>
      <c r="C747">
        <v>34</v>
      </c>
      <c r="D747">
        <v>13</v>
      </c>
      <c r="E747">
        <v>21</v>
      </c>
      <c r="F747">
        <v>0.4</v>
      </c>
      <c r="G747">
        <v>1.1200000000000001</v>
      </c>
      <c r="H747">
        <v>38</v>
      </c>
    </row>
    <row r="748" spans="1:8" x14ac:dyDescent="0.3">
      <c r="A748" t="s">
        <v>754</v>
      </c>
      <c r="B748">
        <v>95</v>
      </c>
      <c r="C748">
        <v>38</v>
      </c>
      <c r="D748">
        <v>11</v>
      </c>
      <c r="E748">
        <v>27</v>
      </c>
      <c r="F748">
        <v>0.4</v>
      </c>
      <c r="G748">
        <v>0.76</v>
      </c>
      <c r="H748">
        <v>29</v>
      </c>
    </row>
    <row r="749" spans="1:8" x14ac:dyDescent="0.3">
      <c r="A749" t="s">
        <v>755</v>
      </c>
      <c r="B749">
        <v>97</v>
      </c>
      <c r="C749">
        <v>42</v>
      </c>
      <c r="D749">
        <v>9</v>
      </c>
      <c r="E749">
        <v>33</v>
      </c>
      <c r="F749">
        <v>0.4</v>
      </c>
      <c r="G749">
        <v>0.55000000000000004</v>
      </c>
      <c r="H749">
        <v>23</v>
      </c>
    </row>
    <row r="750" spans="1:8" x14ac:dyDescent="0.3">
      <c r="A750" t="s">
        <v>756</v>
      </c>
      <c r="B750">
        <v>87</v>
      </c>
      <c r="C750">
        <v>38</v>
      </c>
      <c r="D750">
        <v>14</v>
      </c>
      <c r="E750">
        <v>24</v>
      </c>
      <c r="F750">
        <v>0.4</v>
      </c>
      <c r="G750">
        <v>0.45</v>
      </c>
      <c r="H750">
        <v>17</v>
      </c>
    </row>
    <row r="751" spans="1:8" x14ac:dyDescent="0.3">
      <c r="A751" t="s">
        <v>757</v>
      </c>
      <c r="B751">
        <v>83</v>
      </c>
      <c r="C751">
        <v>31</v>
      </c>
      <c r="D751">
        <v>18</v>
      </c>
      <c r="E751">
        <v>13</v>
      </c>
      <c r="F751">
        <v>0.4</v>
      </c>
      <c r="G751">
        <v>1</v>
      </c>
      <c r="H751">
        <v>31</v>
      </c>
    </row>
    <row r="752" spans="1:8" x14ac:dyDescent="0.3">
      <c r="A752" t="s">
        <v>758</v>
      </c>
      <c r="B752">
        <v>82</v>
      </c>
      <c r="C752">
        <v>26</v>
      </c>
      <c r="D752">
        <v>9</v>
      </c>
      <c r="E752">
        <v>17</v>
      </c>
      <c r="F752">
        <v>0.3</v>
      </c>
      <c r="G752">
        <v>0.69</v>
      </c>
      <c r="H752">
        <v>18</v>
      </c>
    </row>
    <row r="753" spans="1:8" x14ac:dyDescent="0.3">
      <c r="A753" t="s">
        <v>759</v>
      </c>
      <c r="B753">
        <v>71</v>
      </c>
      <c r="C753">
        <v>22</v>
      </c>
      <c r="D753">
        <v>6</v>
      </c>
      <c r="E753">
        <v>17</v>
      </c>
      <c r="F753">
        <v>0.3</v>
      </c>
      <c r="G753">
        <v>0.59</v>
      </c>
      <c r="H753">
        <v>13</v>
      </c>
    </row>
    <row r="754" spans="1:8" x14ac:dyDescent="0.3">
      <c r="A754" t="s">
        <v>760</v>
      </c>
      <c r="B754">
        <v>63</v>
      </c>
      <c r="C754">
        <v>19</v>
      </c>
      <c r="D754">
        <v>4</v>
      </c>
      <c r="E754">
        <v>15</v>
      </c>
      <c r="F754">
        <v>0.3</v>
      </c>
      <c r="G754">
        <v>0.37</v>
      </c>
      <c r="H754">
        <v>7</v>
      </c>
    </row>
    <row r="755" spans="1:8" x14ac:dyDescent="0.3">
      <c r="A755" t="s">
        <v>761</v>
      </c>
      <c r="B755">
        <v>60</v>
      </c>
      <c r="C755">
        <v>21</v>
      </c>
      <c r="D755">
        <v>2</v>
      </c>
      <c r="E755">
        <v>19</v>
      </c>
      <c r="F755">
        <v>0.3</v>
      </c>
      <c r="G755">
        <v>0.19</v>
      </c>
      <c r="H755">
        <v>4</v>
      </c>
    </row>
    <row r="756" spans="1:8" x14ac:dyDescent="0.3">
      <c r="A756" t="s">
        <v>762</v>
      </c>
      <c r="B756">
        <v>51</v>
      </c>
      <c r="C756">
        <v>19</v>
      </c>
      <c r="D756">
        <v>4</v>
      </c>
      <c r="E756">
        <v>15</v>
      </c>
      <c r="F756">
        <v>0.4</v>
      </c>
      <c r="G756">
        <v>0.32</v>
      </c>
      <c r="H756">
        <v>6</v>
      </c>
    </row>
    <row r="757" spans="1:8" x14ac:dyDescent="0.3">
      <c r="A757" t="s">
        <v>763</v>
      </c>
      <c r="B757">
        <v>71</v>
      </c>
      <c r="C757">
        <v>24</v>
      </c>
      <c r="D757">
        <v>4</v>
      </c>
      <c r="E757">
        <v>21</v>
      </c>
      <c r="F757">
        <v>0.3</v>
      </c>
      <c r="G757">
        <v>0.46</v>
      </c>
      <c r="H757">
        <v>11</v>
      </c>
    </row>
    <row r="758" spans="1:8" x14ac:dyDescent="0.3">
      <c r="A758" t="s">
        <v>764</v>
      </c>
      <c r="B758">
        <v>74</v>
      </c>
      <c r="C758">
        <v>26</v>
      </c>
      <c r="D758">
        <v>4</v>
      </c>
      <c r="E758">
        <v>22</v>
      </c>
      <c r="F758">
        <v>0.4</v>
      </c>
      <c r="G758">
        <v>0.23</v>
      </c>
      <c r="H758">
        <v>6</v>
      </c>
    </row>
    <row r="759" spans="1:8" x14ac:dyDescent="0.3">
      <c r="A759" t="s">
        <v>765</v>
      </c>
      <c r="B759">
        <v>78</v>
      </c>
      <c r="C759">
        <v>35</v>
      </c>
      <c r="D759">
        <v>12</v>
      </c>
      <c r="E759">
        <v>23</v>
      </c>
      <c r="F759">
        <v>0.4</v>
      </c>
      <c r="G759">
        <v>0.56999999999999995</v>
      </c>
      <c r="H759">
        <v>20</v>
      </c>
    </row>
    <row r="760" spans="1:8" x14ac:dyDescent="0.3">
      <c r="A760" t="s">
        <v>766</v>
      </c>
      <c r="B760">
        <v>74</v>
      </c>
      <c r="C760">
        <v>32</v>
      </c>
      <c r="D760">
        <v>18</v>
      </c>
      <c r="E760">
        <v>14</v>
      </c>
      <c r="F760">
        <v>0.4</v>
      </c>
      <c r="G760">
        <v>0.94</v>
      </c>
      <c r="H760">
        <v>30</v>
      </c>
    </row>
    <row r="761" spans="1:8" x14ac:dyDescent="0.3">
      <c r="A761" t="s">
        <v>767</v>
      </c>
      <c r="B761">
        <v>59</v>
      </c>
      <c r="C761">
        <v>23</v>
      </c>
      <c r="D761">
        <v>11</v>
      </c>
      <c r="E761">
        <v>13</v>
      </c>
      <c r="F761">
        <v>0.4</v>
      </c>
      <c r="G761">
        <v>0.96</v>
      </c>
      <c r="H761">
        <v>22</v>
      </c>
    </row>
    <row r="762" spans="1:8" x14ac:dyDescent="0.3">
      <c r="A762" t="s">
        <v>768</v>
      </c>
      <c r="B762">
        <v>34</v>
      </c>
      <c r="C762">
        <v>9</v>
      </c>
      <c r="D762">
        <v>4</v>
      </c>
      <c r="E762">
        <v>5</v>
      </c>
      <c r="F762">
        <v>0.3</v>
      </c>
      <c r="G762">
        <v>1.1100000000000001</v>
      </c>
      <c r="H762">
        <v>10</v>
      </c>
    </row>
    <row r="763" spans="1:8" x14ac:dyDescent="0.3">
      <c r="A763" t="s">
        <v>769</v>
      </c>
      <c r="B763">
        <v>29</v>
      </c>
      <c r="C763">
        <v>7</v>
      </c>
      <c r="D763">
        <v>0</v>
      </c>
      <c r="E763">
        <v>7</v>
      </c>
      <c r="F763">
        <v>0.2</v>
      </c>
      <c r="G763">
        <v>0.28999999999999998</v>
      </c>
      <c r="H763">
        <v>2</v>
      </c>
    </row>
    <row r="764" spans="1:8" x14ac:dyDescent="0.3">
      <c r="A764" t="s">
        <v>770</v>
      </c>
      <c r="B764">
        <v>28</v>
      </c>
      <c r="C764">
        <v>10</v>
      </c>
      <c r="D764">
        <v>1</v>
      </c>
      <c r="E764">
        <v>9</v>
      </c>
      <c r="F764">
        <v>0.4</v>
      </c>
      <c r="G764">
        <v>0</v>
      </c>
    </row>
    <row r="765" spans="1:8" x14ac:dyDescent="0.3">
      <c r="A765" t="s">
        <v>771</v>
      </c>
      <c r="B765">
        <v>30</v>
      </c>
      <c r="C765">
        <v>12</v>
      </c>
      <c r="D765">
        <v>2</v>
      </c>
      <c r="E765">
        <v>11</v>
      </c>
      <c r="F765">
        <v>0.4</v>
      </c>
      <c r="G765">
        <v>0.25</v>
      </c>
      <c r="H765">
        <v>3</v>
      </c>
    </row>
    <row r="766" spans="1:8" x14ac:dyDescent="0.3">
      <c r="A766" t="s">
        <v>772</v>
      </c>
      <c r="B766">
        <v>37</v>
      </c>
      <c r="C766">
        <v>16</v>
      </c>
      <c r="D766">
        <v>4</v>
      </c>
      <c r="E766">
        <v>12</v>
      </c>
      <c r="F766">
        <v>0.4</v>
      </c>
      <c r="G766">
        <v>0.5</v>
      </c>
      <c r="H766">
        <v>8</v>
      </c>
    </row>
    <row r="767" spans="1:8" x14ac:dyDescent="0.3">
      <c r="A767" t="s">
        <v>773</v>
      </c>
      <c r="B767">
        <v>40</v>
      </c>
      <c r="C767">
        <v>21</v>
      </c>
      <c r="D767">
        <v>3</v>
      </c>
      <c r="E767">
        <v>18</v>
      </c>
      <c r="F767">
        <v>0.5</v>
      </c>
      <c r="G767">
        <v>0.24</v>
      </c>
      <c r="H767">
        <v>5</v>
      </c>
    </row>
    <row r="768" spans="1:8" x14ac:dyDescent="0.3">
      <c r="A768" t="s">
        <v>774</v>
      </c>
      <c r="B768">
        <v>55</v>
      </c>
      <c r="C768">
        <v>25</v>
      </c>
      <c r="D768">
        <v>2</v>
      </c>
      <c r="E768">
        <v>23</v>
      </c>
      <c r="F768">
        <v>0.5</v>
      </c>
      <c r="G768">
        <v>0.32</v>
      </c>
      <c r="H768">
        <v>8</v>
      </c>
    </row>
    <row r="769" spans="1:8" x14ac:dyDescent="0.3">
      <c r="A769" t="s">
        <v>775</v>
      </c>
      <c r="B769">
        <v>65</v>
      </c>
      <c r="C769">
        <v>32</v>
      </c>
      <c r="D769">
        <v>5</v>
      </c>
      <c r="E769">
        <v>27</v>
      </c>
      <c r="F769">
        <v>0.5</v>
      </c>
      <c r="G769">
        <v>0.28000000000000003</v>
      </c>
      <c r="H769">
        <v>9</v>
      </c>
    </row>
    <row r="770" spans="1:8" x14ac:dyDescent="0.3">
      <c r="A770" t="s">
        <v>776</v>
      </c>
      <c r="B770">
        <v>76</v>
      </c>
      <c r="C770">
        <v>33</v>
      </c>
      <c r="D770">
        <v>9</v>
      </c>
      <c r="E770">
        <v>24</v>
      </c>
      <c r="F770">
        <v>0.4</v>
      </c>
      <c r="G770">
        <v>0.73</v>
      </c>
      <c r="H770">
        <v>24</v>
      </c>
    </row>
    <row r="771" spans="1:8" x14ac:dyDescent="0.3">
      <c r="A771" t="s">
        <v>777</v>
      </c>
      <c r="B771">
        <v>84</v>
      </c>
      <c r="C771">
        <v>35</v>
      </c>
      <c r="D771">
        <v>11</v>
      </c>
      <c r="E771">
        <v>23</v>
      </c>
      <c r="F771">
        <v>0.4</v>
      </c>
      <c r="G771">
        <v>0.94</v>
      </c>
      <c r="H771">
        <v>33</v>
      </c>
    </row>
    <row r="772" spans="1:8" x14ac:dyDescent="0.3">
      <c r="A772" t="s">
        <v>778</v>
      </c>
      <c r="B772">
        <v>104</v>
      </c>
      <c r="C772">
        <v>43</v>
      </c>
      <c r="D772">
        <v>6</v>
      </c>
      <c r="E772">
        <v>36</v>
      </c>
      <c r="F772">
        <v>0.4</v>
      </c>
      <c r="G772">
        <v>0.44</v>
      </c>
      <c r="H772">
        <v>19</v>
      </c>
    </row>
    <row r="773" spans="1:8" x14ac:dyDescent="0.3">
      <c r="A773" t="s">
        <v>779</v>
      </c>
      <c r="B773">
        <v>103</v>
      </c>
      <c r="C773">
        <v>46</v>
      </c>
      <c r="D773">
        <v>7</v>
      </c>
      <c r="E773">
        <v>39</v>
      </c>
      <c r="F773">
        <v>0.4</v>
      </c>
      <c r="G773">
        <v>0.41</v>
      </c>
      <c r="H773">
        <v>19</v>
      </c>
    </row>
    <row r="774" spans="1:8" x14ac:dyDescent="0.3">
      <c r="A774" t="s">
        <v>780</v>
      </c>
      <c r="B774">
        <v>98</v>
      </c>
      <c r="C774">
        <v>38</v>
      </c>
      <c r="D774">
        <v>17</v>
      </c>
      <c r="E774">
        <v>21</v>
      </c>
      <c r="F774">
        <v>0.4</v>
      </c>
      <c r="G774">
        <v>1.05</v>
      </c>
      <c r="H774">
        <v>40</v>
      </c>
    </row>
    <row r="775" spans="1:8" x14ac:dyDescent="0.3">
      <c r="A775" t="s">
        <v>781</v>
      </c>
      <c r="B775">
        <v>92</v>
      </c>
      <c r="C775">
        <v>31</v>
      </c>
      <c r="D775">
        <v>16</v>
      </c>
      <c r="E775">
        <v>15</v>
      </c>
      <c r="F775">
        <v>0.3</v>
      </c>
      <c r="G775">
        <v>0.94</v>
      </c>
      <c r="H775">
        <v>29</v>
      </c>
    </row>
    <row r="776" spans="1:8" x14ac:dyDescent="0.3">
      <c r="A776" t="s">
        <v>782</v>
      </c>
      <c r="B776">
        <v>85</v>
      </c>
      <c r="C776">
        <v>30</v>
      </c>
      <c r="D776">
        <v>9</v>
      </c>
      <c r="E776">
        <v>21</v>
      </c>
      <c r="F776">
        <v>0.4</v>
      </c>
      <c r="G776">
        <v>0.67</v>
      </c>
      <c r="H776">
        <v>20</v>
      </c>
    </row>
    <row r="777" spans="1:8" x14ac:dyDescent="0.3">
      <c r="A777" t="s">
        <v>783</v>
      </c>
      <c r="B777">
        <v>94</v>
      </c>
      <c r="C777">
        <v>25</v>
      </c>
      <c r="D777">
        <v>2</v>
      </c>
      <c r="E777">
        <v>23</v>
      </c>
      <c r="F777">
        <v>0.3</v>
      </c>
      <c r="G777">
        <v>0.2</v>
      </c>
      <c r="H777">
        <v>5</v>
      </c>
    </row>
    <row r="778" spans="1:8" x14ac:dyDescent="0.3">
      <c r="A778" t="s">
        <v>784</v>
      </c>
      <c r="B778">
        <v>85</v>
      </c>
      <c r="C778">
        <v>29</v>
      </c>
      <c r="D778">
        <v>3</v>
      </c>
      <c r="E778">
        <v>26</v>
      </c>
      <c r="F778">
        <v>0.3</v>
      </c>
      <c r="G778">
        <v>0.21</v>
      </c>
      <c r="H778">
        <v>6</v>
      </c>
    </row>
    <row r="779" spans="1:8" x14ac:dyDescent="0.3">
      <c r="A779" t="s">
        <v>785</v>
      </c>
      <c r="B779">
        <v>76</v>
      </c>
      <c r="C779">
        <v>29</v>
      </c>
      <c r="D779">
        <v>3</v>
      </c>
      <c r="E779">
        <v>26</v>
      </c>
      <c r="F779">
        <v>0.4</v>
      </c>
      <c r="G779">
        <v>0.1</v>
      </c>
      <c r="H779">
        <v>3</v>
      </c>
    </row>
    <row r="780" spans="1:8" x14ac:dyDescent="0.3">
      <c r="A780" t="s">
        <v>786</v>
      </c>
      <c r="B780">
        <v>66</v>
      </c>
      <c r="C780">
        <v>25</v>
      </c>
      <c r="D780">
        <v>4</v>
      </c>
      <c r="E780">
        <v>20</v>
      </c>
      <c r="F780">
        <v>0.4</v>
      </c>
      <c r="G780">
        <v>0.36</v>
      </c>
      <c r="H780">
        <v>9</v>
      </c>
    </row>
    <row r="781" spans="1:8" x14ac:dyDescent="0.3">
      <c r="A781" t="s">
        <v>787</v>
      </c>
      <c r="B781">
        <v>70</v>
      </c>
      <c r="C781">
        <v>26</v>
      </c>
      <c r="D781">
        <v>6</v>
      </c>
      <c r="E781">
        <v>20</v>
      </c>
      <c r="F781">
        <v>0.4</v>
      </c>
      <c r="G781">
        <v>0.38</v>
      </c>
      <c r="H781">
        <v>10</v>
      </c>
    </row>
    <row r="782" spans="1:8" x14ac:dyDescent="0.3">
      <c r="A782" t="s">
        <v>788</v>
      </c>
      <c r="B782">
        <v>68</v>
      </c>
      <c r="C782">
        <v>25</v>
      </c>
      <c r="D782">
        <v>4</v>
      </c>
      <c r="E782">
        <v>20</v>
      </c>
      <c r="F782">
        <v>0.4</v>
      </c>
      <c r="G782">
        <v>0.32</v>
      </c>
      <c r="H782">
        <v>8</v>
      </c>
    </row>
    <row r="783" spans="1:8" x14ac:dyDescent="0.3">
      <c r="A783" t="s">
        <v>789</v>
      </c>
      <c r="B783">
        <v>84</v>
      </c>
      <c r="C783">
        <v>34</v>
      </c>
      <c r="D783">
        <v>8</v>
      </c>
      <c r="E783">
        <v>26</v>
      </c>
      <c r="F783">
        <v>0.4</v>
      </c>
      <c r="G783">
        <v>0.5</v>
      </c>
      <c r="H783">
        <v>17</v>
      </c>
    </row>
    <row r="784" spans="1:8" x14ac:dyDescent="0.3">
      <c r="A784" t="s">
        <v>790</v>
      </c>
      <c r="B784">
        <v>71</v>
      </c>
      <c r="C784">
        <v>30</v>
      </c>
      <c r="D784">
        <v>16</v>
      </c>
      <c r="E784">
        <v>14</v>
      </c>
      <c r="F784">
        <v>0.4</v>
      </c>
      <c r="G784">
        <v>1.07</v>
      </c>
      <c r="H784">
        <v>32</v>
      </c>
    </row>
    <row r="785" spans="1:8" x14ac:dyDescent="0.3">
      <c r="A785" t="s">
        <v>791</v>
      </c>
      <c r="B785">
        <v>55</v>
      </c>
      <c r="C785">
        <v>20</v>
      </c>
      <c r="D785">
        <v>9</v>
      </c>
      <c r="E785">
        <v>11</v>
      </c>
      <c r="F785">
        <v>0.4</v>
      </c>
      <c r="G785">
        <v>1</v>
      </c>
      <c r="H785">
        <v>20</v>
      </c>
    </row>
    <row r="786" spans="1:8" x14ac:dyDescent="0.3">
      <c r="A786" t="s">
        <v>792</v>
      </c>
      <c r="B786">
        <v>38</v>
      </c>
      <c r="C786">
        <v>12</v>
      </c>
      <c r="D786">
        <v>4</v>
      </c>
      <c r="E786">
        <v>8</v>
      </c>
      <c r="F786">
        <v>0.3</v>
      </c>
      <c r="G786">
        <v>0.75</v>
      </c>
      <c r="H786">
        <v>9</v>
      </c>
    </row>
    <row r="787" spans="1:8" x14ac:dyDescent="0.3">
      <c r="A787" t="s">
        <v>793</v>
      </c>
      <c r="B787">
        <v>30</v>
      </c>
      <c r="C787">
        <v>9</v>
      </c>
      <c r="D787">
        <v>0</v>
      </c>
      <c r="E787">
        <v>9</v>
      </c>
      <c r="F787">
        <v>0.3</v>
      </c>
      <c r="G787">
        <v>0</v>
      </c>
    </row>
    <row r="788" spans="1:8" x14ac:dyDescent="0.3">
      <c r="A788" t="s">
        <v>794</v>
      </c>
      <c r="B788">
        <v>25</v>
      </c>
      <c r="C788">
        <v>9</v>
      </c>
      <c r="D788">
        <v>0</v>
      </c>
      <c r="E788">
        <v>9</v>
      </c>
      <c r="F788">
        <v>0.4</v>
      </c>
      <c r="G788">
        <v>0</v>
      </c>
    </row>
    <row r="789" spans="1:8" x14ac:dyDescent="0.3">
      <c r="A789" t="s">
        <v>795</v>
      </c>
      <c r="B789">
        <v>27</v>
      </c>
      <c r="C789">
        <v>11</v>
      </c>
      <c r="D789">
        <v>0</v>
      </c>
      <c r="E789">
        <v>11</v>
      </c>
      <c r="F789">
        <v>0.4</v>
      </c>
      <c r="G789">
        <v>0.09</v>
      </c>
      <c r="H789">
        <v>1</v>
      </c>
    </row>
    <row r="790" spans="1:8" x14ac:dyDescent="0.3">
      <c r="A790" t="s">
        <v>796</v>
      </c>
      <c r="B790">
        <v>26</v>
      </c>
      <c r="C790">
        <v>13</v>
      </c>
      <c r="D790">
        <v>1</v>
      </c>
      <c r="E790">
        <v>12</v>
      </c>
      <c r="F790">
        <v>0.5</v>
      </c>
      <c r="G790">
        <v>0.15</v>
      </c>
      <c r="H790">
        <v>2</v>
      </c>
    </row>
    <row r="791" spans="1:8" x14ac:dyDescent="0.3">
      <c r="A791" t="s">
        <v>797</v>
      </c>
      <c r="B791">
        <v>34</v>
      </c>
      <c r="C791">
        <v>13</v>
      </c>
      <c r="D791">
        <v>1</v>
      </c>
      <c r="E791">
        <v>12</v>
      </c>
      <c r="F791">
        <v>0.4</v>
      </c>
      <c r="G791">
        <v>0.15</v>
      </c>
      <c r="H791">
        <v>2</v>
      </c>
    </row>
    <row r="792" spans="1:8" x14ac:dyDescent="0.3">
      <c r="A792" t="s">
        <v>798</v>
      </c>
      <c r="B792">
        <v>46</v>
      </c>
      <c r="C792">
        <v>19</v>
      </c>
      <c r="D792">
        <v>2</v>
      </c>
      <c r="E792">
        <v>17</v>
      </c>
      <c r="F792">
        <v>0.4</v>
      </c>
      <c r="G792">
        <v>0.37</v>
      </c>
      <c r="H792">
        <v>7</v>
      </c>
    </row>
    <row r="793" spans="1:8" x14ac:dyDescent="0.3">
      <c r="A793" t="s">
        <v>799</v>
      </c>
      <c r="B793">
        <v>54</v>
      </c>
      <c r="C793">
        <v>24</v>
      </c>
      <c r="D793">
        <v>5</v>
      </c>
      <c r="E793">
        <v>19</v>
      </c>
      <c r="F793">
        <v>0.4</v>
      </c>
      <c r="G793">
        <v>0.5</v>
      </c>
      <c r="H793">
        <v>12</v>
      </c>
    </row>
    <row r="794" spans="1:8" x14ac:dyDescent="0.3">
      <c r="A794" t="s">
        <v>800</v>
      </c>
      <c r="B794">
        <v>63</v>
      </c>
      <c r="C794">
        <v>24</v>
      </c>
      <c r="D794">
        <v>5</v>
      </c>
      <c r="E794">
        <v>19</v>
      </c>
      <c r="F794">
        <v>0.4</v>
      </c>
      <c r="G794">
        <v>0.63</v>
      </c>
      <c r="H794">
        <v>15</v>
      </c>
    </row>
    <row r="795" spans="1:8" x14ac:dyDescent="0.3">
      <c r="A795" t="s">
        <v>801</v>
      </c>
      <c r="B795">
        <v>68</v>
      </c>
      <c r="C795">
        <v>28</v>
      </c>
      <c r="D795">
        <v>8</v>
      </c>
      <c r="E795">
        <v>20</v>
      </c>
      <c r="F795">
        <v>0.4</v>
      </c>
      <c r="G795">
        <v>0.71</v>
      </c>
      <c r="H795">
        <v>20</v>
      </c>
    </row>
    <row r="796" spans="1:8" x14ac:dyDescent="0.3">
      <c r="A796" t="s">
        <v>802</v>
      </c>
      <c r="B796">
        <v>69</v>
      </c>
      <c r="C796">
        <v>31</v>
      </c>
      <c r="D796">
        <v>5</v>
      </c>
      <c r="E796">
        <v>26</v>
      </c>
      <c r="F796">
        <v>0.4</v>
      </c>
      <c r="G796">
        <v>0.57999999999999996</v>
      </c>
      <c r="H796">
        <v>18</v>
      </c>
    </row>
    <row r="797" spans="1:8" x14ac:dyDescent="0.3">
      <c r="A797" t="s">
        <v>803</v>
      </c>
      <c r="B797">
        <v>84</v>
      </c>
      <c r="C797">
        <v>33</v>
      </c>
      <c r="D797">
        <v>11</v>
      </c>
      <c r="E797">
        <v>22</v>
      </c>
      <c r="F797">
        <v>0.4</v>
      </c>
      <c r="G797">
        <v>0.55000000000000004</v>
      </c>
      <c r="H797">
        <v>18</v>
      </c>
    </row>
    <row r="798" spans="1:8" x14ac:dyDescent="0.3">
      <c r="A798" t="s">
        <v>804</v>
      </c>
      <c r="B798">
        <v>85</v>
      </c>
      <c r="C798">
        <v>31</v>
      </c>
      <c r="D798">
        <v>14</v>
      </c>
      <c r="E798">
        <v>17</v>
      </c>
      <c r="F798">
        <v>0.4</v>
      </c>
      <c r="G798">
        <v>1</v>
      </c>
      <c r="H798">
        <v>31</v>
      </c>
    </row>
    <row r="799" spans="1:8" x14ac:dyDescent="0.3">
      <c r="A799" t="s">
        <v>805</v>
      </c>
      <c r="B799">
        <v>78</v>
      </c>
      <c r="C799">
        <v>29</v>
      </c>
      <c r="D799">
        <v>13</v>
      </c>
      <c r="E799">
        <v>16</v>
      </c>
      <c r="F799">
        <v>0.4</v>
      </c>
      <c r="G799">
        <v>0.93</v>
      </c>
      <c r="H799">
        <v>27</v>
      </c>
    </row>
    <row r="800" spans="1:8" x14ac:dyDescent="0.3">
      <c r="A800" t="s">
        <v>806</v>
      </c>
      <c r="B800">
        <v>83</v>
      </c>
      <c r="C800">
        <v>23</v>
      </c>
      <c r="D800">
        <v>8</v>
      </c>
      <c r="E800">
        <v>15</v>
      </c>
      <c r="F800">
        <v>0.3</v>
      </c>
      <c r="G800">
        <v>0.65</v>
      </c>
      <c r="H800">
        <v>15</v>
      </c>
    </row>
    <row r="801" spans="1:8" x14ac:dyDescent="0.3">
      <c r="A801" t="s">
        <v>807</v>
      </c>
      <c r="B801">
        <v>80</v>
      </c>
      <c r="C801">
        <v>25</v>
      </c>
      <c r="D801">
        <v>3</v>
      </c>
      <c r="E801">
        <v>23</v>
      </c>
      <c r="F801">
        <v>0.3</v>
      </c>
      <c r="G801">
        <v>0.32</v>
      </c>
      <c r="H801">
        <v>8</v>
      </c>
    </row>
    <row r="802" spans="1:8" x14ac:dyDescent="0.3">
      <c r="A802" t="s">
        <v>808</v>
      </c>
      <c r="B802">
        <v>76</v>
      </c>
      <c r="C802">
        <v>20</v>
      </c>
      <c r="D802">
        <v>1</v>
      </c>
      <c r="E802">
        <v>19</v>
      </c>
      <c r="F802">
        <v>0.3</v>
      </c>
      <c r="G802">
        <v>0.2</v>
      </c>
      <c r="H802">
        <v>4</v>
      </c>
    </row>
    <row r="803" spans="1:8" x14ac:dyDescent="0.3">
      <c r="A803" t="s">
        <v>809</v>
      </c>
      <c r="B803">
        <v>66</v>
      </c>
      <c r="C803">
        <v>19</v>
      </c>
      <c r="D803">
        <v>3</v>
      </c>
      <c r="E803">
        <v>16</v>
      </c>
      <c r="F803">
        <v>0.3</v>
      </c>
      <c r="G803">
        <v>0.21</v>
      </c>
      <c r="H803">
        <v>4</v>
      </c>
    </row>
    <row r="804" spans="1:8" x14ac:dyDescent="0.3">
      <c r="A804" t="s">
        <v>810</v>
      </c>
      <c r="B804">
        <v>61</v>
      </c>
      <c r="C804">
        <v>22</v>
      </c>
      <c r="D804">
        <v>3</v>
      </c>
      <c r="E804">
        <v>20</v>
      </c>
      <c r="F804">
        <v>0.4</v>
      </c>
      <c r="G804">
        <v>0.27</v>
      </c>
      <c r="H804">
        <v>6</v>
      </c>
    </row>
    <row r="805" spans="1:8" x14ac:dyDescent="0.3">
      <c r="A805" t="s">
        <v>811</v>
      </c>
      <c r="B805">
        <v>63</v>
      </c>
      <c r="C805">
        <v>19</v>
      </c>
      <c r="D805">
        <v>3</v>
      </c>
      <c r="E805">
        <v>15</v>
      </c>
      <c r="F805">
        <v>0.3</v>
      </c>
      <c r="G805">
        <v>0.42</v>
      </c>
      <c r="H805">
        <v>8</v>
      </c>
    </row>
    <row r="806" spans="1:8" x14ac:dyDescent="0.3">
      <c r="A806" t="s">
        <v>812</v>
      </c>
      <c r="B806">
        <v>67</v>
      </c>
      <c r="C806">
        <v>22</v>
      </c>
      <c r="D806">
        <v>3</v>
      </c>
      <c r="E806">
        <v>19</v>
      </c>
      <c r="F806">
        <v>0.3</v>
      </c>
      <c r="G806">
        <v>0.32</v>
      </c>
      <c r="H806">
        <v>7</v>
      </c>
    </row>
    <row r="807" spans="1:8" x14ac:dyDescent="0.3">
      <c r="A807" t="s">
        <v>813</v>
      </c>
      <c r="B807">
        <v>66</v>
      </c>
      <c r="C807">
        <v>27</v>
      </c>
      <c r="D807">
        <v>8</v>
      </c>
      <c r="E807">
        <v>19</v>
      </c>
      <c r="F807">
        <v>0.4</v>
      </c>
      <c r="G807">
        <v>0.44</v>
      </c>
      <c r="H807">
        <v>12</v>
      </c>
    </row>
    <row r="808" spans="1:8" x14ac:dyDescent="0.3">
      <c r="A808" t="s">
        <v>814</v>
      </c>
      <c r="B808">
        <v>59</v>
      </c>
      <c r="C808">
        <v>24</v>
      </c>
      <c r="D808">
        <v>15</v>
      </c>
      <c r="E808">
        <v>9</v>
      </c>
      <c r="F808">
        <v>0.4</v>
      </c>
      <c r="G808">
        <v>1.21</v>
      </c>
      <c r="H808">
        <v>29</v>
      </c>
    </row>
    <row r="809" spans="1:8" x14ac:dyDescent="0.3">
      <c r="A809" t="s">
        <v>815</v>
      </c>
      <c r="B809">
        <v>44</v>
      </c>
      <c r="C809">
        <v>14</v>
      </c>
      <c r="D809">
        <v>8</v>
      </c>
      <c r="E809">
        <v>7</v>
      </c>
      <c r="F809">
        <v>0.3</v>
      </c>
      <c r="G809">
        <v>1.07</v>
      </c>
      <c r="H809">
        <v>15</v>
      </c>
    </row>
    <row r="810" spans="1:8" x14ac:dyDescent="0.3">
      <c r="A810" t="s">
        <v>816</v>
      </c>
      <c r="B810">
        <v>32</v>
      </c>
      <c r="C810">
        <v>10</v>
      </c>
      <c r="D810">
        <v>3</v>
      </c>
      <c r="E810">
        <v>7</v>
      </c>
      <c r="F810">
        <v>0.3</v>
      </c>
      <c r="G810">
        <v>0.6</v>
      </c>
      <c r="H810">
        <v>6</v>
      </c>
    </row>
    <row r="811" spans="1:8" x14ac:dyDescent="0.3">
      <c r="A811" t="s">
        <v>817</v>
      </c>
      <c r="B811">
        <v>25</v>
      </c>
      <c r="C811">
        <v>11</v>
      </c>
      <c r="D811">
        <v>1</v>
      </c>
      <c r="E811">
        <v>11</v>
      </c>
      <c r="F811">
        <v>0.4</v>
      </c>
      <c r="G811">
        <v>0.36</v>
      </c>
      <c r="H811">
        <v>4</v>
      </c>
    </row>
    <row r="812" spans="1:8" x14ac:dyDescent="0.3">
      <c r="A812" t="s">
        <v>818</v>
      </c>
      <c r="B812">
        <v>23</v>
      </c>
      <c r="C812">
        <v>10</v>
      </c>
      <c r="D812">
        <v>0</v>
      </c>
      <c r="E812">
        <v>10</v>
      </c>
      <c r="F812">
        <v>0.4</v>
      </c>
      <c r="G812">
        <v>0</v>
      </c>
    </row>
    <row r="813" spans="1:8" x14ac:dyDescent="0.3">
      <c r="A813" t="s">
        <v>819</v>
      </c>
      <c r="B813">
        <v>22</v>
      </c>
      <c r="C813">
        <v>10</v>
      </c>
      <c r="D813">
        <v>0</v>
      </c>
      <c r="E813">
        <v>10</v>
      </c>
      <c r="F813">
        <v>0.5</v>
      </c>
      <c r="G813">
        <v>0</v>
      </c>
    </row>
    <row r="814" spans="1:8" x14ac:dyDescent="0.3">
      <c r="A814" t="s">
        <v>820</v>
      </c>
      <c r="B814">
        <v>25</v>
      </c>
      <c r="C814">
        <v>12</v>
      </c>
      <c r="D814">
        <v>0</v>
      </c>
      <c r="E814">
        <v>12</v>
      </c>
      <c r="F814">
        <v>0.5</v>
      </c>
      <c r="G814">
        <v>0</v>
      </c>
    </row>
    <row r="815" spans="1:8" x14ac:dyDescent="0.3">
      <c r="A815" t="s">
        <v>821</v>
      </c>
      <c r="B815">
        <v>26</v>
      </c>
      <c r="C815">
        <v>14</v>
      </c>
      <c r="D815">
        <v>1</v>
      </c>
      <c r="E815">
        <v>14</v>
      </c>
      <c r="F815">
        <v>0.5</v>
      </c>
      <c r="G815">
        <v>0.14000000000000001</v>
      </c>
      <c r="H815">
        <v>2</v>
      </c>
    </row>
    <row r="816" spans="1:8" x14ac:dyDescent="0.3">
      <c r="A816" t="s">
        <v>822</v>
      </c>
      <c r="B816">
        <v>39</v>
      </c>
      <c r="C816">
        <v>15</v>
      </c>
      <c r="D816">
        <v>0</v>
      </c>
      <c r="E816">
        <v>15</v>
      </c>
      <c r="F816">
        <v>0.4</v>
      </c>
      <c r="G816">
        <v>7.0000000000000007E-2</v>
      </c>
      <c r="H816">
        <v>1</v>
      </c>
    </row>
    <row r="817" spans="1:8" x14ac:dyDescent="0.3">
      <c r="A817" t="s">
        <v>823</v>
      </c>
      <c r="B817">
        <v>46</v>
      </c>
      <c r="C817">
        <v>21</v>
      </c>
      <c r="D817">
        <v>4</v>
      </c>
      <c r="E817">
        <v>17</v>
      </c>
      <c r="F817">
        <v>0.5</v>
      </c>
      <c r="G817">
        <v>0.43</v>
      </c>
      <c r="H817">
        <v>9</v>
      </c>
    </row>
    <row r="818" spans="1:8" x14ac:dyDescent="0.3">
      <c r="A818" t="s">
        <v>824</v>
      </c>
      <c r="B818">
        <v>52</v>
      </c>
      <c r="C818">
        <v>21</v>
      </c>
      <c r="D818">
        <v>6</v>
      </c>
      <c r="E818">
        <v>16</v>
      </c>
      <c r="F818">
        <v>0.4</v>
      </c>
      <c r="G818">
        <v>0.71</v>
      </c>
      <c r="H818">
        <v>15</v>
      </c>
    </row>
    <row r="819" spans="1:8" x14ac:dyDescent="0.3">
      <c r="A819" t="s">
        <v>825</v>
      </c>
      <c r="B819">
        <v>65</v>
      </c>
      <c r="C819">
        <v>27</v>
      </c>
      <c r="D819">
        <v>5</v>
      </c>
      <c r="E819">
        <v>22</v>
      </c>
      <c r="F819">
        <v>0.4</v>
      </c>
      <c r="G819">
        <v>0.48</v>
      </c>
      <c r="H819">
        <v>13</v>
      </c>
    </row>
    <row r="820" spans="1:8" x14ac:dyDescent="0.3">
      <c r="A820" t="s">
        <v>826</v>
      </c>
      <c r="B820">
        <v>76</v>
      </c>
      <c r="C820">
        <v>35</v>
      </c>
      <c r="D820">
        <v>7</v>
      </c>
      <c r="E820">
        <v>28</v>
      </c>
      <c r="F820">
        <v>0.5</v>
      </c>
      <c r="G820">
        <v>0.56999999999999995</v>
      </c>
      <c r="H820">
        <v>20</v>
      </c>
    </row>
    <row r="821" spans="1:8" x14ac:dyDescent="0.3">
      <c r="A821" t="s">
        <v>827</v>
      </c>
      <c r="B821">
        <v>85</v>
      </c>
      <c r="C821">
        <v>31</v>
      </c>
      <c r="D821">
        <v>7</v>
      </c>
      <c r="E821">
        <v>24</v>
      </c>
      <c r="F821">
        <v>0.4</v>
      </c>
      <c r="G821">
        <v>0.65</v>
      </c>
      <c r="H821">
        <v>20</v>
      </c>
    </row>
    <row r="822" spans="1:8" x14ac:dyDescent="0.3">
      <c r="A822" t="s">
        <v>828</v>
      </c>
      <c r="B822">
        <v>94</v>
      </c>
      <c r="C822">
        <v>33</v>
      </c>
      <c r="D822">
        <v>9</v>
      </c>
      <c r="E822">
        <v>24</v>
      </c>
      <c r="F822">
        <v>0.4</v>
      </c>
      <c r="G822">
        <v>0.48</v>
      </c>
      <c r="H822">
        <v>16</v>
      </c>
    </row>
    <row r="823" spans="1:8" x14ac:dyDescent="0.3">
      <c r="A823" t="s">
        <v>829</v>
      </c>
      <c r="B823">
        <v>74</v>
      </c>
      <c r="C823">
        <v>28</v>
      </c>
      <c r="D823">
        <v>14</v>
      </c>
      <c r="E823">
        <v>14</v>
      </c>
      <c r="F823">
        <v>0.4</v>
      </c>
      <c r="G823">
        <v>0.86</v>
      </c>
      <c r="H823">
        <v>24</v>
      </c>
    </row>
    <row r="824" spans="1:8" x14ac:dyDescent="0.3">
      <c r="A824" t="s">
        <v>830</v>
      </c>
      <c r="B824">
        <v>71</v>
      </c>
      <c r="C824">
        <v>31</v>
      </c>
      <c r="D824">
        <v>7</v>
      </c>
      <c r="E824">
        <v>25</v>
      </c>
      <c r="F824">
        <v>0.4</v>
      </c>
      <c r="G824">
        <v>0.52</v>
      </c>
      <c r="H824">
        <v>16</v>
      </c>
    </row>
    <row r="825" spans="1:8" x14ac:dyDescent="0.3">
      <c r="A825" t="s">
        <v>831</v>
      </c>
      <c r="B825">
        <v>65</v>
      </c>
      <c r="C825">
        <v>21</v>
      </c>
      <c r="D825">
        <v>3</v>
      </c>
      <c r="E825">
        <v>18</v>
      </c>
      <c r="F825">
        <v>0.3</v>
      </c>
      <c r="G825">
        <v>0.43</v>
      </c>
      <c r="H825">
        <v>9</v>
      </c>
    </row>
    <row r="826" spans="1:8" x14ac:dyDescent="0.3">
      <c r="A826" t="s">
        <v>832</v>
      </c>
      <c r="B826">
        <v>68</v>
      </c>
      <c r="C826">
        <v>27</v>
      </c>
      <c r="D826">
        <v>2</v>
      </c>
      <c r="E826">
        <v>24</v>
      </c>
      <c r="F826">
        <v>0.4</v>
      </c>
      <c r="G826">
        <v>0.11</v>
      </c>
      <c r="H826">
        <v>3</v>
      </c>
    </row>
    <row r="827" spans="1:8" x14ac:dyDescent="0.3">
      <c r="A827" t="s">
        <v>833</v>
      </c>
      <c r="B827">
        <v>68</v>
      </c>
      <c r="C827">
        <v>25</v>
      </c>
      <c r="D827">
        <v>2</v>
      </c>
      <c r="E827">
        <v>23</v>
      </c>
      <c r="F827">
        <v>0.4</v>
      </c>
      <c r="G827">
        <v>0.2</v>
      </c>
      <c r="H827">
        <v>5</v>
      </c>
    </row>
    <row r="828" spans="1:8" x14ac:dyDescent="0.3">
      <c r="A828" t="s">
        <v>834</v>
      </c>
      <c r="B828">
        <v>68</v>
      </c>
      <c r="C828">
        <v>25</v>
      </c>
      <c r="D828">
        <v>2</v>
      </c>
      <c r="E828">
        <v>23</v>
      </c>
      <c r="F828">
        <v>0.4</v>
      </c>
      <c r="G828">
        <v>0.16</v>
      </c>
      <c r="H828">
        <v>4</v>
      </c>
    </row>
    <row r="829" spans="1:8" x14ac:dyDescent="0.3">
      <c r="A829" t="s">
        <v>835</v>
      </c>
      <c r="B829">
        <v>72</v>
      </c>
      <c r="C829">
        <v>25</v>
      </c>
      <c r="D829">
        <v>2</v>
      </c>
      <c r="E829">
        <v>23</v>
      </c>
      <c r="F829">
        <v>0.3</v>
      </c>
      <c r="G829">
        <v>0.16</v>
      </c>
      <c r="H829">
        <v>4</v>
      </c>
    </row>
    <row r="830" spans="1:8" x14ac:dyDescent="0.3">
      <c r="A830" t="s">
        <v>836</v>
      </c>
      <c r="B830">
        <v>69</v>
      </c>
      <c r="C830">
        <v>27</v>
      </c>
      <c r="D830">
        <v>4</v>
      </c>
      <c r="E830">
        <v>23</v>
      </c>
      <c r="F830">
        <v>0.4</v>
      </c>
      <c r="G830">
        <v>0.3</v>
      </c>
      <c r="H830">
        <v>8</v>
      </c>
    </row>
    <row r="831" spans="1:8" x14ac:dyDescent="0.3">
      <c r="A831" t="s">
        <v>837</v>
      </c>
      <c r="B831">
        <v>65</v>
      </c>
      <c r="C831">
        <v>24</v>
      </c>
      <c r="D831">
        <v>7</v>
      </c>
      <c r="E831">
        <v>17</v>
      </c>
      <c r="F831">
        <v>0.4</v>
      </c>
      <c r="G831">
        <v>0.54</v>
      </c>
      <c r="H831">
        <v>13</v>
      </c>
    </row>
    <row r="832" spans="1:8" x14ac:dyDescent="0.3">
      <c r="A832" t="s">
        <v>838</v>
      </c>
      <c r="B832">
        <v>55</v>
      </c>
      <c r="C832">
        <v>20</v>
      </c>
      <c r="D832">
        <v>12</v>
      </c>
      <c r="E832">
        <v>7</v>
      </c>
      <c r="F832">
        <v>0.4</v>
      </c>
      <c r="G832">
        <v>0.95</v>
      </c>
      <c r="H832">
        <v>19</v>
      </c>
    </row>
    <row r="833" spans="1:8" x14ac:dyDescent="0.3">
      <c r="A833" t="s">
        <v>839</v>
      </c>
      <c r="B833">
        <v>47</v>
      </c>
      <c r="C833">
        <v>16</v>
      </c>
      <c r="D833">
        <v>9</v>
      </c>
      <c r="E833">
        <v>7</v>
      </c>
      <c r="F833">
        <v>0.3</v>
      </c>
      <c r="G833">
        <v>1.19</v>
      </c>
      <c r="H833">
        <v>19</v>
      </c>
    </row>
    <row r="834" spans="1:8" x14ac:dyDescent="0.3">
      <c r="A834" t="s">
        <v>840</v>
      </c>
      <c r="B834">
        <v>37</v>
      </c>
      <c r="C834">
        <v>9</v>
      </c>
      <c r="D834">
        <v>4</v>
      </c>
      <c r="E834">
        <v>6</v>
      </c>
      <c r="F834">
        <v>0.2</v>
      </c>
      <c r="G834">
        <v>1.1100000000000001</v>
      </c>
      <c r="H834">
        <v>10</v>
      </c>
    </row>
    <row r="835" spans="1:8" x14ac:dyDescent="0.3">
      <c r="A835" t="s">
        <v>841</v>
      </c>
      <c r="B835">
        <v>23</v>
      </c>
      <c r="C835">
        <v>7</v>
      </c>
      <c r="D835">
        <v>1</v>
      </c>
      <c r="E835">
        <v>6</v>
      </c>
      <c r="F835">
        <v>0.3</v>
      </c>
      <c r="G835">
        <v>0.14000000000000001</v>
      </c>
      <c r="H835">
        <v>1</v>
      </c>
    </row>
    <row r="836" spans="1:8" x14ac:dyDescent="0.3">
      <c r="A836" t="s">
        <v>842</v>
      </c>
      <c r="B836">
        <v>16</v>
      </c>
      <c r="C836">
        <v>6</v>
      </c>
      <c r="D836">
        <v>1</v>
      </c>
      <c r="E836">
        <v>5</v>
      </c>
      <c r="F836">
        <v>0.4</v>
      </c>
      <c r="G836">
        <v>0.5</v>
      </c>
      <c r="H836">
        <v>3</v>
      </c>
    </row>
    <row r="837" spans="1:8" x14ac:dyDescent="0.3">
      <c r="A837" t="s">
        <v>843</v>
      </c>
      <c r="B837">
        <v>15</v>
      </c>
      <c r="C837">
        <v>6</v>
      </c>
      <c r="D837">
        <v>0</v>
      </c>
      <c r="E837">
        <v>6</v>
      </c>
      <c r="F837">
        <v>0.4</v>
      </c>
      <c r="G837">
        <v>0</v>
      </c>
    </row>
    <row r="838" spans="1:8" x14ac:dyDescent="0.3">
      <c r="A838" t="s">
        <v>844</v>
      </c>
      <c r="B838">
        <v>18</v>
      </c>
      <c r="C838">
        <v>7</v>
      </c>
      <c r="D838">
        <v>0</v>
      </c>
      <c r="E838">
        <v>7</v>
      </c>
      <c r="F838">
        <v>0.4</v>
      </c>
      <c r="G838">
        <v>0</v>
      </c>
    </row>
    <row r="839" spans="1:8" x14ac:dyDescent="0.3">
      <c r="A839" t="s">
        <v>845</v>
      </c>
      <c r="B839">
        <v>21</v>
      </c>
      <c r="C839">
        <v>7</v>
      </c>
      <c r="D839">
        <v>0</v>
      </c>
      <c r="E839">
        <v>7</v>
      </c>
      <c r="F839">
        <v>0.3</v>
      </c>
      <c r="G839">
        <v>0.14000000000000001</v>
      </c>
      <c r="H839">
        <v>1</v>
      </c>
    </row>
    <row r="840" spans="1:8" x14ac:dyDescent="0.3">
      <c r="A840" t="s">
        <v>846</v>
      </c>
      <c r="B840">
        <v>29</v>
      </c>
      <c r="C840">
        <v>9</v>
      </c>
      <c r="D840">
        <v>1</v>
      </c>
      <c r="E840">
        <v>8</v>
      </c>
      <c r="F840">
        <v>0.3</v>
      </c>
      <c r="G840">
        <v>0.22</v>
      </c>
      <c r="H840">
        <v>2</v>
      </c>
    </row>
    <row r="841" spans="1:8" x14ac:dyDescent="0.3">
      <c r="A841" t="s">
        <v>847</v>
      </c>
      <c r="B841">
        <v>38</v>
      </c>
      <c r="C841">
        <v>14</v>
      </c>
      <c r="D841">
        <v>3</v>
      </c>
      <c r="E841">
        <v>11</v>
      </c>
      <c r="F841">
        <v>0.4</v>
      </c>
      <c r="G841">
        <v>0.43</v>
      </c>
      <c r="H841">
        <v>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D4A5-1220-4CE3-96BB-0B519BDF3D40}">
  <dimension ref="J1:AI29"/>
  <sheetViews>
    <sheetView topLeftCell="B1" workbookViewId="0">
      <selection activeCell="AD28" sqref="AD28"/>
    </sheetView>
  </sheetViews>
  <sheetFormatPr defaultRowHeight="14.4" x14ac:dyDescent="0.3"/>
  <cols>
    <col min="1" max="1" width="23.21875" bestFit="1" customWidth="1"/>
    <col min="2" max="2" width="15.5546875" bestFit="1" customWidth="1"/>
    <col min="3" max="3" width="12.44140625" customWidth="1"/>
    <col min="4" max="8" width="5" bestFit="1" customWidth="1"/>
    <col min="9" max="9" width="12" bestFit="1" customWidth="1"/>
    <col min="10" max="10" width="26.88671875" bestFit="1" customWidth="1"/>
    <col min="11" max="11" width="15.5546875" bestFit="1" customWidth="1"/>
    <col min="12" max="12" width="5" bestFit="1" customWidth="1"/>
    <col min="13" max="13" width="6" bestFit="1" customWidth="1"/>
    <col min="14" max="17" width="5" bestFit="1" customWidth="1"/>
    <col min="19" max="19" width="18.77734375" bestFit="1" customWidth="1"/>
    <col min="20" max="20" width="15.5546875" bestFit="1" customWidth="1"/>
    <col min="21" max="26" width="5" bestFit="1" customWidth="1"/>
  </cols>
  <sheetData>
    <row r="1" spans="10:35" x14ac:dyDescent="0.3">
      <c r="J1" s="1" t="s">
        <v>897</v>
      </c>
      <c r="K1" s="1" t="s">
        <v>886</v>
      </c>
      <c r="S1" s="1" t="s">
        <v>898</v>
      </c>
      <c r="T1" s="1" t="s">
        <v>886</v>
      </c>
    </row>
    <row r="2" spans="10:35" x14ac:dyDescent="0.3">
      <c r="J2" s="1" t="s">
        <v>895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S2" s="1" t="s">
        <v>895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7</v>
      </c>
      <c r="AB2" t="s">
        <v>895</v>
      </c>
      <c r="AC2">
        <v>1</v>
      </c>
      <c r="AD2">
        <v>2</v>
      </c>
      <c r="AE2">
        <v>3</v>
      </c>
      <c r="AF2">
        <v>4</v>
      </c>
      <c r="AG2">
        <v>5</v>
      </c>
      <c r="AH2">
        <v>6</v>
      </c>
      <c r="AI2">
        <v>7</v>
      </c>
    </row>
    <row r="3" spans="10:35" x14ac:dyDescent="0.3">
      <c r="J3" s="2" t="s">
        <v>854</v>
      </c>
      <c r="K3">
        <v>75.8</v>
      </c>
      <c r="L3">
        <v>80.8</v>
      </c>
      <c r="M3">
        <v>88.6</v>
      </c>
      <c r="N3">
        <v>84</v>
      </c>
      <c r="O3">
        <v>81.8</v>
      </c>
      <c r="P3">
        <v>90.2</v>
      </c>
      <c r="Q3">
        <v>93.4</v>
      </c>
      <c r="S3" s="2" t="s">
        <v>854</v>
      </c>
      <c r="T3">
        <v>14.6</v>
      </c>
      <c r="U3">
        <v>17</v>
      </c>
      <c r="V3">
        <v>22.6</v>
      </c>
      <c r="W3">
        <v>25.2</v>
      </c>
      <c r="X3">
        <v>24.6</v>
      </c>
      <c r="Y3">
        <v>34.6</v>
      </c>
      <c r="Z3">
        <v>34</v>
      </c>
      <c r="AB3" s="2" t="s">
        <v>854</v>
      </c>
      <c r="AC3" s="14">
        <f>T$3*(100-K$3)/K$3</f>
        <v>4.6612137203166233</v>
      </c>
      <c r="AD3" s="14">
        <f t="shared" ref="AD3:AD26" si="0">$U3*(100-$L3)/$L3</f>
        <v>4.0396039603960405</v>
      </c>
      <c r="AE3" s="14">
        <f t="shared" ref="AE3:AE26" si="1">$V3*(100-$M3)/$M3</f>
        <v>2.9079006772009048</v>
      </c>
      <c r="AF3" s="14">
        <f t="shared" ref="AF3:AF26" si="2">$W3*(100-$N3)/$N3</f>
        <v>4.8</v>
      </c>
      <c r="AG3" s="14">
        <f>$X3*(100-$O3)/$O3</f>
        <v>5.4733496332518348</v>
      </c>
      <c r="AH3" s="14">
        <f>$Y3*(100-$P3)/$P3</f>
        <v>3.7592017738359194</v>
      </c>
      <c r="AI3" s="14">
        <f>$Z3*(100-$Q3)/$Q3</f>
        <v>2.4025695931477493</v>
      </c>
    </row>
    <row r="4" spans="10:35" x14ac:dyDescent="0.3">
      <c r="J4" s="2" t="s">
        <v>855</v>
      </c>
      <c r="K4">
        <v>69.2</v>
      </c>
      <c r="L4">
        <v>68.8</v>
      </c>
      <c r="M4">
        <v>81.8</v>
      </c>
      <c r="N4">
        <v>87</v>
      </c>
      <c r="O4">
        <v>81.8</v>
      </c>
      <c r="P4">
        <v>84.4</v>
      </c>
      <c r="Q4">
        <v>89.8</v>
      </c>
      <c r="S4" s="2" t="s">
        <v>855</v>
      </c>
      <c r="T4">
        <v>10.4</v>
      </c>
      <c r="U4">
        <v>10.8</v>
      </c>
      <c r="V4">
        <v>18.399999999999999</v>
      </c>
      <c r="W4">
        <v>20.399999999999999</v>
      </c>
      <c r="X4">
        <v>19.600000000000001</v>
      </c>
      <c r="Y4">
        <v>30.8</v>
      </c>
      <c r="Z4">
        <v>32.6</v>
      </c>
      <c r="AB4" s="2" t="s">
        <v>855</v>
      </c>
      <c r="AC4" s="14">
        <f t="shared" ref="AC4:AC26" si="3">$T4*(100-$K4)/$K4</f>
        <v>4.6289017341040459</v>
      </c>
      <c r="AD4" s="14">
        <f t="shared" si="0"/>
        <v>4.8976744186046517</v>
      </c>
      <c r="AE4" s="14">
        <f t="shared" si="1"/>
        <v>4.0938875305623483</v>
      </c>
      <c r="AF4" s="14">
        <f t="shared" si="2"/>
        <v>3.0482758620689654</v>
      </c>
      <c r="AG4" s="14">
        <f t="shared" ref="AG4:AG26" si="4">$X4*(100-$O4)/$O4</f>
        <v>4.3608801955990231</v>
      </c>
      <c r="AH4" s="14">
        <f t="shared" ref="AH4:AH26" si="5">$Y4*(100-$P4)/$P4</f>
        <v>5.6928909952606617</v>
      </c>
      <c r="AI4" s="14">
        <f t="shared" ref="AI4:AI26" si="6">$Z4*(100-$Q4)/$Q4</f>
        <v>3.7028953229398676</v>
      </c>
    </row>
    <row r="5" spans="10:35" x14ac:dyDescent="0.3">
      <c r="J5" s="2" t="s">
        <v>856</v>
      </c>
      <c r="K5">
        <v>69.599999999999994</v>
      </c>
      <c r="L5">
        <v>70.2</v>
      </c>
      <c r="M5">
        <v>74.400000000000006</v>
      </c>
      <c r="N5">
        <v>69.400000000000006</v>
      </c>
      <c r="O5">
        <v>76.400000000000006</v>
      </c>
      <c r="P5">
        <v>83.4</v>
      </c>
      <c r="Q5">
        <v>89.8</v>
      </c>
      <c r="S5" s="2" t="s">
        <v>856</v>
      </c>
      <c r="T5">
        <v>7.6</v>
      </c>
      <c r="U5">
        <v>9</v>
      </c>
      <c r="V5">
        <v>11.8</v>
      </c>
      <c r="W5">
        <v>13.4</v>
      </c>
      <c r="X5">
        <v>15.4</v>
      </c>
      <c r="Y5">
        <v>27.4</v>
      </c>
      <c r="Z5">
        <v>26.4</v>
      </c>
      <c r="AB5" s="2" t="s">
        <v>856</v>
      </c>
      <c r="AC5" s="14">
        <f t="shared" si="3"/>
        <v>3.319540229885058</v>
      </c>
      <c r="AD5" s="14">
        <f t="shared" si="0"/>
        <v>3.8205128205128203</v>
      </c>
      <c r="AE5" s="14">
        <f t="shared" si="1"/>
        <v>4.0602150537634394</v>
      </c>
      <c r="AF5" s="14">
        <f t="shared" si="2"/>
        <v>5.9083573487031682</v>
      </c>
      <c r="AG5" s="14">
        <f t="shared" si="4"/>
        <v>4.7570680628272237</v>
      </c>
      <c r="AH5" s="14">
        <f t="shared" si="5"/>
        <v>5.4537170263788939</v>
      </c>
      <c r="AI5" s="14">
        <f t="shared" si="6"/>
        <v>2.9986636971046781</v>
      </c>
    </row>
    <row r="6" spans="10:35" x14ac:dyDescent="0.3">
      <c r="J6" s="2" t="s">
        <v>857</v>
      </c>
      <c r="K6">
        <v>56.6</v>
      </c>
      <c r="L6">
        <v>56</v>
      </c>
      <c r="M6">
        <v>64.8</v>
      </c>
      <c r="N6">
        <v>44.8</v>
      </c>
      <c r="O6">
        <v>62</v>
      </c>
      <c r="P6">
        <v>74.400000000000006</v>
      </c>
      <c r="Q6">
        <v>86.8</v>
      </c>
      <c r="S6" s="2" t="s">
        <v>857</v>
      </c>
      <c r="T6">
        <v>5.4</v>
      </c>
      <c r="U6">
        <v>8</v>
      </c>
      <c r="V6">
        <v>9.8000000000000007</v>
      </c>
      <c r="W6">
        <v>9.1999999999999993</v>
      </c>
      <c r="X6">
        <v>11.4</v>
      </c>
      <c r="Y6">
        <v>21.8</v>
      </c>
      <c r="Z6">
        <v>23.6</v>
      </c>
      <c r="AB6" s="2" t="s">
        <v>857</v>
      </c>
      <c r="AC6" s="14">
        <f t="shared" si="3"/>
        <v>4.1406360424028268</v>
      </c>
      <c r="AD6" s="14">
        <f t="shared" si="0"/>
        <v>6.2857142857142856</v>
      </c>
      <c r="AE6" s="14">
        <f t="shared" si="1"/>
        <v>5.3234567901234575</v>
      </c>
      <c r="AF6" s="14">
        <f t="shared" si="2"/>
        <v>11.335714285714285</v>
      </c>
      <c r="AG6" s="14">
        <f t="shared" si="4"/>
        <v>6.9870967741935486</v>
      </c>
      <c r="AH6" s="14">
        <f t="shared" si="5"/>
        <v>7.5010752688172024</v>
      </c>
      <c r="AI6" s="14">
        <f t="shared" si="6"/>
        <v>3.5889400921658998</v>
      </c>
    </row>
    <row r="7" spans="10:35" x14ac:dyDescent="0.3">
      <c r="J7" s="2" t="s">
        <v>858</v>
      </c>
      <c r="K7">
        <v>35.4</v>
      </c>
      <c r="L7">
        <v>67</v>
      </c>
      <c r="M7">
        <v>49</v>
      </c>
      <c r="N7">
        <v>42.6</v>
      </c>
      <c r="O7">
        <v>47.4</v>
      </c>
      <c r="P7">
        <v>62.4</v>
      </c>
      <c r="Q7">
        <v>70.2</v>
      </c>
      <c r="S7" s="2" t="s">
        <v>858</v>
      </c>
      <c r="T7">
        <v>4.8</v>
      </c>
      <c r="U7">
        <v>7.8</v>
      </c>
      <c r="V7">
        <v>9.6</v>
      </c>
      <c r="W7">
        <v>8.1999999999999993</v>
      </c>
      <c r="X7">
        <v>7.8</v>
      </c>
      <c r="Y7">
        <v>16.399999999999999</v>
      </c>
      <c r="Z7">
        <v>17.600000000000001</v>
      </c>
      <c r="AB7" s="2" t="s">
        <v>858</v>
      </c>
      <c r="AC7" s="14">
        <f t="shared" si="3"/>
        <v>8.7593220338983055</v>
      </c>
      <c r="AD7" s="14">
        <f t="shared" si="0"/>
        <v>3.841791044776119</v>
      </c>
      <c r="AE7" s="14">
        <f t="shared" si="1"/>
        <v>9.9918367346938766</v>
      </c>
      <c r="AF7" s="14">
        <f t="shared" si="2"/>
        <v>11.048826291079811</v>
      </c>
      <c r="AG7" s="14">
        <f t="shared" si="4"/>
        <v>8.6556962025316473</v>
      </c>
      <c r="AH7" s="14">
        <f t="shared" si="5"/>
        <v>9.8820512820512825</v>
      </c>
      <c r="AI7" s="14">
        <f t="shared" si="6"/>
        <v>7.4712250712250716</v>
      </c>
    </row>
    <row r="8" spans="10:35" x14ac:dyDescent="0.3">
      <c r="J8" s="2" t="s">
        <v>859</v>
      </c>
      <c r="K8">
        <v>38.6</v>
      </c>
      <c r="L8">
        <v>65</v>
      </c>
      <c r="M8">
        <v>80.25</v>
      </c>
      <c r="N8">
        <v>73</v>
      </c>
      <c r="O8">
        <v>56</v>
      </c>
      <c r="P8">
        <v>78.400000000000006</v>
      </c>
      <c r="Q8">
        <v>75.8</v>
      </c>
      <c r="S8" s="2" t="s">
        <v>859</v>
      </c>
      <c r="T8">
        <v>4.5999999999999996</v>
      </c>
      <c r="U8">
        <v>8</v>
      </c>
      <c r="V8">
        <v>10</v>
      </c>
      <c r="W8">
        <v>8.8000000000000007</v>
      </c>
      <c r="X8">
        <v>8.4</v>
      </c>
      <c r="Y8">
        <v>14.2</v>
      </c>
      <c r="Z8">
        <v>14.6</v>
      </c>
      <c r="AB8" s="2" t="s">
        <v>859</v>
      </c>
      <c r="AC8" s="14">
        <f t="shared" si="3"/>
        <v>7.317098445595855</v>
      </c>
      <c r="AD8" s="14">
        <f t="shared" si="0"/>
        <v>4.3076923076923075</v>
      </c>
      <c r="AE8" s="14">
        <f t="shared" si="1"/>
        <v>2.4610591900311527</v>
      </c>
      <c r="AF8" s="14">
        <f t="shared" si="2"/>
        <v>3.2547945205479456</v>
      </c>
      <c r="AG8" s="14">
        <f t="shared" si="4"/>
        <v>6.6000000000000005</v>
      </c>
      <c r="AH8" s="14">
        <f t="shared" si="5"/>
        <v>3.9122448979591824</v>
      </c>
      <c r="AI8" s="14">
        <f t="shared" si="6"/>
        <v>4.6612137203166233</v>
      </c>
    </row>
    <row r="9" spans="10:35" x14ac:dyDescent="0.3">
      <c r="J9" s="2" t="s">
        <v>860</v>
      </c>
      <c r="K9">
        <v>48.8</v>
      </c>
      <c r="L9">
        <v>58.8</v>
      </c>
      <c r="M9">
        <v>69.400000000000006</v>
      </c>
      <c r="N9">
        <v>40.4</v>
      </c>
      <c r="O9">
        <v>43</v>
      </c>
      <c r="P9">
        <v>73.2</v>
      </c>
      <c r="Q9">
        <v>78.8</v>
      </c>
      <c r="S9" s="2" t="s">
        <v>860</v>
      </c>
      <c r="T9">
        <v>6.2</v>
      </c>
      <c r="U9">
        <v>9.4</v>
      </c>
      <c r="V9">
        <v>9.6</v>
      </c>
      <c r="W9">
        <v>8.4</v>
      </c>
      <c r="X9">
        <v>7</v>
      </c>
      <c r="Y9">
        <v>11.4</v>
      </c>
      <c r="Z9">
        <v>11.2</v>
      </c>
      <c r="AB9" s="2" t="s">
        <v>860</v>
      </c>
      <c r="AC9" s="14">
        <f t="shared" si="3"/>
        <v>6.504918032786887</v>
      </c>
      <c r="AD9" s="14">
        <f t="shared" si="0"/>
        <v>6.5863945578231302</v>
      </c>
      <c r="AE9" s="14">
        <f t="shared" si="1"/>
        <v>4.2328530259365982</v>
      </c>
      <c r="AF9" s="14">
        <f t="shared" si="2"/>
        <v>12.392079207920794</v>
      </c>
      <c r="AG9" s="14">
        <f t="shared" si="4"/>
        <v>9.279069767441861</v>
      </c>
      <c r="AH9" s="14">
        <f t="shared" si="5"/>
        <v>4.1737704918032783</v>
      </c>
      <c r="AI9" s="14">
        <f t="shared" si="6"/>
        <v>3.0131979695431474</v>
      </c>
    </row>
    <row r="10" spans="10:35" x14ac:dyDescent="0.3">
      <c r="J10" s="2" t="s">
        <v>861</v>
      </c>
      <c r="K10">
        <v>50.8</v>
      </c>
      <c r="L10">
        <v>53</v>
      </c>
      <c r="M10">
        <v>62.2</v>
      </c>
      <c r="N10">
        <v>52.4</v>
      </c>
      <c r="O10">
        <v>52.2</v>
      </c>
      <c r="P10">
        <v>66.599999999999994</v>
      </c>
      <c r="Q10">
        <v>68.8</v>
      </c>
      <c r="S10" s="2" t="s">
        <v>861</v>
      </c>
      <c r="T10">
        <v>11.2</v>
      </c>
      <c r="U10">
        <v>14.6</v>
      </c>
      <c r="V10">
        <v>15</v>
      </c>
      <c r="W10">
        <v>11.6</v>
      </c>
      <c r="X10">
        <v>11.6</v>
      </c>
      <c r="Y10">
        <v>10.8</v>
      </c>
      <c r="Z10">
        <v>9.8000000000000007</v>
      </c>
      <c r="AB10" s="2" t="s">
        <v>861</v>
      </c>
      <c r="AC10" s="14">
        <f t="shared" si="3"/>
        <v>10.84724409448819</v>
      </c>
      <c r="AD10" s="14">
        <f t="shared" si="0"/>
        <v>12.947169811320753</v>
      </c>
      <c r="AE10" s="14">
        <f t="shared" si="1"/>
        <v>9.115755627009646</v>
      </c>
      <c r="AF10" s="14">
        <f t="shared" si="2"/>
        <v>10.537404580152671</v>
      </c>
      <c r="AG10" s="14">
        <f t="shared" si="4"/>
        <v>10.62222222222222</v>
      </c>
      <c r="AH10" s="14">
        <f t="shared" si="5"/>
        <v>5.4162162162162177</v>
      </c>
      <c r="AI10" s="14">
        <f t="shared" si="6"/>
        <v>4.4441860465116285</v>
      </c>
    </row>
    <row r="11" spans="10:35" x14ac:dyDescent="0.3">
      <c r="J11" s="2" t="s">
        <v>862</v>
      </c>
      <c r="K11">
        <v>53.8</v>
      </c>
      <c r="L11">
        <v>58</v>
      </c>
      <c r="M11">
        <v>61.8</v>
      </c>
      <c r="N11">
        <v>60.6</v>
      </c>
      <c r="O11">
        <v>61.4</v>
      </c>
      <c r="P11">
        <v>60.8</v>
      </c>
      <c r="Q11">
        <v>62.8</v>
      </c>
      <c r="S11" s="2" t="s">
        <v>862</v>
      </c>
      <c r="T11">
        <v>18.600000000000001</v>
      </c>
      <c r="U11">
        <v>22</v>
      </c>
      <c r="V11">
        <v>23.2</v>
      </c>
      <c r="W11">
        <v>20</v>
      </c>
      <c r="X11">
        <v>17.600000000000001</v>
      </c>
      <c r="Y11">
        <v>11.8</v>
      </c>
      <c r="Z11">
        <v>8</v>
      </c>
      <c r="AB11" s="2" t="s">
        <v>862</v>
      </c>
      <c r="AC11" s="14">
        <f t="shared" si="3"/>
        <v>15.972490706319707</v>
      </c>
      <c r="AD11" s="14">
        <f t="shared" si="0"/>
        <v>15.931034482758621</v>
      </c>
      <c r="AE11" s="14">
        <f t="shared" si="1"/>
        <v>14.340453074433658</v>
      </c>
      <c r="AF11" s="14">
        <f t="shared" si="2"/>
        <v>13.003300330033003</v>
      </c>
      <c r="AG11" s="14">
        <f t="shared" si="4"/>
        <v>11.064495114006517</v>
      </c>
      <c r="AH11" s="14">
        <f t="shared" si="5"/>
        <v>7.6078947368421064</v>
      </c>
      <c r="AI11" s="14">
        <f t="shared" si="6"/>
        <v>4.7388535031847141</v>
      </c>
    </row>
    <row r="12" spans="10:35" x14ac:dyDescent="0.3">
      <c r="J12" s="2" t="s">
        <v>863</v>
      </c>
      <c r="K12">
        <v>60</v>
      </c>
      <c r="L12">
        <v>62.8</v>
      </c>
      <c r="M12">
        <v>65.8</v>
      </c>
      <c r="N12">
        <v>71.8</v>
      </c>
      <c r="O12">
        <v>62.8</v>
      </c>
      <c r="P12">
        <v>65.400000000000006</v>
      </c>
      <c r="Q12">
        <v>66.2</v>
      </c>
      <c r="S12" s="2" t="s">
        <v>863</v>
      </c>
      <c r="T12">
        <v>24.4</v>
      </c>
      <c r="U12">
        <v>27.8</v>
      </c>
      <c r="V12">
        <v>27.8</v>
      </c>
      <c r="W12">
        <v>28.2</v>
      </c>
      <c r="X12">
        <v>25.2</v>
      </c>
      <c r="Y12">
        <v>13.8</v>
      </c>
      <c r="Z12">
        <v>10.199999999999999</v>
      </c>
      <c r="AB12" s="2" t="s">
        <v>863</v>
      </c>
      <c r="AC12" s="14">
        <f t="shared" si="3"/>
        <v>16.266666666666666</v>
      </c>
      <c r="AD12" s="14">
        <f t="shared" si="0"/>
        <v>16.467515923566882</v>
      </c>
      <c r="AE12" s="14">
        <f t="shared" si="1"/>
        <v>14.44924012158055</v>
      </c>
      <c r="AF12" s="14">
        <f t="shared" si="2"/>
        <v>11.075766016713093</v>
      </c>
      <c r="AG12" s="14">
        <f t="shared" si="4"/>
        <v>14.927388535031849</v>
      </c>
      <c r="AH12" s="14">
        <f t="shared" si="5"/>
        <v>7.3009174311926595</v>
      </c>
      <c r="AI12" s="14">
        <f t="shared" si="6"/>
        <v>5.2078549848942588</v>
      </c>
    </row>
    <row r="13" spans="10:35" x14ac:dyDescent="0.3">
      <c r="J13" s="2" t="s">
        <v>864</v>
      </c>
      <c r="K13">
        <v>77</v>
      </c>
      <c r="L13">
        <v>76.2</v>
      </c>
      <c r="M13">
        <v>79.8</v>
      </c>
      <c r="N13">
        <v>75.400000000000006</v>
      </c>
      <c r="O13">
        <v>75</v>
      </c>
      <c r="P13">
        <v>71.8</v>
      </c>
      <c r="Q13">
        <v>71.599999999999994</v>
      </c>
      <c r="S13" s="2" t="s">
        <v>864</v>
      </c>
      <c r="T13">
        <v>27.4</v>
      </c>
      <c r="U13">
        <v>29.2</v>
      </c>
      <c r="V13">
        <v>34.200000000000003</v>
      </c>
      <c r="W13">
        <v>31</v>
      </c>
      <c r="X13">
        <v>28</v>
      </c>
      <c r="Y13">
        <v>16.600000000000001</v>
      </c>
      <c r="Z13">
        <v>12.4</v>
      </c>
      <c r="AB13" s="2" t="s">
        <v>864</v>
      </c>
      <c r="AC13" s="14">
        <f t="shared" si="3"/>
        <v>8.1844155844155839</v>
      </c>
      <c r="AD13" s="14">
        <f t="shared" si="0"/>
        <v>9.1202099737532798</v>
      </c>
      <c r="AE13" s="14">
        <f t="shared" si="1"/>
        <v>8.6571428571428601</v>
      </c>
      <c r="AF13" s="14">
        <f t="shared" si="2"/>
        <v>10.114058355437662</v>
      </c>
      <c r="AG13" s="14">
        <f t="shared" si="4"/>
        <v>9.3333333333333339</v>
      </c>
      <c r="AH13" s="14">
        <f t="shared" si="5"/>
        <v>6.5197771587743745</v>
      </c>
      <c r="AI13" s="14">
        <f t="shared" si="6"/>
        <v>4.9184357541899457</v>
      </c>
    </row>
    <row r="14" spans="10:35" x14ac:dyDescent="0.3">
      <c r="J14" s="2" t="s">
        <v>865</v>
      </c>
      <c r="K14">
        <v>87.6</v>
      </c>
      <c r="L14">
        <v>85.4</v>
      </c>
      <c r="M14">
        <v>88.4</v>
      </c>
      <c r="N14">
        <v>81.2</v>
      </c>
      <c r="O14">
        <v>78.400000000000006</v>
      </c>
      <c r="P14">
        <v>72.2</v>
      </c>
      <c r="Q14">
        <v>67.2</v>
      </c>
      <c r="S14" s="2" t="s">
        <v>865</v>
      </c>
      <c r="T14">
        <v>28</v>
      </c>
      <c r="U14">
        <v>26.2</v>
      </c>
      <c r="V14">
        <v>30.2</v>
      </c>
      <c r="W14">
        <v>26</v>
      </c>
      <c r="X14">
        <v>26.2</v>
      </c>
      <c r="Y14">
        <v>18.600000000000001</v>
      </c>
      <c r="Z14">
        <v>13.4</v>
      </c>
      <c r="AB14" s="2" t="s">
        <v>865</v>
      </c>
      <c r="AC14" s="14">
        <f t="shared" si="3"/>
        <v>3.9634703196347054</v>
      </c>
      <c r="AD14" s="14">
        <f t="shared" si="0"/>
        <v>4.4791569086651037</v>
      </c>
      <c r="AE14" s="14">
        <f t="shared" si="1"/>
        <v>3.9628959276018079</v>
      </c>
      <c r="AF14" s="14">
        <f t="shared" si="2"/>
        <v>6.0197044334975365</v>
      </c>
      <c r="AG14" s="14">
        <f t="shared" si="4"/>
        <v>7.2183673469387726</v>
      </c>
      <c r="AH14" s="14">
        <f t="shared" si="5"/>
        <v>7.161772853185596</v>
      </c>
      <c r="AI14" s="14">
        <f t="shared" si="6"/>
        <v>6.5404761904761903</v>
      </c>
    </row>
    <row r="15" spans="10:35" x14ac:dyDescent="0.3">
      <c r="J15" s="2" t="s">
        <v>866</v>
      </c>
      <c r="K15">
        <v>88.6</v>
      </c>
      <c r="L15">
        <v>80.2</v>
      </c>
      <c r="M15">
        <v>86.8</v>
      </c>
      <c r="N15">
        <v>75.2</v>
      </c>
      <c r="O15">
        <v>75.8</v>
      </c>
      <c r="P15">
        <v>79.2</v>
      </c>
      <c r="Q15">
        <v>74.2</v>
      </c>
      <c r="S15" s="2" t="s">
        <v>866</v>
      </c>
      <c r="T15">
        <v>22.8</v>
      </c>
      <c r="U15">
        <v>21.2</v>
      </c>
      <c r="V15">
        <v>25.8</v>
      </c>
      <c r="W15">
        <v>23</v>
      </c>
      <c r="X15">
        <v>24</v>
      </c>
      <c r="Y15">
        <v>19.8</v>
      </c>
      <c r="Z15">
        <v>16.399999999999999</v>
      </c>
      <c r="AB15" s="2" t="s">
        <v>866</v>
      </c>
      <c r="AC15" s="14">
        <f t="shared" si="3"/>
        <v>2.9336343115124168</v>
      </c>
      <c r="AD15" s="14">
        <f t="shared" si="0"/>
        <v>5.233915211970074</v>
      </c>
      <c r="AE15" s="14">
        <f t="shared" si="1"/>
        <v>3.9235023041474664</v>
      </c>
      <c r="AF15" s="14">
        <f t="shared" si="2"/>
        <v>7.5851063829787231</v>
      </c>
      <c r="AG15" s="14">
        <f t="shared" si="4"/>
        <v>7.6622691292876004</v>
      </c>
      <c r="AH15" s="14">
        <f t="shared" si="5"/>
        <v>5.1999999999999993</v>
      </c>
      <c r="AI15" s="14">
        <f t="shared" si="6"/>
        <v>5.7024258760107802</v>
      </c>
    </row>
    <row r="16" spans="10:35" x14ac:dyDescent="0.3">
      <c r="J16" s="2" t="s">
        <v>867</v>
      </c>
      <c r="K16">
        <v>82.2</v>
      </c>
      <c r="L16">
        <v>83</v>
      </c>
      <c r="M16">
        <v>84.6</v>
      </c>
      <c r="N16">
        <v>73</v>
      </c>
      <c r="O16">
        <v>67.400000000000006</v>
      </c>
      <c r="P16">
        <v>81.2</v>
      </c>
      <c r="Q16">
        <v>77.400000000000006</v>
      </c>
      <c r="S16" s="2" t="s">
        <v>867</v>
      </c>
      <c r="T16">
        <v>20.6</v>
      </c>
      <c r="U16">
        <v>21.8</v>
      </c>
      <c r="V16">
        <v>24.2</v>
      </c>
      <c r="W16">
        <v>20</v>
      </c>
      <c r="X16">
        <v>20.2</v>
      </c>
      <c r="Y16">
        <v>21.6</v>
      </c>
      <c r="Z16">
        <v>17.600000000000001</v>
      </c>
      <c r="AB16" s="2" t="s">
        <v>867</v>
      </c>
      <c r="AC16" s="14">
        <f t="shared" si="3"/>
        <v>4.460827250608272</v>
      </c>
      <c r="AD16" s="14">
        <f t="shared" si="0"/>
        <v>4.4650602409638553</v>
      </c>
      <c r="AE16" s="14">
        <f t="shared" si="1"/>
        <v>4.4052009456264791</v>
      </c>
      <c r="AF16" s="14">
        <f t="shared" si="2"/>
        <v>7.397260273972603</v>
      </c>
      <c r="AG16" s="14">
        <f t="shared" si="4"/>
        <v>9.7703264094955458</v>
      </c>
      <c r="AH16" s="14">
        <f t="shared" si="5"/>
        <v>5.0009852216748767</v>
      </c>
      <c r="AI16" s="14">
        <f t="shared" si="6"/>
        <v>5.1390180878552956</v>
      </c>
    </row>
    <row r="17" spans="10:35" x14ac:dyDescent="0.3">
      <c r="J17" s="2" t="s">
        <v>868</v>
      </c>
      <c r="K17">
        <v>82.2</v>
      </c>
      <c r="L17">
        <v>82.4</v>
      </c>
      <c r="M17">
        <v>83.6</v>
      </c>
      <c r="N17">
        <v>78.8</v>
      </c>
      <c r="O17">
        <v>71</v>
      </c>
      <c r="P17">
        <v>80.400000000000006</v>
      </c>
      <c r="Q17">
        <v>81.400000000000006</v>
      </c>
      <c r="S17" s="2" t="s">
        <v>868</v>
      </c>
      <c r="T17">
        <v>21.2</v>
      </c>
      <c r="U17">
        <v>21.4</v>
      </c>
      <c r="V17">
        <v>24</v>
      </c>
      <c r="W17">
        <v>21.6</v>
      </c>
      <c r="X17">
        <v>20</v>
      </c>
      <c r="Y17">
        <v>20.8</v>
      </c>
      <c r="Z17">
        <v>21.8</v>
      </c>
      <c r="AB17" s="2" t="s">
        <v>868</v>
      </c>
      <c r="AC17" s="14">
        <f t="shared" si="3"/>
        <v>4.5907542579075411</v>
      </c>
      <c r="AD17" s="14">
        <f t="shared" si="0"/>
        <v>4.5708737864077653</v>
      </c>
      <c r="AE17" s="14">
        <f t="shared" si="1"/>
        <v>4.7081339712918684</v>
      </c>
      <c r="AF17" s="14">
        <f t="shared" si="2"/>
        <v>5.8111675126903561</v>
      </c>
      <c r="AG17" s="14">
        <f t="shared" si="4"/>
        <v>8.169014084507042</v>
      </c>
      <c r="AH17" s="14">
        <f t="shared" si="5"/>
        <v>5.0706467661691521</v>
      </c>
      <c r="AI17" s="14">
        <f t="shared" si="6"/>
        <v>4.9813267813267794</v>
      </c>
    </row>
    <row r="18" spans="10:35" x14ac:dyDescent="0.3">
      <c r="J18" s="2" t="s">
        <v>869</v>
      </c>
      <c r="K18">
        <v>80.8</v>
      </c>
      <c r="L18">
        <v>79.2</v>
      </c>
      <c r="M18">
        <v>85.8</v>
      </c>
      <c r="N18">
        <v>79</v>
      </c>
      <c r="O18">
        <v>66.400000000000006</v>
      </c>
      <c r="P18">
        <v>85.6</v>
      </c>
      <c r="Q18">
        <v>89</v>
      </c>
      <c r="S18" s="2" t="s">
        <v>869</v>
      </c>
      <c r="T18">
        <v>24.8</v>
      </c>
      <c r="U18">
        <v>21.8</v>
      </c>
      <c r="V18">
        <v>24.6</v>
      </c>
      <c r="W18">
        <v>22.6</v>
      </c>
      <c r="X18">
        <v>21.6</v>
      </c>
      <c r="Y18">
        <v>22.4</v>
      </c>
      <c r="Z18">
        <v>25.2</v>
      </c>
      <c r="AB18" s="2" t="s">
        <v>869</v>
      </c>
      <c r="AC18" s="14">
        <f t="shared" si="3"/>
        <v>5.8930693069306939</v>
      </c>
      <c r="AD18" s="14">
        <f t="shared" si="0"/>
        <v>5.7252525252525244</v>
      </c>
      <c r="AE18" s="14">
        <f t="shared" si="1"/>
        <v>4.0713286713286729</v>
      </c>
      <c r="AF18" s="14">
        <f t="shared" si="2"/>
        <v>6.0075949367088608</v>
      </c>
      <c r="AG18" s="14">
        <f t="shared" si="4"/>
        <v>10.930120481927709</v>
      </c>
      <c r="AH18" s="14">
        <f t="shared" si="5"/>
        <v>3.7682242990654222</v>
      </c>
      <c r="AI18" s="14">
        <f t="shared" si="6"/>
        <v>3.1146067415730334</v>
      </c>
    </row>
    <row r="19" spans="10:35" x14ac:dyDescent="0.3">
      <c r="J19" s="2" t="s">
        <v>870</v>
      </c>
      <c r="K19">
        <v>86.4</v>
      </c>
      <c r="L19">
        <v>81.8</v>
      </c>
      <c r="M19">
        <v>86</v>
      </c>
      <c r="N19">
        <v>83.2</v>
      </c>
      <c r="O19">
        <v>67.599999999999994</v>
      </c>
      <c r="P19">
        <v>85.2</v>
      </c>
      <c r="Q19">
        <v>81</v>
      </c>
      <c r="S19" s="2" t="s">
        <v>870</v>
      </c>
      <c r="T19">
        <v>26.4</v>
      </c>
      <c r="U19">
        <v>25.6</v>
      </c>
      <c r="V19">
        <v>28</v>
      </c>
      <c r="W19">
        <v>26</v>
      </c>
      <c r="X19">
        <v>25.4</v>
      </c>
      <c r="Y19">
        <v>23.6</v>
      </c>
      <c r="Z19">
        <v>24.2</v>
      </c>
      <c r="AB19" s="2" t="s">
        <v>870</v>
      </c>
      <c r="AC19" s="14">
        <f t="shared" si="3"/>
        <v>4.1555555555555532</v>
      </c>
      <c r="AD19" s="14">
        <f t="shared" si="0"/>
        <v>5.6958435207823968</v>
      </c>
      <c r="AE19" s="14">
        <f t="shared" si="1"/>
        <v>4.558139534883721</v>
      </c>
      <c r="AF19" s="14">
        <f t="shared" si="2"/>
        <v>5.2499999999999991</v>
      </c>
      <c r="AG19" s="14">
        <f t="shared" si="4"/>
        <v>12.173964497041423</v>
      </c>
      <c r="AH19" s="14">
        <f t="shared" si="5"/>
        <v>4.0995305164319245</v>
      </c>
      <c r="AI19" s="14">
        <f t="shared" si="6"/>
        <v>5.6765432098765434</v>
      </c>
    </row>
    <row r="20" spans="10:35" x14ac:dyDescent="0.3">
      <c r="J20" s="2" t="s">
        <v>871</v>
      </c>
      <c r="K20">
        <v>94.2</v>
      </c>
      <c r="L20">
        <v>81</v>
      </c>
      <c r="M20">
        <v>84.6</v>
      </c>
      <c r="N20">
        <v>74.400000000000006</v>
      </c>
      <c r="O20">
        <v>81.599999999999994</v>
      </c>
      <c r="P20">
        <v>86.6</v>
      </c>
      <c r="Q20">
        <v>86.4</v>
      </c>
      <c r="S20" s="2" t="s">
        <v>871</v>
      </c>
      <c r="T20">
        <v>33.799999999999997</v>
      </c>
      <c r="U20">
        <v>29.8</v>
      </c>
      <c r="V20">
        <v>32.4</v>
      </c>
      <c r="W20">
        <v>27.2</v>
      </c>
      <c r="X20">
        <v>35</v>
      </c>
      <c r="Y20">
        <v>27</v>
      </c>
      <c r="Z20">
        <v>28.2</v>
      </c>
      <c r="AB20" s="2" t="s">
        <v>871</v>
      </c>
      <c r="AC20" s="14">
        <f t="shared" si="3"/>
        <v>2.0811040339702744</v>
      </c>
      <c r="AD20" s="14">
        <f t="shared" si="0"/>
        <v>6.9901234567901236</v>
      </c>
      <c r="AE20" s="14">
        <f t="shared" si="1"/>
        <v>5.8978723404255344</v>
      </c>
      <c r="AF20" s="14">
        <f t="shared" si="2"/>
        <v>9.3591397849462332</v>
      </c>
      <c r="AG20" s="14">
        <f t="shared" si="4"/>
        <v>7.8921568627451011</v>
      </c>
      <c r="AH20" s="14">
        <f t="shared" si="5"/>
        <v>4.1778290993071616</v>
      </c>
      <c r="AI20" s="14">
        <f t="shared" si="6"/>
        <v>4.4388888888888864</v>
      </c>
    </row>
    <row r="21" spans="10:35" x14ac:dyDescent="0.3">
      <c r="J21" s="2" t="s">
        <v>872</v>
      </c>
      <c r="K21">
        <v>85.6</v>
      </c>
      <c r="L21">
        <v>69.400000000000006</v>
      </c>
      <c r="M21">
        <v>71.400000000000006</v>
      </c>
      <c r="N21">
        <v>66.8</v>
      </c>
      <c r="O21">
        <v>78</v>
      </c>
      <c r="P21">
        <v>86.2</v>
      </c>
      <c r="Q21">
        <v>85.8</v>
      </c>
      <c r="S21" s="2" t="s">
        <v>872</v>
      </c>
      <c r="T21">
        <v>32.4</v>
      </c>
      <c r="U21">
        <v>31.4</v>
      </c>
      <c r="V21">
        <v>31.2</v>
      </c>
      <c r="W21">
        <v>34</v>
      </c>
      <c r="X21">
        <v>40.200000000000003</v>
      </c>
      <c r="Y21">
        <v>33.799999999999997</v>
      </c>
      <c r="Z21">
        <v>29.4</v>
      </c>
      <c r="AB21" s="2" t="s">
        <v>872</v>
      </c>
      <c r="AC21" s="14">
        <f t="shared" si="3"/>
        <v>5.4504672897196285</v>
      </c>
      <c r="AD21" s="14">
        <f t="shared" si="0"/>
        <v>13.844956772334291</v>
      </c>
      <c r="AE21" s="14">
        <f t="shared" si="1"/>
        <v>12.497478991596635</v>
      </c>
      <c r="AF21" s="14">
        <f t="shared" si="2"/>
        <v>16.898203592814376</v>
      </c>
      <c r="AG21" s="14">
        <f t="shared" si="4"/>
        <v>11.338461538461539</v>
      </c>
      <c r="AH21" s="14">
        <f t="shared" si="5"/>
        <v>5.4111368909512745</v>
      </c>
      <c r="AI21" s="14">
        <f t="shared" si="6"/>
        <v>4.8657342657342664</v>
      </c>
    </row>
    <row r="22" spans="10:35" x14ac:dyDescent="0.3">
      <c r="J22" s="2" t="s">
        <v>873</v>
      </c>
      <c r="K22">
        <v>84</v>
      </c>
      <c r="L22">
        <v>80.599999999999994</v>
      </c>
      <c r="M22">
        <v>76.400000000000006</v>
      </c>
      <c r="N22">
        <v>74.2</v>
      </c>
      <c r="O22">
        <v>81.2</v>
      </c>
      <c r="P22">
        <v>82.2</v>
      </c>
      <c r="Q22">
        <v>86</v>
      </c>
      <c r="S22" s="2" t="s">
        <v>873</v>
      </c>
      <c r="T22">
        <v>37.200000000000003</v>
      </c>
      <c r="U22">
        <v>39.6</v>
      </c>
      <c r="V22">
        <v>36.6</v>
      </c>
      <c r="W22">
        <v>37.200000000000003</v>
      </c>
      <c r="X22">
        <v>42.6</v>
      </c>
      <c r="Y22">
        <v>37.200000000000003</v>
      </c>
      <c r="Z22">
        <v>31.4</v>
      </c>
      <c r="AB22" s="2" t="s">
        <v>873</v>
      </c>
      <c r="AC22" s="14">
        <f t="shared" si="3"/>
        <v>7.0857142857142863</v>
      </c>
      <c r="AD22" s="14">
        <f t="shared" si="0"/>
        <v>9.5315136476426829</v>
      </c>
      <c r="AE22" s="14">
        <f t="shared" si="1"/>
        <v>11.305759162303662</v>
      </c>
      <c r="AF22" s="14">
        <f t="shared" si="2"/>
        <v>12.93477088948787</v>
      </c>
      <c r="AG22" s="14">
        <f t="shared" si="4"/>
        <v>9.863054187192116</v>
      </c>
      <c r="AH22" s="14">
        <f t="shared" si="5"/>
        <v>8.0554744525547441</v>
      </c>
      <c r="AI22" s="14">
        <f t="shared" si="6"/>
        <v>5.1116279069767439</v>
      </c>
    </row>
    <row r="23" spans="10:35" x14ac:dyDescent="0.3">
      <c r="J23" s="2" t="s">
        <v>874</v>
      </c>
      <c r="K23">
        <v>93.4</v>
      </c>
      <c r="L23">
        <v>88.6</v>
      </c>
      <c r="M23">
        <v>88.6</v>
      </c>
      <c r="N23">
        <v>86.2</v>
      </c>
      <c r="O23">
        <v>80.599999999999994</v>
      </c>
      <c r="P23">
        <v>81.599999999999994</v>
      </c>
      <c r="Q23">
        <v>88.6</v>
      </c>
      <c r="S23" s="2" t="s">
        <v>874</v>
      </c>
      <c r="T23">
        <v>37</v>
      </c>
      <c r="U23">
        <v>40</v>
      </c>
      <c r="V23">
        <v>41.8</v>
      </c>
      <c r="W23">
        <v>39.799999999999997</v>
      </c>
      <c r="X23">
        <v>42.2</v>
      </c>
      <c r="Y23">
        <v>40</v>
      </c>
      <c r="Z23">
        <v>33.4</v>
      </c>
      <c r="AB23" s="2" t="s">
        <v>874</v>
      </c>
      <c r="AC23" s="14">
        <f t="shared" si="3"/>
        <v>2.6145610278372566</v>
      </c>
      <c r="AD23" s="14">
        <f t="shared" si="0"/>
        <v>5.1467268623024856</v>
      </c>
      <c r="AE23" s="14">
        <f t="shared" si="1"/>
        <v>5.3783295711060974</v>
      </c>
      <c r="AF23" s="14">
        <f t="shared" si="2"/>
        <v>6.3716937354988383</v>
      </c>
      <c r="AG23" s="14">
        <f t="shared" si="4"/>
        <v>10.157320099255587</v>
      </c>
      <c r="AH23" s="14">
        <f t="shared" si="5"/>
        <v>9.0196078431372584</v>
      </c>
      <c r="AI23" s="14">
        <f t="shared" si="6"/>
        <v>4.2975169300225753</v>
      </c>
    </row>
    <row r="24" spans="10:35" x14ac:dyDescent="0.3">
      <c r="J24" s="2" t="s">
        <v>875</v>
      </c>
      <c r="K24">
        <v>87.2</v>
      </c>
      <c r="L24">
        <v>90</v>
      </c>
      <c r="M24">
        <v>90.4</v>
      </c>
      <c r="N24">
        <v>87.6</v>
      </c>
      <c r="O24">
        <v>84.4</v>
      </c>
      <c r="P24">
        <v>92.6</v>
      </c>
      <c r="Q24">
        <v>87.6</v>
      </c>
      <c r="S24" s="2" t="s">
        <v>875</v>
      </c>
      <c r="T24">
        <v>30.8</v>
      </c>
      <c r="U24">
        <v>36.200000000000003</v>
      </c>
      <c r="V24">
        <v>35.799999999999997</v>
      </c>
      <c r="W24">
        <v>36.799999999999997</v>
      </c>
      <c r="X24">
        <v>44.8</v>
      </c>
      <c r="Y24">
        <v>43.6</v>
      </c>
      <c r="Z24">
        <v>26.4</v>
      </c>
      <c r="AB24" s="2" t="s">
        <v>875</v>
      </c>
      <c r="AC24" s="14">
        <f t="shared" si="3"/>
        <v>4.5211009174311911</v>
      </c>
      <c r="AD24" s="14">
        <f t="shared" si="0"/>
        <v>4.0222222222222221</v>
      </c>
      <c r="AE24" s="14">
        <f t="shared" si="1"/>
        <v>3.8017699115044219</v>
      </c>
      <c r="AF24" s="14">
        <f t="shared" si="2"/>
        <v>5.2091324200913265</v>
      </c>
      <c r="AG24" s="14">
        <f t="shared" si="4"/>
        <v>8.2805687203791418</v>
      </c>
      <c r="AH24" s="14">
        <f t="shared" si="5"/>
        <v>3.4842332613390958</v>
      </c>
      <c r="AI24" s="14">
        <f t="shared" si="6"/>
        <v>3.7369863013698645</v>
      </c>
    </row>
    <row r="25" spans="10:35" x14ac:dyDescent="0.3">
      <c r="J25" s="2" t="s">
        <v>876</v>
      </c>
      <c r="K25">
        <v>86.6</v>
      </c>
      <c r="L25">
        <v>89.4</v>
      </c>
      <c r="M25">
        <v>86.2</v>
      </c>
      <c r="N25">
        <v>91.6</v>
      </c>
      <c r="O25">
        <v>83.6</v>
      </c>
      <c r="P25">
        <v>95.2</v>
      </c>
      <c r="Q25">
        <v>84.8</v>
      </c>
      <c r="S25" s="2" t="s">
        <v>876</v>
      </c>
      <c r="T25">
        <v>24.2</v>
      </c>
      <c r="U25">
        <v>32.799999999999997</v>
      </c>
      <c r="V25">
        <v>32.200000000000003</v>
      </c>
      <c r="W25">
        <v>35.200000000000003</v>
      </c>
      <c r="X25">
        <v>46.4</v>
      </c>
      <c r="Y25">
        <v>42</v>
      </c>
      <c r="Z25">
        <v>23</v>
      </c>
      <c r="AB25" s="2" t="s">
        <v>876</v>
      </c>
      <c r="AC25" s="14">
        <f t="shared" si="3"/>
        <v>3.7445727482679003</v>
      </c>
      <c r="AD25" s="14">
        <f t="shared" si="0"/>
        <v>3.8890380313199078</v>
      </c>
      <c r="AE25" s="14">
        <f t="shared" si="1"/>
        <v>5.1549883990719252</v>
      </c>
      <c r="AF25" s="14">
        <f t="shared" si="2"/>
        <v>3.2279475982532779</v>
      </c>
      <c r="AG25" s="14">
        <f t="shared" si="4"/>
        <v>9.1023923444976109</v>
      </c>
      <c r="AH25" s="14">
        <f t="shared" si="5"/>
        <v>2.1176470588235281</v>
      </c>
      <c r="AI25" s="14">
        <f t="shared" si="6"/>
        <v>4.1226415094339632</v>
      </c>
    </row>
    <row r="26" spans="10:35" x14ac:dyDescent="0.3">
      <c r="J26" s="2" t="s">
        <v>877</v>
      </c>
      <c r="K26">
        <v>83.6</v>
      </c>
      <c r="L26">
        <v>88.6</v>
      </c>
      <c r="M26">
        <v>88.2</v>
      </c>
      <c r="N26">
        <v>83.6</v>
      </c>
      <c r="O26">
        <v>92.4</v>
      </c>
      <c r="P26">
        <v>94.2</v>
      </c>
      <c r="Q26">
        <v>77.8</v>
      </c>
      <c r="S26" s="2" t="s">
        <v>877</v>
      </c>
      <c r="T26">
        <v>20.6</v>
      </c>
      <c r="U26">
        <v>27.6</v>
      </c>
      <c r="V26">
        <v>29.8</v>
      </c>
      <c r="W26">
        <v>29</v>
      </c>
      <c r="X26">
        <v>39</v>
      </c>
      <c r="Y26">
        <v>39.200000000000003</v>
      </c>
      <c r="Z26">
        <v>18</v>
      </c>
      <c r="AB26" s="2" t="s">
        <v>877</v>
      </c>
      <c r="AC26" s="14">
        <f t="shared" si="3"/>
        <v>4.0411483253588534</v>
      </c>
      <c r="AD26" s="14">
        <f t="shared" si="0"/>
        <v>3.5512415349887152</v>
      </c>
      <c r="AE26" s="14">
        <f t="shared" si="1"/>
        <v>3.9868480725623572</v>
      </c>
      <c r="AF26" s="14">
        <f t="shared" si="2"/>
        <v>5.6889952153110066</v>
      </c>
      <c r="AG26" s="14">
        <f t="shared" si="4"/>
        <v>3.2077922077922048</v>
      </c>
      <c r="AH26" s="14">
        <f t="shared" si="5"/>
        <v>2.413588110403396</v>
      </c>
      <c r="AI26" s="14">
        <f t="shared" si="6"/>
        <v>5.1362467866323911</v>
      </c>
    </row>
    <row r="28" spans="10:35" ht="38.4" customHeight="1" x14ac:dyDescent="0.3">
      <c r="AD28" t="s">
        <v>899</v>
      </c>
    </row>
    <row r="29" spans="10:35" x14ac:dyDescent="0.3">
      <c r="AD29" s="14">
        <f>SUM(AC10:AG13)</f>
        <v>242.97730741038674</v>
      </c>
      <c r="AE29" s="14">
        <f>SUM(AD21:AG22)</f>
        <v>98.214198781833176</v>
      </c>
      <c r="AF29" s="15">
        <f>SUM(AD29:AE29)</f>
        <v>341.19150619221989</v>
      </c>
    </row>
  </sheetData>
  <conditionalFormatting sqref="J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max"/>
        <color rgb="FFFF0000"/>
        <color rgb="FF00B050"/>
      </colorScale>
    </cfRule>
  </conditionalFormatting>
  <conditionalFormatting pivot="1" sqref="K3:Q2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F0000"/>
        <color rgb="FF00B050"/>
      </colorScale>
    </cfRule>
  </conditionalFormatting>
  <conditionalFormatting pivot="1" sqref="T3:Z2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F0000"/>
        <color rgb="FF00B050"/>
      </colorScale>
    </cfRule>
  </conditionalFormatting>
  <conditionalFormatting sqref="AB2:AI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51F3-7DC0-49C7-869F-59645A6A772E}">
  <dimension ref="A4:W116"/>
  <sheetViews>
    <sheetView topLeftCell="Q9" zoomScaleNormal="100" workbookViewId="0">
      <selection activeCell="K5" sqref="K5:M12"/>
    </sheetView>
  </sheetViews>
  <sheetFormatPr defaultRowHeight="14.4" x14ac:dyDescent="0.3"/>
  <cols>
    <col min="1" max="1" width="12.5546875" bestFit="1" customWidth="1"/>
    <col min="2" max="2" width="6.44140625" bestFit="1" customWidth="1"/>
    <col min="3" max="3" width="23.21875" bestFit="1" customWidth="1"/>
    <col min="4" max="4" width="14.21875" bestFit="1" customWidth="1"/>
    <col min="5" max="5" width="13.44140625" bestFit="1" customWidth="1"/>
    <col min="7" max="7" width="14.109375" customWidth="1"/>
    <col min="8" max="8" width="16.33203125" bestFit="1" customWidth="1"/>
    <col min="9" max="9" width="9.21875" customWidth="1"/>
    <col min="14" max="14" width="12.5546875" bestFit="1" customWidth="1"/>
    <col min="15" max="15" width="18.88671875" bestFit="1" customWidth="1"/>
    <col min="16" max="16" width="17.21875" bestFit="1" customWidth="1"/>
    <col min="17" max="17" width="28.77734375" bestFit="1" customWidth="1"/>
    <col min="18" max="18" width="14.44140625" bestFit="1" customWidth="1"/>
    <col min="19" max="19" width="10.44140625" bestFit="1" customWidth="1"/>
    <col min="20" max="20" width="22.6640625" bestFit="1" customWidth="1"/>
    <col min="21" max="21" width="12.88671875" bestFit="1" customWidth="1"/>
  </cols>
  <sheetData>
    <row r="4" spans="1:21" ht="18" x14ac:dyDescent="0.35">
      <c r="B4" s="134" t="s">
        <v>937</v>
      </c>
      <c r="C4" s="134"/>
      <c r="D4" s="134"/>
      <c r="E4" s="23"/>
    </row>
    <row r="5" spans="1:21" s="8" customFormat="1" ht="57.6" x14ac:dyDescent="0.3">
      <c r="B5" s="13" t="s">
        <v>852</v>
      </c>
      <c r="C5" s="8" t="s">
        <v>894</v>
      </c>
      <c r="D5" s="8" t="s">
        <v>897</v>
      </c>
      <c r="E5" s="8" t="s">
        <v>938</v>
      </c>
      <c r="F5" s="22" t="s">
        <v>939</v>
      </c>
      <c r="H5" s="34" t="s">
        <v>960</v>
      </c>
      <c r="I5"/>
      <c r="K5" s="22" t="s">
        <v>852</v>
      </c>
      <c r="L5" s="22" t="s">
        <v>894</v>
      </c>
      <c r="M5" s="22" t="s">
        <v>938</v>
      </c>
    </row>
    <row r="6" spans="1:21" x14ac:dyDescent="0.3">
      <c r="B6" s="2">
        <v>1</v>
      </c>
      <c r="C6" s="21">
        <v>10.608333333333333</v>
      </c>
      <c r="D6" s="21">
        <v>73.25</v>
      </c>
      <c r="E6" s="21">
        <v>37.133333333333333</v>
      </c>
      <c r="F6" t="s">
        <v>940</v>
      </c>
      <c r="K6" s="2">
        <v>1</v>
      </c>
      <c r="L6" s="21">
        <v>10.608333333333333</v>
      </c>
      <c r="M6" s="21">
        <v>37.133333333333333</v>
      </c>
      <c r="P6" s="136" t="s">
        <v>970</v>
      </c>
      <c r="Q6" s="137"/>
      <c r="R6" s="137"/>
      <c r="S6" s="137"/>
      <c r="T6" s="137"/>
      <c r="U6" s="137"/>
    </row>
    <row r="7" spans="1:21" x14ac:dyDescent="0.3">
      <c r="B7" s="2">
        <v>2</v>
      </c>
      <c r="C7" s="21">
        <v>12.966666666666667</v>
      </c>
      <c r="D7" s="21">
        <v>74.841666666666669</v>
      </c>
      <c r="E7" s="21">
        <v>44.19166666666667</v>
      </c>
      <c r="F7" t="s">
        <v>941</v>
      </c>
      <c r="H7" t="s">
        <v>961</v>
      </c>
      <c r="I7">
        <f>SUM(Demand_Data___Hourly_OverviewSearch_1_csv[Finished_Rides])</f>
        <v>11738</v>
      </c>
      <c r="K7" s="2">
        <v>2</v>
      </c>
      <c r="L7" s="21">
        <v>12.966666666666667</v>
      </c>
      <c r="M7" s="21">
        <v>44.19166666666667</v>
      </c>
      <c r="P7" s="32" t="s">
        <v>947</v>
      </c>
      <c r="Q7" s="32" t="s">
        <v>895</v>
      </c>
      <c r="R7" s="32" t="s">
        <v>971</v>
      </c>
      <c r="S7" s="32" t="s">
        <v>972</v>
      </c>
      <c r="T7" s="32" t="s">
        <v>973</v>
      </c>
      <c r="U7" s="32" t="s">
        <v>974</v>
      </c>
    </row>
    <row r="8" spans="1:21" x14ac:dyDescent="0.3">
      <c r="B8" s="2">
        <v>3</v>
      </c>
      <c r="C8" s="21">
        <v>13.907563025210084</v>
      </c>
      <c r="D8" s="21">
        <v>78.268907563025209</v>
      </c>
      <c r="E8" s="21">
        <v>48.184873949579831</v>
      </c>
      <c r="F8" t="s">
        <v>941</v>
      </c>
      <c r="H8" t="s">
        <v>962</v>
      </c>
      <c r="I8">
        <f>SUM(Demand_Data___Hourly_OverviewSearch_1_csv[Total_Demand])</f>
        <v>40509</v>
      </c>
      <c r="K8" s="2">
        <v>3</v>
      </c>
      <c r="L8" s="21">
        <v>13.907563025210084</v>
      </c>
      <c r="M8" s="21">
        <v>48.184873949579831</v>
      </c>
      <c r="P8" s="33" t="s">
        <v>948</v>
      </c>
      <c r="Q8" s="33" t="s">
        <v>977</v>
      </c>
      <c r="R8" s="33">
        <v>41.8</v>
      </c>
      <c r="S8" s="33">
        <v>11.4</v>
      </c>
      <c r="T8" s="33">
        <v>60.4</v>
      </c>
      <c r="U8" s="33">
        <v>30.5</v>
      </c>
    </row>
    <row r="9" spans="1:21" x14ac:dyDescent="0.3">
      <c r="B9" s="2">
        <v>4</v>
      </c>
      <c r="C9" s="21">
        <v>15.675000000000001</v>
      </c>
      <c r="D9" s="21">
        <v>72.341666666666669</v>
      </c>
      <c r="E9" s="21">
        <v>53.93333333333333</v>
      </c>
      <c r="F9" t="s">
        <v>941</v>
      </c>
      <c r="H9" t="s">
        <v>963</v>
      </c>
      <c r="I9" s="14">
        <f>AVERAGE(Demand_Data___Hourly_OverviewSearch_1_csv[Coverage Ratio (%)])</f>
        <v>75.661501787842667</v>
      </c>
      <c r="K9" s="2">
        <v>4</v>
      </c>
      <c r="L9" s="21">
        <v>15.675000000000001</v>
      </c>
      <c r="M9" s="21">
        <v>53.93333333333333</v>
      </c>
      <c r="P9" s="33" t="s">
        <v>949</v>
      </c>
      <c r="Q9" s="33" t="s">
        <v>978</v>
      </c>
      <c r="R9" s="33">
        <v>81.099999999999994</v>
      </c>
      <c r="S9" s="33">
        <v>24.2</v>
      </c>
      <c r="T9" s="33">
        <v>82.3</v>
      </c>
      <c r="U9" s="33">
        <v>56.9</v>
      </c>
    </row>
    <row r="10" spans="1:21" x14ac:dyDescent="0.3">
      <c r="B10" s="2">
        <v>5</v>
      </c>
      <c r="C10" s="21">
        <v>16.7</v>
      </c>
      <c r="D10" s="21">
        <v>71.174999999999997</v>
      </c>
      <c r="E10" s="21">
        <v>62.791666666666664</v>
      </c>
      <c r="F10" t="s">
        <v>942</v>
      </c>
      <c r="H10" t="s">
        <v>964</v>
      </c>
      <c r="I10" s="14">
        <f>AVERAGE(Demand_Data___Hourly_OverviewSearch_1_csv[Rides per online hour])</f>
        <v>0.56946364719904574</v>
      </c>
      <c r="K10" s="2">
        <v>5</v>
      </c>
      <c r="L10" s="21">
        <v>16.7</v>
      </c>
      <c r="M10" s="21">
        <v>62.791666666666664</v>
      </c>
      <c r="P10" s="33" t="s">
        <v>975</v>
      </c>
      <c r="Q10" s="33" t="s">
        <v>954</v>
      </c>
      <c r="R10" s="33">
        <v>41.7</v>
      </c>
      <c r="S10" s="33">
        <v>12.5</v>
      </c>
      <c r="T10" s="33">
        <v>74.3</v>
      </c>
      <c r="U10" s="33">
        <v>29.2</v>
      </c>
    </row>
    <row r="11" spans="1:21" x14ac:dyDescent="0.3">
      <c r="B11" s="2">
        <v>6</v>
      </c>
      <c r="C11" s="21">
        <v>14.725</v>
      </c>
      <c r="D11" s="21">
        <v>79.724999999999994</v>
      </c>
      <c r="E11" s="21">
        <v>49.116666666666667</v>
      </c>
      <c r="F11" t="s">
        <v>941</v>
      </c>
      <c r="K11" s="2">
        <v>6</v>
      </c>
      <c r="L11" s="21">
        <v>14.725</v>
      </c>
      <c r="M11" s="21">
        <v>49.116666666666667</v>
      </c>
      <c r="P11" s="33" t="s">
        <v>951</v>
      </c>
      <c r="Q11" s="33" t="s">
        <v>976</v>
      </c>
      <c r="R11" s="33">
        <v>48.2</v>
      </c>
      <c r="S11" s="33">
        <v>14.4</v>
      </c>
      <c r="T11" s="33">
        <v>75.599999999999994</v>
      </c>
      <c r="U11" s="33">
        <v>33.799999999999997</v>
      </c>
    </row>
    <row r="12" spans="1:21" x14ac:dyDescent="0.3">
      <c r="B12" s="2">
        <v>7</v>
      </c>
      <c r="C12" s="21">
        <v>13.35</v>
      </c>
      <c r="D12" s="21">
        <v>80.05</v>
      </c>
      <c r="E12" s="21">
        <v>42.625</v>
      </c>
      <c r="F12" t="s">
        <v>941</v>
      </c>
      <c r="K12" s="2">
        <v>7</v>
      </c>
      <c r="L12" s="21">
        <v>13.35</v>
      </c>
      <c r="M12" s="21">
        <v>42.625</v>
      </c>
    </row>
    <row r="15" spans="1:21" ht="18" x14ac:dyDescent="0.35">
      <c r="A15" s="135" t="s">
        <v>965</v>
      </c>
      <c r="B15" s="135"/>
      <c r="G15" s="27" t="s">
        <v>966</v>
      </c>
      <c r="P15" s="134" t="s">
        <v>967</v>
      </c>
      <c r="Q15" s="134"/>
    </row>
    <row r="16" spans="1:21" ht="28.8" x14ac:dyDescent="0.3">
      <c r="A16" s="28" t="s">
        <v>0</v>
      </c>
      <c r="B16" s="29" t="s">
        <v>943</v>
      </c>
      <c r="C16" s="29" t="s">
        <v>936</v>
      </c>
      <c r="D16" s="29" t="s">
        <v>944</v>
      </c>
      <c r="E16" s="30" t="s">
        <v>945</v>
      </c>
      <c r="G16" s="13" t="s">
        <v>894</v>
      </c>
      <c r="H16" s="1" t="s">
        <v>886</v>
      </c>
      <c r="P16" s="13" t="s">
        <v>895</v>
      </c>
      <c r="Q16" s="8" t="s">
        <v>968</v>
      </c>
      <c r="R16" s="8" t="s">
        <v>936</v>
      </c>
    </row>
    <row r="17" spans="1:18" x14ac:dyDescent="0.3">
      <c r="A17" s="10" t="s">
        <v>934</v>
      </c>
      <c r="B17" s="10">
        <v>231</v>
      </c>
      <c r="C17" s="10">
        <v>832</v>
      </c>
      <c r="D17" s="24">
        <v>73.5</v>
      </c>
      <c r="E17" s="25">
        <f t="shared" ref="E17:E51" si="0">($C17-$B17)</f>
        <v>601</v>
      </c>
      <c r="G17" s="1" t="s">
        <v>895</v>
      </c>
      <c r="H17">
        <v>1</v>
      </c>
      <c r="I17">
        <v>2</v>
      </c>
      <c r="J17">
        <v>3</v>
      </c>
      <c r="K17">
        <v>4</v>
      </c>
      <c r="L17">
        <v>5</v>
      </c>
      <c r="M17">
        <v>6</v>
      </c>
      <c r="N17">
        <v>7</v>
      </c>
      <c r="P17" s="2" t="s">
        <v>854</v>
      </c>
      <c r="Q17">
        <v>1587</v>
      </c>
      <c r="R17">
        <v>1892</v>
      </c>
    </row>
    <row r="18" spans="1:18" x14ac:dyDescent="0.3">
      <c r="A18" s="10" t="s">
        <v>933</v>
      </c>
      <c r="B18" s="10">
        <v>259</v>
      </c>
      <c r="C18" s="10">
        <v>954</v>
      </c>
      <c r="D18" s="24">
        <v>74.083333333333329</v>
      </c>
      <c r="E18" s="25">
        <f t="shared" si="0"/>
        <v>695</v>
      </c>
      <c r="G18" s="2" t="s">
        <v>854</v>
      </c>
      <c r="H18">
        <v>7</v>
      </c>
      <c r="I18">
        <v>8</v>
      </c>
      <c r="J18">
        <v>15.6</v>
      </c>
      <c r="K18">
        <v>20.2</v>
      </c>
      <c r="L18">
        <v>24.8</v>
      </c>
      <c r="M18">
        <v>28.6</v>
      </c>
      <c r="N18">
        <v>33.6</v>
      </c>
      <c r="P18" s="2" t="s">
        <v>855</v>
      </c>
      <c r="Q18">
        <v>1058</v>
      </c>
      <c r="R18">
        <v>1322</v>
      </c>
    </row>
    <row r="19" spans="1:18" x14ac:dyDescent="0.3">
      <c r="A19" s="10" t="s">
        <v>932</v>
      </c>
      <c r="B19" s="10">
        <v>327</v>
      </c>
      <c r="C19" s="10">
        <v>1063</v>
      </c>
      <c r="D19" s="24">
        <v>82.041666666666671</v>
      </c>
      <c r="E19" s="25">
        <f t="shared" si="0"/>
        <v>736</v>
      </c>
      <c r="G19" s="2" t="s">
        <v>855</v>
      </c>
      <c r="H19">
        <v>3.2</v>
      </c>
      <c r="I19">
        <v>1.4</v>
      </c>
      <c r="J19">
        <v>7</v>
      </c>
      <c r="K19">
        <v>8.6</v>
      </c>
      <c r="L19">
        <v>13.6</v>
      </c>
      <c r="M19">
        <v>30.8</v>
      </c>
      <c r="N19">
        <v>25.6</v>
      </c>
      <c r="P19" s="2" t="s">
        <v>856</v>
      </c>
      <c r="Q19">
        <v>773</v>
      </c>
      <c r="R19">
        <v>1062</v>
      </c>
    </row>
    <row r="20" spans="1:18" x14ac:dyDescent="0.3">
      <c r="A20" s="10" t="s">
        <v>931</v>
      </c>
      <c r="B20" s="10">
        <v>345</v>
      </c>
      <c r="C20" s="10">
        <v>1300</v>
      </c>
      <c r="D20" s="24">
        <v>72.5</v>
      </c>
      <c r="E20" s="25">
        <f t="shared" si="0"/>
        <v>955</v>
      </c>
      <c r="G20" s="2" t="s">
        <v>856</v>
      </c>
      <c r="H20">
        <v>2.4</v>
      </c>
      <c r="I20">
        <v>1.2</v>
      </c>
      <c r="J20">
        <v>4.2</v>
      </c>
      <c r="K20">
        <v>5</v>
      </c>
      <c r="L20">
        <v>8.8000000000000007</v>
      </c>
      <c r="M20">
        <v>23.4</v>
      </c>
      <c r="N20">
        <v>19.8</v>
      </c>
      <c r="P20" s="2" t="s">
        <v>857</v>
      </c>
      <c r="Q20">
        <v>644</v>
      </c>
      <c r="R20">
        <v>1072</v>
      </c>
    </row>
    <row r="21" spans="1:18" x14ac:dyDescent="0.3">
      <c r="A21" s="10" t="s">
        <v>930</v>
      </c>
      <c r="B21" s="10">
        <v>375</v>
      </c>
      <c r="C21" s="10">
        <v>1200</v>
      </c>
      <c r="D21" s="24">
        <v>72.875</v>
      </c>
      <c r="E21" s="25">
        <f t="shared" si="0"/>
        <v>825</v>
      </c>
      <c r="G21" s="2" t="s">
        <v>857</v>
      </c>
      <c r="H21">
        <v>0.4</v>
      </c>
      <c r="I21">
        <v>0.4</v>
      </c>
      <c r="J21">
        <v>3.6</v>
      </c>
      <c r="K21">
        <v>4.2</v>
      </c>
      <c r="L21">
        <v>7.4</v>
      </c>
      <c r="M21">
        <v>21</v>
      </c>
      <c r="N21">
        <v>19.2</v>
      </c>
      <c r="P21" s="2" t="s">
        <v>858</v>
      </c>
      <c r="Q21">
        <v>448</v>
      </c>
      <c r="R21">
        <v>904</v>
      </c>
    </row>
    <row r="22" spans="1:18" x14ac:dyDescent="0.3">
      <c r="A22" s="10" t="s">
        <v>929</v>
      </c>
      <c r="B22" s="10">
        <v>289</v>
      </c>
      <c r="C22" s="10">
        <v>924</v>
      </c>
      <c r="D22" s="24">
        <v>79.958333333333329</v>
      </c>
      <c r="E22" s="25">
        <f t="shared" si="0"/>
        <v>635</v>
      </c>
      <c r="G22" s="2" t="s">
        <v>858</v>
      </c>
      <c r="H22">
        <v>0.6</v>
      </c>
      <c r="I22">
        <v>0.4</v>
      </c>
      <c r="J22">
        <v>3.2</v>
      </c>
      <c r="K22">
        <v>1.6</v>
      </c>
      <c r="L22">
        <v>3.8</v>
      </c>
      <c r="M22">
        <v>17.2</v>
      </c>
      <c r="N22">
        <v>17.2</v>
      </c>
      <c r="P22" s="2" t="s">
        <v>859</v>
      </c>
      <c r="Q22">
        <v>259</v>
      </c>
      <c r="R22">
        <v>394</v>
      </c>
    </row>
    <row r="23" spans="1:18" x14ac:dyDescent="0.3">
      <c r="A23" s="10" t="s">
        <v>928</v>
      </c>
      <c r="B23" s="10">
        <v>245</v>
      </c>
      <c r="C23" s="10">
        <v>760</v>
      </c>
      <c r="D23" s="24">
        <v>87.25</v>
      </c>
      <c r="E23" s="25">
        <f t="shared" si="0"/>
        <v>515</v>
      </c>
      <c r="G23" s="2" t="s">
        <v>859</v>
      </c>
      <c r="H23">
        <v>1</v>
      </c>
      <c r="I23">
        <v>0.2</v>
      </c>
      <c r="J23">
        <v>1</v>
      </c>
      <c r="K23">
        <v>1</v>
      </c>
      <c r="L23">
        <v>1.8</v>
      </c>
      <c r="M23">
        <v>7.6</v>
      </c>
      <c r="N23">
        <v>7.8</v>
      </c>
      <c r="P23" s="2" t="s">
        <v>860</v>
      </c>
      <c r="Q23">
        <v>209</v>
      </c>
      <c r="R23">
        <v>356</v>
      </c>
    </row>
    <row r="24" spans="1:18" x14ac:dyDescent="0.3">
      <c r="A24" s="10" t="s">
        <v>927</v>
      </c>
      <c r="B24" s="10">
        <v>222</v>
      </c>
      <c r="C24" s="10">
        <v>775</v>
      </c>
      <c r="D24" s="24">
        <v>76.541666666666671</v>
      </c>
      <c r="E24" s="25">
        <f t="shared" si="0"/>
        <v>553</v>
      </c>
      <c r="G24" s="2" t="s">
        <v>860</v>
      </c>
      <c r="H24">
        <v>1.6</v>
      </c>
      <c r="I24">
        <v>2</v>
      </c>
      <c r="J24">
        <v>1.4</v>
      </c>
      <c r="K24">
        <v>1</v>
      </c>
      <c r="L24">
        <v>0.8</v>
      </c>
      <c r="M24">
        <v>3</v>
      </c>
      <c r="N24">
        <v>3.4</v>
      </c>
      <c r="P24" s="2" t="s">
        <v>861</v>
      </c>
      <c r="Q24">
        <v>535</v>
      </c>
      <c r="R24">
        <v>989</v>
      </c>
    </row>
    <row r="25" spans="1:18" x14ac:dyDescent="0.3">
      <c r="A25" s="10" t="s">
        <v>926</v>
      </c>
      <c r="B25" s="10">
        <v>224</v>
      </c>
      <c r="C25" s="10">
        <v>727</v>
      </c>
      <c r="D25" s="24">
        <v>85.708333333333329</v>
      </c>
      <c r="E25" s="25">
        <f t="shared" si="0"/>
        <v>503</v>
      </c>
      <c r="G25" s="2" t="s">
        <v>861</v>
      </c>
      <c r="H25">
        <v>10</v>
      </c>
      <c r="I25">
        <v>10</v>
      </c>
      <c r="J25">
        <v>8</v>
      </c>
      <c r="K25">
        <v>6.6</v>
      </c>
      <c r="L25">
        <v>8.8000000000000007</v>
      </c>
      <c r="M25">
        <v>2.4</v>
      </c>
      <c r="N25">
        <v>1.8</v>
      </c>
      <c r="P25" s="2" t="s">
        <v>862</v>
      </c>
      <c r="Q25">
        <v>1116</v>
      </c>
      <c r="R25">
        <v>2009</v>
      </c>
    </row>
    <row r="26" spans="1:18" x14ac:dyDescent="0.3">
      <c r="A26" s="10" t="s">
        <v>925</v>
      </c>
      <c r="B26" s="10">
        <v>329</v>
      </c>
      <c r="C26" s="10">
        <v>1111</v>
      </c>
      <c r="D26" s="24">
        <v>84.416666666666671</v>
      </c>
      <c r="E26" s="25">
        <f t="shared" si="0"/>
        <v>782</v>
      </c>
      <c r="G26" s="2" t="s">
        <v>862</v>
      </c>
      <c r="H26">
        <v>19.600000000000001</v>
      </c>
      <c r="I26">
        <v>21.6</v>
      </c>
      <c r="J26">
        <v>17</v>
      </c>
      <c r="K26">
        <v>19.399999999999999</v>
      </c>
      <c r="L26">
        <v>18.8</v>
      </c>
      <c r="M26">
        <v>3.8</v>
      </c>
      <c r="N26">
        <v>2.6</v>
      </c>
      <c r="P26" s="2" t="s">
        <v>863</v>
      </c>
      <c r="Q26">
        <v>1529</v>
      </c>
      <c r="R26">
        <v>2503</v>
      </c>
    </row>
    <row r="27" spans="1:18" x14ac:dyDescent="0.3">
      <c r="A27" s="10" t="s">
        <v>924</v>
      </c>
      <c r="B27" s="10">
        <v>340</v>
      </c>
      <c r="C27" s="10">
        <v>1136</v>
      </c>
      <c r="D27" s="24">
        <v>79.25</v>
      </c>
      <c r="E27" s="25">
        <f t="shared" si="0"/>
        <v>796</v>
      </c>
      <c r="G27" s="2" t="s">
        <v>863</v>
      </c>
      <c r="H27">
        <v>25.4</v>
      </c>
      <c r="I27">
        <v>27.4</v>
      </c>
      <c r="J27">
        <v>26</v>
      </c>
      <c r="K27">
        <v>28.2</v>
      </c>
      <c r="L27">
        <v>27</v>
      </c>
      <c r="M27">
        <v>5.6</v>
      </c>
      <c r="N27">
        <v>1.6</v>
      </c>
      <c r="P27" s="2" t="s">
        <v>864</v>
      </c>
      <c r="Q27">
        <v>1276</v>
      </c>
      <c r="R27">
        <v>1728</v>
      </c>
    </row>
    <row r="28" spans="1:18" x14ac:dyDescent="0.3">
      <c r="A28" s="10" t="s">
        <v>923</v>
      </c>
      <c r="B28" s="10">
        <v>370</v>
      </c>
      <c r="C28" s="10">
        <v>1239</v>
      </c>
      <c r="D28" s="24">
        <v>79.833333333333329</v>
      </c>
      <c r="E28" s="25">
        <f t="shared" si="0"/>
        <v>869</v>
      </c>
      <c r="G28" s="2" t="s">
        <v>864</v>
      </c>
      <c r="H28">
        <v>12.8</v>
      </c>
      <c r="I28">
        <v>14.2</v>
      </c>
      <c r="J28">
        <v>14</v>
      </c>
      <c r="K28">
        <v>17.399999999999999</v>
      </c>
      <c r="L28">
        <v>15.8</v>
      </c>
      <c r="M28">
        <v>9.4</v>
      </c>
      <c r="N28">
        <v>4.4000000000000004</v>
      </c>
      <c r="P28" s="2" t="s">
        <v>865</v>
      </c>
      <c r="Q28">
        <v>1016</v>
      </c>
      <c r="R28">
        <v>1307</v>
      </c>
    </row>
    <row r="29" spans="1:18" x14ac:dyDescent="0.3">
      <c r="A29" s="10" t="s">
        <v>922</v>
      </c>
      <c r="B29" s="10">
        <v>313</v>
      </c>
      <c r="C29" s="10">
        <v>903</v>
      </c>
      <c r="D29" s="24">
        <v>91.166666666666671</v>
      </c>
      <c r="E29" s="25">
        <f t="shared" si="0"/>
        <v>590</v>
      </c>
      <c r="G29" s="2" t="s">
        <v>865</v>
      </c>
      <c r="H29">
        <v>8</v>
      </c>
      <c r="I29">
        <v>9.4</v>
      </c>
      <c r="J29">
        <v>8</v>
      </c>
      <c r="K29">
        <v>10.6</v>
      </c>
      <c r="L29">
        <v>10.4</v>
      </c>
      <c r="M29">
        <v>7.8</v>
      </c>
      <c r="N29">
        <v>6</v>
      </c>
      <c r="P29" s="2" t="s">
        <v>866</v>
      </c>
      <c r="Q29">
        <v>1031</v>
      </c>
      <c r="R29">
        <v>1334</v>
      </c>
    </row>
    <row r="30" spans="1:18" x14ac:dyDescent="0.3">
      <c r="A30" s="10" t="s">
        <v>921</v>
      </c>
      <c r="B30" s="10">
        <v>318</v>
      </c>
      <c r="C30" s="10">
        <v>905</v>
      </c>
      <c r="D30" s="24">
        <v>85.458333333333329</v>
      </c>
      <c r="E30" s="25">
        <f t="shared" si="0"/>
        <v>587</v>
      </c>
      <c r="G30" s="2" t="s">
        <v>866</v>
      </c>
      <c r="H30">
        <v>7.8</v>
      </c>
      <c r="I30">
        <v>7.2</v>
      </c>
      <c r="J30">
        <v>8.6</v>
      </c>
      <c r="K30">
        <v>8.6</v>
      </c>
      <c r="L30">
        <v>10.4</v>
      </c>
      <c r="M30">
        <v>9.1999999999999993</v>
      </c>
      <c r="N30">
        <v>8</v>
      </c>
      <c r="P30" s="2" t="s">
        <v>867</v>
      </c>
      <c r="Q30">
        <v>1013</v>
      </c>
      <c r="R30">
        <v>1353</v>
      </c>
    </row>
    <row r="31" spans="1:18" x14ac:dyDescent="0.3">
      <c r="A31" s="10" t="s">
        <v>920</v>
      </c>
      <c r="B31" s="10">
        <v>267</v>
      </c>
      <c r="C31" s="10">
        <v>876</v>
      </c>
      <c r="D31" s="24">
        <v>77.541666666666671</v>
      </c>
      <c r="E31" s="25">
        <f t="shared" si="0"/>
        <v>609</v>
      </c>
      <c r="G31" s="2" t="s">
        <v>867</v>
      </c>
      <c r="H31">
        <v>6.6</v>
      </c>
      <c r="I31">
        <v>9</v>
      </c>
      <c r="J31">
        <v>9.1999999999999993</v>
      </c>
      <c r="K31">
        <v>8</v>
      </c>
      <c r="L31">
        <v>10.199999999999999</v>
      </c>
      <c r="M31">
        <v>6.4</v>
      </c>
      <c r="N31">
        <v>10.6</v>
      </c>
      <c r="P31" s="2" t="s">
        <v>868</v>
      </c>
      <c r="Q31">
        <v>1027</v>
      </c>
      <c r="R31">
        <v>1358</v>
      </c>
    </row>
    <row r="32" spans="1:18" x14ac:dyDescent="0.3">
      <c r="A32" s="10" t="s">
        <v>919</v>
      </c>
      <c r="B32" s="10">
        <v>413</v>
      </c>
      <c r="C32" s="10">
        <v>1332</v>
      </c>
      <c r="D32" s="24">
        <v>75.083333333333329</v>
      </c>
      <c r="E32" s="25">
        <f t="shared" si="0"/>
        <v>919</v>
      </c>
      <c r="G32" s="2" t="s">
        <v>868</v>
      </c>
      <c r="H32">
        <v>6.2</v>
      </c>
      <c r="I32">
        <v>7</v>
      </c>
      <c r="J32">
        <v>6.4</v>
      </c>
      <c r="K32">
        <v>7</v>
      </c>
      <c r="L32">
        <v>11.2</v>
      </c>
      <c r="M32">
        <v>11</v>
      </c>
      <c r="N32">
        <v>10.8</v>
      </c>
      <c r="P32" s="2" t="s">
        <v>869</v>
      </c>
      <c r="Q32">
        <v>1073</v>
      </c>
      <c r="R32">
        <v>1412</v>
      </c>
    </row>
    <row r="33" spans="1:18" x14ac:dyDescent="0.3">
      <c r="A33" s="10" t="s">
        <v>918</v>
      </c>
      <c r="B33" s="10">
        <v>280</v>
      </c>
      <c r="C33" s="10">
        <v>959</v>
      </c>
      <c r="D33" s="24">
        <v>79.166666666666671</v>
      </c>
      <c r="E33" s="25">
        <f t="shared" si="0"/>
        <v>679</v>
      </c>
      <c r="G33" s="2" t="s">
        <v>869</v>
      </c>
      <c r="H33">
        <v>6</v>
      </c>
      <c r="I33">
        <v>6.6</v>
      </c>
      <c r="J33">
        <v>8</v>
      </c>
      <c r="K33">
        <v>8.4</v>
      </c>
      <c r="L33">
        <v>15.4</v>
      </c>
      <c r="M33">
        <v>9.6</v>
      </c>
      <c r="N33">
        <v>9.6</v>
      </c>
      <c r="P33" s="2" t="s">
        <v>870</v>
      </c>
      <c r="Q33">
        <v>1244</v>
      </c>
      <c r="R33">
        <v>1614</v>
      </c>
    </row>
    <row r="34" spans="1:18" x14ac:dyDescent="0.3">
      <c r="A34" s="10" t="s">
        <v>917</v>
      </c>
      <c r="B34" s="10">
        <v>235</v>
      </c>
      <c r="C34" s="10">
        <v>839</v>
      </c>
      <c r="D34" s="24">
        <v>77.875</v>
      </c>
      <c r="E34" s="25">
        <f t="shared" si="0"/>
        <v>604</v>
      </c>
      <c r="G34" s="2" t="s">
        <v>870</v>
      </c>
      <c r="H34">
        <v>10</v>
      </c>
      <c r="I34">
        <v>8.6</v>
      </c>
      <c r="J34">
        <v>9.1999999999999993</v>
      </c>
      <c r="K34">
        <v>14.2</v>
      </c>
      <c r="L34">
        <v>13.4</v>
      </c>
      <c r="M34">
        <v>12.2</v>
      </c>
      <c r="N34">
        <v>16.2</v>
      </c>
      <c r="P34" s="2" t="s">
        <v>871</v>
      </c>
      <c r="Q34">
        <v>1871</v>
      </c>
      <c r="R34">
        <v>2312</v>
      </c>
    </row>
    <row r="35" spans="1:18" x14ac:dyDescent="0.3">
      <c r="A35" s="10" t="s">
        <v>916</v>
      </c>
      <c r="B35" s="10">
        <v>202</v>
      </c>
      <c r="C35" s="10">
        <v>656</v>
      </c>
      <c r="D35" s="24">
        <v>82.625</v>
      </c>
      <c r="E35" s="25">
        <f t="shared" si="0"/>
        <v>454</v>
      </c>
      <c r="G35" s="2" t="s">
        <v>871</v>
      </c>
      <c r="H35">
        <v>17</v>
      </c>
      <c r="I35">
        <v>19.2</v>
      </c>
      <c r="J35">
        <v>18.600000000000001</v>
      </c>
      <c r="K35">
        <v>20.8</v>
      </c>
      <c r="L35">
        <v>23.4</v>
      </c>
      <c r="M35">
        <v>12.8</v>
      </c>
      <c r="N35">
        <v>20</v>
      </c>
      <c r="P35" s="2" t="s">
        <v>872</v>
      </c>
      <c r="Q35">
        <v>2300</v>
      </c>
      <c r="R35">
        <v>3228</v>
      </c>
    </row>
    <row r="36" spans="1:18" x14ac:dyDescent="0.3">
      <c r="A36" s="10" t="s">
        <v>915</v>
      </c>
      <c r="B36" s="10">
        <v>161</v>
      </c>
      <c r="C36" s="10">
        <v>547</v>
      </c>
      <c r="D36" s="24">
        <v>88.666666666666671</v>
      </c>
      <c r="E36" s="25">
        <f t="shared" si="0"/>
        <v>386</v>
      </c>
      <c r="G36" s="2" t="s">
        <v>872</v>
      </c>
      <c r="H36">
        <v>29.8</v>
      </c>
      <c r="I36">
        <v>29.2</v>
      </c>
      <c r="J36">
        <v>29</v>
      </c>
      <c r="K36">
        <v>33</v>
      </c>
      <c r="L36">
        <v>31.6</v>
      </c>
      <c r="M36">
        <v>14.2</v>
      </c>
      <c r="N36">
        <v>19.399999999999999</v>
      </c>
      <c r="P36" s="2" t="s">
        <v>873</v>
      </c>
      <c r="Q36">
        <v>2418</v>
      </c>
      <c r="R36">
        <v>3205</v>
      </c>
    </row>
    <row r="37" spans="1:18" x14ac:dyDescent="0.3">
      <c r="A37" s="10" t="s">
        <v>914</v>
      </c>
      <c r="B37" s="10">
        <v>242</v>
      </c>
      <c r="C37" s="10">
        <v>854</v>
      </c>
      <c r="D37" s="24">
        <v>84.208333333333329</v>
      </c>
      <c r="E37" s="25">
        <f t="shared" si="0"/>
        <v>612</v>
      </c>
      <c r="G37" s="2" t="s">
        <v>873</v>
      </c>
      <c r="H37">
        <v>24.4</v>
      </c>
      <c r="I37">
        <v>32</v>
      </c>
      <c r="J37">
        <v>32</v>
      </c>
      <c r="K37">
        <v>33.4</v>
      </c>
      <c r="L37">
        <v>28</v>
      </c>
      <c r="M37">
        <v>22.2</v>
      </c>
      <c r="N37">
        <v>21.2</v>
      </c>
      <c r="P37" s="2" t="s">
        <v>874</v>
      </c>
      <c r="Q37">
        <v>2154</v>
      </c>
      <c r="R37">
        <v>2610</v>
      </c>
    </row>
    <row r="38" spans="1:18" x14ac:dyDescent="0.3">
      <c r="A38" s="10" t="s">
        <v>913</v>
      </c>
      <c r="B38" s="10">
        <v>287</v>
      </c>
      <c r="C38" s="10">
        <v>1047</v>
      </c>
      <c r="D38" s="24">
        <v>76.375</v>
      </c>
      <c r="E38" s="25">
        <f t="shared" si="0"/>
        <v>760</v>
      </c>
      <c r="G38" s="2" t="s">
        <v>874</v>
      </c>
      <c r="H38">
        <v>15.6</v>
      </c>
      <c r="I38">
        <v>23.4</v>
      </c>
      <c r="J38">
        <v>22</v>
      </c>
      <c r="K38">
        <v>29</v>
      </c>
      <c r="L38">
        <v>33.6</v>
      </c>
      <c r="M38">
        <v>27.2</v>
      </c>
      <c r="N38">
        <v>14.8</v>
      </c>
      <c r="P38" s="2" t="s">
        <v>875</v>
      </c>
      <c r="Q38">
        <v>1918</v>
      </c>
      <c r="R38">
        <v>2239</v>
      </c>
    </row>
    <row r="39" spans="1:18" x14ac:dyDescent="0.3">
      <c r="A39" s="10" t="s">
        <v>912</v>
      </c>
      <c r="B39" s="10">
        <v>307</v>
      </c>
      <c r="C39" s="10">
        <v>1034</v>
      </c>
      <c r="D39" s="24">
        <v>70.875</v>
      </c>
      <c r="E39" s="25">
        <f t="shared" si="0"/>
        <v>727</v>
      </c>
      <c r="G39" s="2" t="s">
        <v>875</v>
      </c>
      <c r="H39">
        <v>15.4</v>
      </c>
      <c r="I39">
        <v>26.8</v>
      </c>
      <c r="J39">
        <v>22.4</v>
      </c>
      <c r="K39">
        <v>31</v>
      </c>
      <c r="L39">
        <v>28.2</v>
      </c>
      <c r="M39">
        <v>22.6</v>
      </c>
      <c r="N39">
        <v>17</v>
      </c>
      <c r="P39" s="2" t="s">
        <v>876</v>
      </c>
      <c r="Q39">
        <v>1899</v>
      </c>
      <c r="R39">
        <v>2181</v>
      </c>
    </row>
    <row r="40" spans="1:18" x14ac:dyDescent="0.3">
      <c r="A40" s="10" t="s">
        <v>911</v>
      </c>
      <c r="B40" s="10">
        <v>321</v>
      </c>
      <c r="C40" s="10">
        <v>1127</v>
      </c>
      <c r="D40" s="24">
        <v>79.434782608695656</v>
      </c>
      <c r="E40" s="25">
        <f t="shared" si="0"/>
        <v>806</v>
      </c>
      <c r="G40" s="2" t="s">
        <v>876</v>
      </c>
      <c r="H40">
        <v>13.2</v>
      </c>
      <c r="I40">
        <v>23.2</v>
      </c>
      <c r="J40">
        <v>26.2</v>
      </c>
      <c r="K40">
        <v>28.4</v>
      </c>
      <c r="L40">
        <v>24.8</v>
      </c>
      <c r="M40">
        <v>21.2</v>
      </c>
      <c r="N40">
        <v>17</v>
      </c>
      <c r="P40" s="2" t="s">
        <v>877</v>
      </c>
      <c r="Q40">
        <v>1841</v>
      </c>
      <c r="R40">
        <v>2125</v>
      </c>
    </row>
    <row r="41" spans="1:18" x14ac:dyDescent="0.3">
      <c r="A41" s="10" t="s">
        <v>910</v>
      </c>
      <c r="B41" s="10">
        <v>447</v>
      </c>
      <c r="C41" s="10">
        <v>1350</v>
      </c>
      <c r="D41" s="24">
        <v>71.291666666666671</v>
      </c>
      <c r="E41" s="25">
        <f t="shared" si="0"/>
        <v>903</v>
      </c>
      <c r="G41" s="2" t="s">
        <v>877</v>
      </c>
      <c r="H41">
        <v>10.6</v>
      </c>
      <c r="I41">
        <v>22.8</v>
      </c>
      <c r="J41">
        <v>30.6</v>
      </c>
      <c r="K41">
        <v>30.6</v>
      </c>
      <c r="L41">
        <v>28.8</v>
      </c>
      <c r="M41">
        <v>24.2</v>
      </c>
      <c r="N41">
        <v>12.8</v>
      </c>
    </row>
    <row r="42" spans="1:18" x14ac:dyDescent="0.3">
      <c r="A42" s="10" t="s">
        <v>909</v>
      </c>
      <c r="B42" s="10">
        <v>512</v>
      </c>
      <c r="C42" s="10">
        <v>1709</v>
      </c>
      <c r="D42" s="24">
        <v>65.25</v>
      </c>
      <c r="E42" s="25">
        <f t="shared" si="0"/>
        <v>1197</v>
      </c>
    </row>
    <row r="43" spans="1:18" ht="43.2" x14ac:dyDescent="0.3">
      <c r="A43" s="10" t="s">
        <v>908</v>
      </c>
      <c r="B43" s="10">
        <v>442</v>
      </c>
      <c r="C43" s="10">
        <v>1395</v>
      </c>
      <c r="D43" s="24">
        <v>75.583333333333329</v>
      </c>
      <c r="E43" s="25">
        <f t="shared" si="0"/>
        <v>953</v>
      </c>
      <c r="H43" s="28" t="s">
        <v>0</v>
      </c>
      <c r="I43" s="29" t="s">
        <v>943</v>
      </c>
      <c r="J43" s="29" t="s">
        <v>936</v>
      </c>
    </row>
    <row r="44" spans="1:18" x14ac:dyDescent="0.3">
      <c r="A44" s="10" t="s">
        <v>907</v>
      </c>
      <c r="B44" s="10">
        <v>377</v>
      </c>
      <c r="C44" s="10">
        <v>1258</v>
      </c>
      <c r="D44" s="24">
        <v>65.25</v>
      </c>
      <c r="E44" s="25">
        <f t="shared" si="0"/>
        <v>881</v>
      </c>
      <c r="H44" s="10" t="s">
        <v>934</v>
      </c>
      <c r="I44" s="10">
        <v>231</v>
      </c>
      <c r="J44" s="10">
        <v>832</v>
      </c>
    </row>
    <row r="45" spans="1:18" x14ac:dyDescent="0.3">
      <c r="A45" s="10" t="s">
        <v>906</v>
      </c>
      <c r="B45" s="10">
        <v>266</v>
      </c>
      <c r="C45" s="10">
        <v>926</v>
      </c>
      <c r="D45" s="24">
        <v>62.291666666666664</v>
      </c>
      <c r="E45" s="25">
        <f t="shared" si="0"/>
        <v>660</v>
      </c>
      <c r="H45" s="10" t="s">
        <v>933</v>
      </c>
      <c r="I45" s="10">
        <v>259</v>
      </c>
      <c r="J45" s="10">
        <v>954</v>
      </c>
    </row>
    <row r="46" spans="1:18" x14ac:dyDescent="0.3">
      <c r="A46" s="10" t="s">
        <v>905</v>
      </c>
      <c r="B46" s="10">
        <v>353</v>
      </c>
      <c r="C46" s="10">
        <v>1256</v>
      </c>
      <c r="D46" s="24">
        <v>68.458333333333329</v>
      </c>
      <c r="E46" s="25">
        <f t="shared" si="0"/>
        <v>903</v>
      </c>
      <c r="H46" s="10" t="s">
        <v>932</v>
      </c>
      <c r="I46" s="10">
        <v>327</v>
      </c>
      <c r="J46" s="10">
        <v>1063</v>
      </c>
    </row>
    <row r="47" spans="1:18" x14ac:dyDescent="0.3">
      <c r="A47" s="10" t="s">
        <v>904</v>
      </c>
      <c r="B47" s="10">
        <v>398</v>
      </c>
      <c r="C47" s="10">
        <v>1474</v>
      </c>
      <c r="D47" s="24">
        <v>66.333333333333329</v>
      </c>
      <c r="E47" s="25">
        <f t="shared" si="0"/>
        <v>1076</v>
      </c>
      <c r="H47" s="10" t="s">
        <v>931</v>
      </c>
      <c r="I47" s="10">
        <v>345</v>
      </c>
      <c r="J47" s="10">
        <v>1300</v>
      </c>
    </row>
    <row r="48" spans="1:18" x14ac:dyDescent="0.3">
      <c r="A48" s="10" t="s">
        <v>903</v>
      </c>
      <c r="B48" s="10">
        <v>514</v>
      </c>
      <c r="C48" s="10">
        <v>1847</v>
      </c>
      <c r="D48" s="24">
        <v>60.791666666666664</v>
      </c>
      <c r="E48" s="25">
        <f t="shared" si="0"/>
        <v>1333</v>
      </c>
      <c r="H48" s="10" t="s">
        <v>930</v>
      </c>
      <c r="I48" s="10">
        <v>375</v>
      </c>
      <c r="J48" s="10">
        <v>1200</v>
      </c>
    </row>
    <row r="49" spans="1:23" x14ac:dyDescent="0.3">
      <c r="A49" s="10" t="s">
        <v>902</v>
      </c>
      <c r="B49" s="10">
        <v>545</v>
      </c>
      <c r="C49" s="10">
        <v>2731</v>
      </c>
      <c r="D49" s="24">
        <v>55.291666666666664</v>
      </c>
      <c r="E49" s="25">
        <f t="shared" si="0"/>
        <v>2186</v>
      </c>
      <c r="H49" s="10" t="s">
        <v>929</v>
      </c>
      <c r="I49" s="10">
        <v>289</v>
      </c>
      <c r="J49" s="10">
        <v>924</v>
      </c>
    </row>
    <row r="50" spans="1:23" x14ac:dyDescent="0.3">
      <c r="A50" s="10" t="s">
        <v>901</v>
      </c>
      <c r="B50" s="10">
        <v>562</v>
      </c>
      <c r="C50" s="10">
        <v>2125</v>
      </c>
      <c r="D50" s="24">
        <v>63.25</v>
      </c>
      <c r="E50" s="25">
        <f t="shared" si="0"/>
        <v>1563</v>
      </c>
      <c r="H50" s="10" t="s">
        <v>928</v>
      </c>
      <c r="I50" s="10">
        <v>245</v>
      </c>
      <c r="J50" s="10">
        <v>760</v>
      </c>
    </row>
    <row r="51" spans="1:23" x14ac:dyDescent="0.3">
      <c r="A51" s="10" t="s">
        <v>900</v>
      </c>
      <c r="B51" s="10">
        <v>420</v>
      </c>
      <c r="C51" s="10">
        <v>1338</v>
      </c>
      <c r="D51" s="24">
        <v>78.083333333333329</v>
      </c>
      <c r="E51" s="25">
        <f t="shared" si="0"/>
        <v>918</v>
      </c>
      <c r="H51" s="10" t="s">
        <v>927</v>
      </c>
      <c r="I51" s="10">
        <v>222</v>
      </c>
      <c r="J51" s="10">
        <v>775</v>
      </c>
    </row>
    <row r="52" spans="1:23" x14ac:dyDescent="0.3">
      <c r="H52" s="10" t="s">
        <v>926</v>
      </c>
      <c r="I52" s="10">
        <v>224</v>
      </c>
      <c r="J52" s="10">
        <v>727</v>
      </c>
    </row>
    <row r="53" spans="1:23" x14ac:dyDescent="0.3">
      <c r="H53" s="10" t="s">
        <v>925</v>
      </c>
      <c r="I53" s="10">
        <v>329</v>
      </c>
      <c r="J53" s="10">
        <v>1111</v>
      </c>
    </row>
    <row r="54" spans="1:23" x14ac:dyDescent="0.3">
      <c r="H54" s="10" t="s">
        <v>924</v>
      </c>
      <c r="I54" s="10">
        <v>340</v>
      </c>
      <c r="J54" s="10">
        <v>1136</v>
      </c>
    </row>
    <row r="55" spans="1:23" ht="15.6" x14ac:dyDescent="0.3">
      <c r="A55" s="72">
        <v>1</v>
      </c>
      <c r="B55" s="54" t="s">
        <v>988</v>
      </c>
      <c r="H55" s="10" t="s">
        <v>923</v>
      </c>
      <c r="I55" s="10">
        <v>370</v>
      </c>
      <c r="J55" s="10">
        <v>1239</v>
      </c>
    </row>
    <row r="56" spans="1:23" ht="15.6" x14ac:dyDescent="0.3">
      <c r="A56" s="72">
        <v>2</v>
      </c>
      <c r="B56" s="54" t="s">
        <v>989</v>
      </c>
      <c r="H56" s="10" t="s">
        <v>922</v>
      </c>
      <c r="I56" s="10">
        <v>313</v>
      </c>
      <c r="J56" s="10">
        <v>903</v>
      </c>
    </row>
    <row r="57" spans="1:23" ht="15.6" x14ac:dyDescent="0.3">
      <c r="A57" s="72">
        <v>3</v>
      </c>
      <c r="B57" s="54" t="s">
        <v>990</v>
      </c>
      <c r="H57" s="10" t="s">
        <v>921</v>
      </c>
      <c r="I57" s="10">
        <v>318</v>
      </c>
      <c r="J57" s="10">
        <v>905</v>
      </c>
    </row>
    <row r="58" spans="1:23" ht="15.6" x14ac:dyDescent="0.3">
      <c r="A58" s="72">
        <v>4</v>
      </c>
      <c r="B58" s="54" t="s">
        <v>991</v>
      </c>
      <c r="H58" s="10" t="s">
        <v>920</v>
      </c>
      <c r="I58" s="10">
        <v>267</v>
      </c>
      <c r="J58" s="10">
        <v>876</v>
      </c>
    </row>
    <row r="59" spans="1:23" ht="15.6" x14ac:dyDescent="0.3">
      <c r="A59" s="72">
        <v>5</v>
      </c>
      <c r="B59" s="54" t="s">
        <v>992</v>
      </c>
      <c r="H59" s="10" t="s">
        <v>919</v>
      </c>
      <c r="I59" s="10">
        <v>413</v>
      </c>
      <c r="J59" s="10">
        <v>1332</v>
      </c>
    </row>
    <row r="60" spans="1:23" ht="15.6" x14ac:dyDescent="0.3">
      <c r="A60" s="72">
        <v>6</v>
      </c>
      <c r="B60" s="54" t="s">
        <v>993</v>
      </c>
      <c r="H60" s="10" t="s">
        <v>918</v>
      </c>
      <c r="I60" s="10">
        <v>280</v>
      </c>
      <c r="J60" s="10">
        <v>959</v>
      </c>
    </row>
    <row r="61" spans="1:23" x14ac:dyDescent="0.3">
      <c r="H61" s="10" t="s">
        <v>917</v>
      </c>
      <c r="I61" s="10">
        <v>235</v>
      </c>
      <c r="J61" s="10">
        <v>839</v>
      </c>
    </row>
    <row r="62" spans="1:23" ht="15.6" customHeight="1" x14ac:dyDescent="0.3">
      <c r="H62" s="10" t="s">
        <v>916</v>
      </c>
      <c r="I62" s="10">
        <v>202</v>
      </c>
      <c r="J62" s="10">
        <v>656</v>
      </c>
      <c r="O62" s="53"/>
      <c r="P62" s="53"/>
      <c r="Q62" s="53"/>
      <c r="R62" s="53"/>
      <c r="S62" s="53"/>
      <c r="T62" s="53"/>
      <c r="U62" s="53"/>
      <c r="V62" s="53"/>
      <c r="W62" s="53"/>
    </row>
    <row r="63" spans="1:23" ht="15.6" customHeight="1" x14ac:dyDescent="0.3">
      <c r="A63" s="1" t="s">
        <v>853</v>
      </c>
      <c r="B63" t="s">
        <v>894</v>
      </c>
      <c r="C63" t="s">
        <v>938</v>
      </c>
      <c r="H63" s="10" t="s">
        <v>915</v>
      </c>
      <c r="I63" s="10">
        <v>161</v>
      </c>
      <c r="J63" s="10">
        <v>547</v>
      </c>
      <c r="N63" s="22"/>
      <c r="O63" s="22"/>
      <c r="P63" s="22"/>
      <c r="Q63" s="53"/>
      <c r="R63" s="53"/>
      <c r="S63" s="53"/>
      <c r="T63" s="53"/>
      <c r="U63" s="53"/>
      <c r="V63" s="53"/>
      <c r="W63" s="53"/>
    </row>
    <row r="64" spans="1:23" ht="15.6" customHeight="1" x14ac:dyDescent="0.3">
      <c r="A64" s="2" t="s">
        <v>854</v>
      </c>
      <c r="B64" s="21">
        <v>19.685714285714287</v>
      </c>
      <c r="C64" s="21">
        <v>54.057142857142857</v>
      </c>
      <c r="H64" s="10" t="s">
        <v>914</v>
      </c>
      <c r="I64" s="10">
        <v>242</v>
      </c>
      <c r="J64" s="10">
        <v>854</v>
      </c>
      <c r="N64" s="2"/>
      <c r="O64" s="21"/>
      <c r="P64" s="21"/>
      <c r="Q64" s="53"/>
      <c r="R64" s="53"/>
      <c r="S64" s="53"/>
      <c r="T64" s="53"/>
      <c r="U64" s="53"/>
      <c r="V64" s="53"/>
      <c r="W64" s="53"/>
    </row>
    <row r="65" spans="1:23" ht="15.6" customHeight="1" x14ac:dyDescent="0.3">
      <c r="A65" s="2" t="s">
        <v>855</v>
      </c>
      <c r="B65" s="21">
        <v>12.885714285714286</v>
      </c>
      <c r="C65" s="21">
        <v>37.771428571428572</v>
      </c>
      <c r="H65" s="10" t="s">
        <v>913</v>
      </c>
      <c r="I65" s="10">
        <v>287</v>
      </c>
      <c r="J65" s="10">
        <v>1047</v>
      </c>
      <c r="N65" s="2"/>
      <c r="O65" s="21"/>
      <c r="P65" s="21"/>
      <c r="Q65" s="53"/>
      <c r="R65" s="53"/>
      <c r="S65" s="53"/>
      <c r="T65" s="53"/>
      <c r="U65" s="53"/>
      <c r="V65" s="53"/>
      <c r="W65" s="53"/>
    </row>
    <row r="66" spans="1:23" ht="15.6" customHeight="1" x14ac:dyDescent="0.3">
      <c r="A66" s="2" t="s">
        <v>856</v>
      </c>
      <c r="B66" s="21">
        <v>9.257142857142858</v>
      </c>
      <c r="C66" s="21">
        <v>30.342857142857142</v>
      </c>
      <c r="H66" s="10" t="s">
        <v>912</v>
      </c>
      <c r="I66" s="10">
        <v>307</v>
      </c>
      <c r="J66" s="10">
        <v>1034</v>
      </c>
      <c r="N66" s="2"/>
      <c r="O66" s="21"/>
      <c r="P66" s="21"/>
      <c r="Q66" s="44"/>
      <c r="R66" s="44"/>
      <c r="S66" s="44"/>
      <c r="T66" s="44"/>
      <c r="U66" s="44"/>
      <c r="V66" s="44"/>
      <c r="W66" s="44"/>
    </row>
    <row r="67" spans="1:23" ht="15.6" customHeight="1" x14ac:dyDescent="0.3">
      <c r="A67" s="2" t="s">
        <v>857</v>
      </c>
      <c r="B67" s="21">
        <v>8.0285714285714285</v>
      </c>
      <c r="C67" s="21">
        <v>30.62857142857143</v>
      </c>
      <c r="H67" s="10" t="s">
        <v>911</v>
      </c>
      <c r="I67" s="10">
        <v>321</v>
      </c>
      <c r="J67" s="10">
        <v>1127</v>
      </c>
      <c r="N67" s="2"/>
      <c r="O67" s="21"/>
      <c r="P67" s="21"/>
      <c r="Q67" s="44"/>
      <c r="R67" s="44"/>
      <c r="S67" s="44"/>
      <c r="T67" s="44"/>
      <c r="U67" s="44"/>
      <c r="V67" s="44"/>
      <c r="W67" s="44"/>
    </row>
    <row r="68" spans="1:23" x14ac:dyDescent="0.3">
      <c r="A68" s="2" t="s">
        <v>858</v>
      </c>
      <c r="B68" s="21">
        <v>6.2857142857142856</v>
      </c>
      <c r="C68" s="21">
        <v>25.828571428571429</v>
      </c>
      <c r="H68" s="10" t="s">
        <v>910</v>
      </c>
      <c r="I68" s="10">
        <v>447</v>
      </c>
      <c r="J68" s="10">
        <v>1350</v>
      </c>
      <c r="N68" s="2"/>
      <c r="O68" s="21"/>
      <c r="P68" s="21"/>
      <c r="Q68" s="45"/>
      <c r="R68" s="45"/>
    </row>
    <row r="69" spans="1:23" x14ac:dyDescent="0.3">
      <c r="A69" s="2" t="s">
        <v>859</v>
      </c>
      <c r="B69" s="21">
        <v>2.9705882352941178</v>
      </c>
      <c r="C69" s="21">
        <v>11.588235294117647</v>
      </c>
      <c r="H69" s="10" t="s">
        <v>909</v>
      </c>
      <c r="I69" s="10">
        <v>512</v>
      </c>
      <c r="J69" s="10">
        <v>1709</v>
      </c>
      <c r="N69" s="2"/>
      <c r="O69" s="21"/>
      <c r="P69" s="21"/>
      <c r="Q69" s="46"/>
      <c r="R69" s="46"/>
    </row>
    <row r="70" spans="1:23" x14ac:dyDescent="0.3">
      <c r="A70" s="2" t="s">
        <v>860</v>
      </c>
      <c r="B70" s="21">
        <v>1.8857142857142857</v>
      </c>
      <c r="C70" s="21">
        <v>10.171428571428571</v>
      </c>
      <c r="H70" s="10" t="s">
        <v>908</v>
      </c>
      <c r="I70" s="10">
        <v>442</v>
      </c>
      <c r="J70" s="10">
        <v>1395</v>
      </c>
      <c r="N70" s="2"/>
      <c r="O70" s="21"/>
      <c r="P70" s="21"/>
      <c r="Q70" s="49"/>
      <c r="R70" s="49"/>
    </row>
    <row r="71" spans="1:23" x14ac:dyDescent="0.3">
      <c r="A71" s="2" t="s">
        <v>861</v>
      </c>
      <c r="B71" s="21">
        <v>6.8</v>
      </c>
      <c r="C71" s="21">
        <v>28.257142857142856</v>
      </c>
      <c r="H71" s="10" t="s">
        <v>907</v>
      </c>
      <c r="I71" s="10">
        <v>377</v>
      </c>
      <c r="J71" s="10">
        <v>1258</v>
      </c>
      <c r="N71" s="47"/>
      <c r="O71" s="48"/>
      <c r="P71" s="46"/>
      <c r="Q71" s="46"/>
      <c r="R71" s="46"/>
    </row>
    <row r="72" spans="1:23" x14ac:dyDescent="0.3">
      <c r="A72" s="2" t="s">
        <v>862</v>
      </c>
      <c r="B72" s="21">
        <v>14.685714285714285</v>
      </c>
      <c r="C72" s="21">
        <v>57.4</v>
      </c>
      <c r="H72" s="10" t="s">
        <v>906</v>
      </c>
      <c r="I72" s="10">
        <v>266</v>
      </c>
      <c r="J72" s="10">
        <v>926</v>
      </c>
      <c r="N72" s="50"/>
      <c r="O72" s="51"/>
      <c r="P72" s="49"/>
      <c r="Q72" s="49"/>
      <c r="R72" s="49"/>
    </row>
    <row r="73" spans="1:23" x14ac:dyDescent="0.3">
      <c r="A73" s="2" t="s">
        <v>863</v>
      </c>
      <c r="B73" s="21">
        <v>20.171428571428571</v>
      </c>
      <c r="C73" s="21">
        <v>71.51428571428572</v>
      </c>
      <c r="H73" s="10" t="s">
        <v>905</v>
      </c>
      <c r="I73" s="10">
        <v>353</v>
      </c>
      <c r="J73" s="10">
        <v>1256</v>
      </c>
      <c r="N73" s="47"/>
      <c r="O73" s="48"/>
      <c r="P73" s="46"/>
      <c r="Q73" s="46"/>
      <c r="R73" s="46"/>
    </row>
    <row r="74" spans="1:23" x14ac:dyDescent="0.3">
      <c r="A74" s="2" t="s">
        <v>864</v>
      </c>
      <c r="B74" s="21">
        <v>12.571428571428571</v>
      </c>
      <c r="C74" s="21">
        <v>49.371428571428574</v>
      </c>
      <c r="H74" s="10" t="s">
        <v>904</v>
      </c>
      <c r="I74" s="10">
        <v>398</v>
      </c>
      <c r="J74" s="10">
        <v>1474</v>
      </c>
      <c r="N74" s="50"/>
      <c r="O74" s="51"/>
      <c r="P74" s="49"/>
      <c r="Q74" s="49"/>
      <c r="R74" s="49"/>
    </row>
    <row r="75" spans="1:23" x14ac:dyDescent="0.3">
      <c r="A75" s="2" t="s">
        <v>865</v>
      </c>
      <c r="B75" s="21">
        <v>8.6</v>
      </c>
      <c r="C75" s="21">
        <v>37.342857142857142</v>
      </c>
      <c r="H75" s="10" t="s">
        <v>903</v>
      </c>
      <c r="I75" s="10">
        <v>514</v>
      </c>
      <c r="J75" s="10">
        <v>1847</v>
      </c>
      <c r="N75" s="47"/>
      <c r="O75" s="48"/>
      <c r="P75" s="46"/>
      <c r="Q75" s="46"/>
      <c r="R75" s="46"/>
    </row>
    <row r="76" spans="1:23" x14ac:dyDescent="0.3">
      <c r="A76" s="2" t="s">
        <v>866</v>
      </c>
      <c r="B76" s="21">
        <v>8.5428571428571427</v>
      </c>
      <c r="C76" s="21">
        <v>38.114285714285714</v>
      </c>
      <c r="H76" s="10" t="s">
        <v>902</v>
      </c>
      <c r="I76" s="10">
        <v>545</v>
      </c>
      <c r="J76" s="10">
        <v>2731</v>
      </c>
      <c r="N76" s="50"/>
      <c r="O76" s="51"/>
      <c r="P76" s="49"/>
      <c r="Q76" s="49"/>
      <c r="R76" s="49"/>
    </row>
    <row r="77" spans="1:23" x14ac:dyDescent="0.3">
      <c r="A77" s="2" t="s">
        <v>867</v>
      </c>
      <c r="B77" s="21">
        <v>8.5714285714285712</v>
      </c>
      <c r="C77" s="21">
        <v>38.657142857142858</v>
      </c>
      <c r="H77" s="10" t="s">
        <v>901</v>
      </c>
      <c r="I77" s="10">
        <v>562</v>
      </c>
      <c r="J77" s="10">
        <v>2125</v>
      </c>
      <c r="N77" s="47"/>
      <c r="O77" s="48"/>
      <c r="P77" s="46"/>
      <c r="Q77" s="46"/>
      <c r="R77" s="46"/>
    </row>
    <row r="78" spans="1:23" x14ac:dyDescent="0.3">
      <c r="A78" s="2" t="s">
        <v>868</v>
      </c>
      <c r="B78" s="21">
        <v>8.5142857142857142</v>
      </c>
      <c r="C78" s="21">
        <v>38.799999999999997</v>
      </c>
      <c r="H78" s="10" t="s">
        <v>900</v>
      </c>
      <c r="I78" s="10">
        <v>420</v>
      </c>
      <c r="J78" s="10">
        <v>1338</v>
      </c>
      <c r="N78" s="50"/>
      <c r="O78" s="51"/>
      <c r="P78" s="49"/>
      <c r="Q78" s="49"/>
      <c r="R78" s="49"/>
    </row>
    <row r="79" spans="1:23" x14ac:dyDescent="0.3">
      <c r="A79" s="2" t="s">
        <v>869</v>
      </c>
      <c r="B79" s="21">
        <v>9.0857142857142854</v>
      </c>
      <c r="C79" s="21">
        <v>40.342857142857142</v>
      </c>
      <c r="N79" s="47"/>
      <c r="O79" s="48"/>
      <c r="P79" s="46"/>
      <c r="Q79" s="46"/>
      <c r="R79" s="46"/>
    </row>
    <row r="80" spans="1:23" x14ac:dyDescent="0.3">
      <c r="A80" s="2" t="s">
        <v>870</v>
      </c>
      <c r="B80" s="21">
        <v>11.971428571428572</v>
      </c>
      <c r="C80" s="21">
        <v>46.114285714285714</v>
      </c>
      <c r="E80" s="132"/>
      <c r="F80" s="133"/>
      <c r="G80" s="133"/>
      <c r="H80" s="133"/>
      <c r="I80" s="133"/>
      <c r="J80" s="133"/>
      <c r="K80" s="133"/>
      <c r="L80" s="133"/>
      <c r="N80" s="1" t="s">
        <v>853</v>
      </c>
      <c r="O80" t="s">
        <v>1013</v>
      </c>
      <c r="P80" t="s">
        <v>957</v>
      </c>
      <c r="Q80" s="7" t="s">
        <v>1007</v>
      </c>
      <c r="R80" s="7" t="s">
        <v>1009</v>
      </c>
      <c r="T80" t="s">
        <v>1011</v>
      </c>
      <c r="U80" t="s">
        <v>1012</v>
      </c>
    </row>
    <row r="81" spans="1:21" x14ac:dyDescent="0.3">
      <c r="A81" s="2" t="s">
        <v>871</v>
      </c>
      <c r="B81" s="21">
        <v>18.828571428571429</v>
      </c>
      <c r="C81" s="21">
        <v>66.057142857142864</v>
      </c>
      <c r="E81" s="66"/>
      <c r="F81" s="66"/>
      <c r="G81" s="66"/>
      <c r="H81" s="66"/>
      <c r="I81" s="66"/>
      <c r="J81" s="66"/>
      <c r="K81" s="66"/>
      <c r="L81" s="66"/>
      <c r="N81" s="2" t="s">
        <v>854</v>
      </c>
      <c r="O81" s="21">
        <v>54.057142857142857</v>
      </c>
      <c r="P81" s="21">
        <v>19.685714285714287</v>
      </c>
      <c r="Q81" s="21">
        <f>($O81-$P81)</f>
        <v>34.371428571428567</v>
      </c>
      <c r="R81" s="52">
        <f t="shared" ref="R81:R104" si="1">Q81/O81</f>
        <v>0.63583509513742065</v>
      </c>
      <c r="T81" s="21" t="e">
        <f t="shared" ref="T81:T104" si="2">$Q81/$O$74</f>
        <v>#DIV/0!</v>
      </c>
      <c r="U81" t="e">
        <f>T81*O75</f>
        <v>#DIV/0!</v>
      </c>
    </row>
    <row r="82" spans="1:21" x14ac:dyDescent="0.3">
      <c r="A82" s="2" t="s">
        <v>872</v>
      </c>
      <c r="B82" s="21">
        <v>26.6</v>
      </c>
      <c r="C82" s="21">
        <v>92.228571428571428</v>
      </c>
      <c r="E82" s="68"/>
      <c r="F82" s="68"/>
      <c r="G82" s="68"/>
      <c r="H82" s="68"/>
      <c r="I82" s="68"/>
      <c r="J82" s="68"/>
      <c r="K82" s="68"/>
      <c r="L82" s="68"/>
      <c r="N82" s="2" t="s">
        <v>855</v>
      </c>
      <c r="O82" s="21">
        <v>37.771428571428572</v>
      </c>
      <c r="P82" s="21">
        <v>12.885714285714286</v>
      </c>
      <c r="Q82" s="21">
        <f t="shared" ref="Q82:Q104" si="3">($O82-$P82)</f>
        <v>24.885714285714286</v>
      </c>
      <c r="R82" s="52">
        <f t="shared" si="1"/>
        <v>0.65885022692889561</v>
      </c>
      <c r="T82" s="21" t="e">
        <f t="shared" si="2"/>
        <v>#DIV/0!</v>
      </c>
    </row>
    <row r="83" spans="1:21" x14ac:dyDescent="0.3">
      <c r="A83" s="2" t="s">
        <v>873</v>
      </c>
      <c r="B83" s="21">
        <v>27.6</v>
      </c>
      <c r="C83" s="21">
        <v>91.571428571428569</v>
      </c>
      <c r="E83" s="68"/>
      <c r="F83" s="68"/>
      <c r="G83" s="68"/>
      <c r="H83" s="68"/>
      <c r="I83" s="68"/>
      <c r="J83" s="68"/>
      <c r="K83" s="68"/>
      <c r="L83" s="68"/>
      <c r="N83" s="2" t="s">
        <v>856</v>
      </c>
      <c r="O83" s="21">
        <v>30.342857142857142</v>
      </c>
      <c r="P83" s="21">
        <v>9.257142857142858</v>
      </c>
      <c r="Q83" s="21">
        <f t="shared" si="3"/>
        <v>21.085714285714282</v>
      </c>
      <c r="R83" s="52">
        <f t="shared" si="1"/>
        <v>0.69491525423728806</v>
      </c>
      <c r="T83" s="21" t="e">
        <f t="shared" si="2"/>
        <v>#DIV/0!</v>
      </c>
    </row>
    <row r="84" spans="1:21" x14ac:dyDescent="0.3">
      <c r="A84" s="2" t="s">
        <v>874</v>
      </c>
      <c r="B84" s="21">
        <v>23.657142857142858</v>
      </c>
      <c r="C84" s="21">
        <v>74.571428571428569</v>
      </c>
      <c r="E84" s="68"/>
      <c r="F84" s="68"/>
      <c r="G84" s="68"/>
      <c r="H84" s="68"/>
      <c r="I84" s="68"/>
      <c r="J84" s="68"/>
      <c r="K84" s="68"/>
      <c r="L84" s="68"/>
      <c r="N84" s="2" t="s">
        <v>857</v>
      </c>
      <c r="O84" s="21">
        <v>30.62857142857143</v>
      </c>
      <c r="P84" s="21">
        <v>8.0285714285714285</v>
      </c>
      <c r="Q84" s="21">
        <f t="shared" si="3"/>
        <v>22.6</v>
      </c>
      <c r="R84" s="52">
        <f t="shared" si="1"/>
        <v>0.73787313432835822</v>
      </c>
      <c r="T84" s="21" t="e">
        <f t="shared" si="2"/>
        <v>#DIV/0!</v>
      </c>
    </row>
    <row r="85" spans="1:21" x14ac:dyDescent="0.3">
      <c r="A85" s="2" t="s">
        <v>875</v>
      </c>
      <c r="B85" s="21">
        <v>23.342857142857142</v>
      </c>
      <c r="C85" s="21">
        <v>63.971428571428568</v>
      </c>
      <c r="E85" s="69"/>
      <c r="F85" s="69"/>
      <c r="G85" s="69"/>
      <c r="H85" s="69"/>
      <c r="I85" s="69"/>
      <c r="J85" s="69"/>
      <c r="K85" s="69"/>
      <c r="L85" s="69"/>
      <c r="N85" s="2" t="s">
        <v>858</v>
      </c>
      <c r="O85" s="21">
        <v>25.828571428571429</v>
      </c>
      <c r="P85" s="21">
        <v>6.2857142857142856</v>
      </c>
      <c r="Q85" s="21">
        <f t="shared" si="3"/>
        <v>19.542857142857144</v>
      </c>
      <c r="R85" s="52">
        <f t="shared" si="1"/>
        <v>0.75663716814159299</v>
      </c>
      <c r="T85" s="21" t="e">
        <f t="shared" si="2"/>
        <v>#DIV/0!</v>
      </c>
    </row>
    <row r="86" spans="1:21" x14ac:dyDescent="0.3">
      <c r="A86" s="2" t="s">
        <v>876</v>
      </c>
      <c r="B86" s="21">
        <v>22</v>
      </c>
      <c r="C86" s="21">
        <v>62.314285714285717</v>
      </c>
      <c r="E86" s="69"/>
      <c r="F86" s="69"/>
      <c r="G86" s="69"/>
      <c r="H86" s="69"/>
      <c r="I86" s="69"/>
      <c r="J86" s="69"/>
      <c r="K86" s="69"/>
      <c r="L86" s="69"/>
      <c r="N86" s="2" t="s">
        <v>859</v>
      </c>
      <c r="O86" s="21">
        <v>11.588235294117647</v>
      </c>
      <c r="P86" s="21">
        <v>2.9705882352941178</v>
      </c>
      <c r="Q86" s="21">
        <f t="shared" si="3"/>
        <v>8.617647058823529</v>
      </c>
      <c r="R86" s="52">
        <f t="shared" si="1"/>
        <v>0.74365482233502533</v>
      </c>
      <c r="T86" s="21" t="e">
        <f t="shared" si="2"/>
        <v>#DIV/0!</v>
      </c>
    </row>
    <row r="87" spans="1:21" x14ac:dyDescent="0.3">
      <c r="A87" s="2" t="s">
        <v>877</v>
      </c>
      <c r="B87" s="21">
        <v>22.914285714285715</v>
      </c>
      <c r="C87" s="21">
        <v>60.714285714285715</v>
      </c>
      <c r="E87" s="68"/>
      <c r="F87" s="68"/>
      <c r="G87" s="68"/>
      <c r="H87" s="68"/>
      <c r="I87" s="68"/>
      <c r="J87" s="68"/>
      <c r="K87" s="68"/>
      <c r="L87" s="68"/>
      <c r="N87" s="2" t="s">
        <v>860</v>
      </c>
      <c r="O87" s="21">
        <v>10.171428571428571</v>
      </c>
      <c r="P87" s="21">
        <v>1.8857142857142857</v>
      </c>
      <c r="Q87" s="21">
        <f t="shared" si="3"/>
        <v>8.2857142857142847</v>
      </c>
      <c r="R87" s="52">
        <f t="shared" si="1"/>
        <v>0.8146067415730337</v>
      </c>
      <c r="T87" s="21" t="e">
        <f t="shared" si="2"/>
        <v>#DIV/0!</v>
      </c>
    </row>
    <row r="88" spans="1:21" x14ac:dyDescent="0.3">
      <c r="A88" s="2" t="s">
        <v>878</v>
      </c>
      <c r="B88" s="21">
        <v>13.990464839094159</v>
      </c>
      <c r="C88" s="21">
        <v>48.282479141835516</v>
      </c>
      <c r="E88" s="69"/>
      <c r="F88" s="69"/>
      <c r="G88" s="69"/>
      <c r="H88" s="69"/>
      <c r="I88" s="69"/>
      <c r="J88" s="69"/>
      <c r="K88" s="69"/>
      <c r="L88" s="69"/>
      <c r="N88" s="2" t="s">
        <v>861</v>
      </c>
      <c r="O88" s="21">
        <v>28.257142857142856</v>
      </c>
      <c r="P88" s="21">
        <v>6.8</v>
      </c>
      <c r="Q88" s="21">
        <f t="shared" si="3"/>
        <v>21.457142857142856</v>
      </c>
      <c r="R88" s="52">
        <f t="shared" si="1"/>
        <v>0.75935288169868553</v>
      </c>
      <c r="T88" s="21" t="e">
        <f t="shared" si="2"/>
        <v>#DIV/0!</v>
      </c>
    </row>
    <row r="89" spans="1:21" x14ac:dyDescent="0.3">
      <c r="E89" s="69"/>
      <c r="F89" s="69"/>
      <c r="G89" s="69"/>
      <c r="H89" s="69"/>
      <c r="I89" s="69"/>
      <c r="J89" s="69"/>
      <c r="K89" s="69"/>
      <c r="L89" s="69"/>
      <c r="N89" s="2" t="s">
        <v>862</v>
      </c>
      <c r="O89" s="21">
        <v>57.4</v>
      </c>
      <c r="P89" s="21">
        <v>14.685714285714285</v>
      </c>
      <c r="Q89" s="21">
        <f t="shared" si="3"/>
        <v>42.714285714285715</v>
      </c>
      <c r="R89" s="52">
        <f t="shared" si="1"/>
        <v>0.74415131906421106</v>
      </c>
      <c r="T89" s="21" t="e">
        <f t="shared" si="2"/>
        <v>#DIV/0!</v>
      </c>
    </row>
    <row r="90" spans="1:21" x14ac:dyDescent="0.3">
      <c r="E90" s="69"/>
      <c r="F90" s="69"/>
      <c r="G90" s="69"/>
      <c r="H90" s="69"/>
      <c r="I90" s="69"/>
      <c r="J90" s="69"/>
      <c r="K90" s="69"/>
      <c r="L90" s="69"/>
      <c r="N90" s="2" t="s">
        <v>863</v>
      </c>
      <c r="O90" s="21">
        <v>71.51428571428572</v>
      </c>
      <c r="P90" s="21">
        <v>20.171428571428571</v>
      </c>
      <c r="Q90" s="21">
        <f t="shared" si="3"/>
        <v>51.342857142857149</v>
      </c>
      <c r="R90" s="52">
        <f t="shared" si="1"/>
        <v>0.7179384738314023</v>
      </c>
      <c r="T90" s="21" t="e">
        <f t="shared" si="2"/>
        <v>#DIV/0!</v>
      </c>
    </row>
    <row r="91" spans="1:21" x14ac:dyDescent="0.3">
      <c r="A91" s="1" t="s">
        <v>853</v>
      </c>
      <c r="B91" t="s">
        <v>897</v>
      </c>
      <c r="E91" s="69"/>
      <c r="F91" s="69"/>
      <c r="G91" s="69"/>
      <c r="H91" s="69"/>
      <c r="I91" s="69"/>
      <c r="J91" s="69"/>
      <c r="K91" s="69"/>
      <c r="L91" s="69"/>
      <c r="N91" s="2" t="s">
        <v>864</v>
      </c>
      <c r="O91" s="21">
        <v>49.371428571428574</v>
      </c>
      <c r="P91" s="21">
        <v>12.571428571428571</v>
      </c>
      <c r="Q91" s="21">
        <f t="shared" si="3"/>
        <v>36.800000000000004</v>
      </c>
      <c r="R91" s="52">
        <f t="shared" si="1"/>
        <v>0.74537037037037046</v>
      </c>
      <c r="T91" s="21" t="e">
        <f t="shared" si="2"/>
        <v>#DIV/0!</v>
      </c>
    </row>
    <row r="92" spans="1:21" x14ac:dyDescent="0.3">
      <c r="A92" s="2" t="s">
        <v>854</v>
      </c>
      <c r="B92" s="21">
        <v>84.942857142857136</v>
      </c>
      <c r="E92" s="68"/>
      <c r="F92" s="68"/>
      <c r="G92" s="68"/>
      <c r="H92" s="68"/>
      <c r="I92" s="68"/>
      <c r="J92" s="68"/>
      <c r="K92" s="68"/>
      <c r="L92" s="68"/>
      <c r="N92" s="2" t="s">
        <v>865</v>
      </c>
      <c r="O92" s="21">
        <v>37.342857142857142</v>
      </c>
      <c r="P92" s="21">
        <v>8.6</v>
      </c>
      <c r="Q92" s="21">
        <f t="shared" si="3"/>
        <v>28.74285714285714</v>
      </c>
      <c r="R92" s="52">
        <f t="shared" si="1"/>
        <v>0.76970160673297627</v>
      </c>
      <c r="T92" s="21" t="e">
        <f t="shared" si="2"/>
        <v>#DIV/0!</v>
      </c>
    </row>
    <row r="93" spans="1:21" x14ac:dyDescent="0.3">
      <c r="A93" s="2" t="s">
        <v>855</v>
      </c>
      <c r="B93" s="21">
        <v>80.400000000000006</v>
      </c>
      <c r="E93" s="68"/>
      <c r="F93" s="68"/>
      <c r="G93" s="68"/>
      <c r="H93" s="68"/>
      <c r="I93" s="68"/>
      <c r="J93" s="68"/>
      <c r="K93" s="68"/>
      <c r="L93" s="68"/>
      <c r="N93" s="2" t="s">
        <v>866</v>
      </c>
      <c r="O93" s="21">
        <v>38.114285714285714</v>
      </c>
      <c r="P93" s="21">
        <v>8.5428571428571427</v>
      </c>
      <c r="Q93" s="21">
        <f t="shared" si="3"/>
        <v>29.571428571428569</v>
      </c>
      <c r="R93" s="52">
        <f t="shared" si="1"/>
        <v>0.77586206896551724</v>
      </c>
      <c r="T93" s="21" t="e">
        <f t="shared" si="2"/>
        <v>#DIV/0!</v>
      </c>
    </row>
    <row r="94" spans="1:21" x14ac:dyDescent="0.3">
      <c r="A94" s="2" t="s">
        <v>856</v>
      </c>
      <c r="B94" s="21">
        <v>76.171428571428578</v>
      </c>
      <c r="E94" s="68"/>
      <c r="F94" s="68"/>
      <c r="G94" s="68"/>
      <c r="H94" s="68"/>
      <c r="I94" s="68"/>
      <c r="J94" s="68"/>
      <c r="K94" s="68"/>
      <c r="L94" s="68"/>
      <c r="N94" s="2" t="s">
        <v>867</v>
      </c>
      <c r="O94" s="21">
        <v>38.657142857142858</v>
      </c>
      <c r="P94" s="21">
        <v>8.5714285714285712</v>
      </c>
      <c r="Q94" s="21">
        <f t="shared" si="3"/>
        <v>30.085714285714289</v>
      </c>
      <c r="R94" s="52">
        <f t="shared" si="1"/>
        <v>0.7782705099778271</v>
      </c>
      <c r="T94" s="21" t="e">
        <f t="shared" si="2"/>
        <v>#DIV/0!</v>
      </c>
    </row>
    <row r="95" spans="1:21" x14ac:dyDescent="0.3">
      <c r="A95" s="2" t="s">
        <v>857</v>
      </c>
      <c r="B95" s="21">
        <v>63.628571428571426</v>
      </c>
      <c r="E95" s="68"/>
      <c r="F95" s="68"/>
      <c r="G95" s="68"/>
      <c r="H95" s="68"/>
      <c r="I95" s="68"/>
      <c r="J95" s="68"/>
      <c r="K95" s="68"/>
      <c r="L95" s="68"/>
      <c r="N95" s="2" t="s">
        <v>868</v>
      </c>
      <c r="O95" s="21">
        <v>38.799999999999997</v>
      </c>
      <c r="P95" s="21">
        <v>8.5142857142857142</v>
      </c>
      <c r="Q95" s="21">
        <f t="shared" si="3"/>
        <v>30.285714285714285</v>
      </c>
      <c r="R95" s="52">
        <f t="shared" si="1"/>
        <v>0.78055964653902798</v>
      </c>
      <c r="T95" s="21" t="e">
        <f t="shared" si="2"/>
        <v>#DIV/0!</v>
      </c>
    </row>
    <row r="96" spans="1:21" x14ac:dyDescent="0.3">
      <c r="A96" s="2" t="s">
        <v>858</v>
      </c>
      <c r="B96" s="21">
        <v>53.428571428571431</v>
      </c>
      <c r="E96" s="68"/>
      <c r="F96" s="68"/>
      <c r="G96" s="68"/>
      <c r="H96" s="68"/>
      <c r="I96" s="68"/>
      <c r="J96" s="68"/>
      <c r="K96" s="68"/>
      <c r="L96" s="68"/>
      <c r="N96" s="2" t="s">
        <v>869</v>
      </c>
      <c r="O96" s="21">
        <v>40.342857142857142</v>
      </c>
      <c r="P96" s="21">
        <v>9.0857142857142854</v>
      </c>
      <c r="Q96" s="21">
        <f t="shared" si="3"/>
        <v>31.257142857142856</v>
      </c>
      <c r="R96" s="52">
        <f t="shared" si="1"/>
        <v>0.77478753541076484</v>
      </c>
      <c r="T96" s="21" t="e">
        <f t="shared" si="2"/>
        <v>#DIV/0!</v>
      </c>
    </row>
    <row r="97" spans="1:20" x14ac:dyDescent="0.3">
      <c r="A97" s="2" t="s">
        <v>859</v>
      </c>
      <c r="B97" s="21">
        <v>66.32352941176471</v>
      </c>
      <c r="E97" s="68"/>
      <c r="F97" s="68"/>
      <c r="G97" s="68"/>
      <c r="H97" s="68"/>
      <c r="I97" s="68"/>
      <c r="J97" s="68"/>
      <c r="K97" s="68"/>
      <c r="L97" s="68"/>
      <c r="N97" s="2" t="s">
        <v>870</v>
      </c>
      <c r="O97" s="21">
        <v>46.114285714285714</v>
      </c>
      <c r="P97" s="21">
        <v>11.971428571428572</v>
      </c>
      <c r="Q97" s="21">
        <f t="shared" si="3"/>
        <v>34.142857142857139</v>
      </c>
      <c r="R97" s="52">
        <f t="shared" si="1"/>
        <v>0.7403965303593556</v>
      </c>
      <c r="T97" s="21" t="e">
        <f t="shared" si="2"/>
        <v>#DIV/0!</v>
      </c>
    </row>
    <row r="98" spans="1:20" x14ac:dyDescent="0.3">
      <c r="A98" s="2" t="s">
        <v>860</v>
      </c>
      <c r="B98" s="21">
        <v>58.914285714285711</v>
      </c>
      <c r="E98" s="68"/>
      <c r="F98" s="68"/>
      <c r="G98" s="68"/>
      <c r="H98" s="68"/>
      <c r="I98" s="68"/>
      <c r="J98" s="68"/>
      <c r="K98" s="68"/>
      <c r="L98" s="68"/>
      <c r="N98" s="2" t="s">
        <v>871</v>
      </c>
      <c r="O98" s="21">
        <v>66.057142857142864</v>
      </c>
      <c r="P98" s="21">
        <v>18.828571428571429</v>
      </c>
      <c r="Q98" s="21">
        <f t="shared" si="3"/>
        <v>47.228571428571435</v>
      </c>
      <c r="R98" s="52">
        <f t="shared" si="1"/>
        <v>0.71496539792387548</v>
      </c>
      <c r="T98" s="21" t="e">
        <f t="shared" si="2"/>
        <v>#DIV/0!</v>
      </c>
    </row>
    <row r="99" spans="1:20" x14ac:dyDescent="0.3">
      <c r="A99" s="2" t="s">
        <v>861</v>
      </c>
      <c r="B99" s="21">
        <v>58</v>
      </c>
      <c r="E99" s="68"/>
      <c r="F99" s="68"/>
      <c r="G99" s="68"/>
      <c r="H99" s="68"/>
      <c r="I99" s="68"/>
      <c r="J99" s="68"/>
      <c r="K99" s="68"/>
      <c r="L99" s="68"/>
      <c r="N99" s="2" t="s">
        <v>872</v>
      </c>
      <c r="O99" s="21">
        <v>92.228571428571428</v>
      </c>
      <c r="P99" s="21">
        <v>26.6</v>
      </c>
      <c r="Q99" s="21">
        <f t="shared" si="3"/>
        <v>65.628571428571433</v>
      </c>
      <c r="R99" s="52">
        <f t="shared" si="1"/>
        <v>0.71158612143742261</v>
      </c>
      <c r="T99" s="21" t="e">
        <f t="shared" si="2"/>
        <v>#DIV/0!</v>
      </c>
    </row>
    <row r="100" spans="1:20" x14ac:dyDescent="0.3">
      <c r="A100" s="2" t="s">
        <v>862</v>
      </c>
      <c r="B100" s="21">
        <v>59.885714285714286</v>
      </c>
      <c r="E100" s="68"/>
      <c r="F100" s="68"/>
      <c r="G100" s="68"/>
      <c r="H100" s="68"/>
      <c r="I100" s="68"/>
      <c r="J100" s="68"/>
      <c r="K100" s="68"/>
      <c r="L100" s="68"/>
      <c r="N100" s="2" t="s">
        <v>873</v>
      </c>
      <c r="O100" s="21">
        <v>91.571428571428569</v>
      </c>
      <c r="P100" s="21">
        <v>27.6</v>
      </c>
      <c r="Q100" s="21">
        <f t="shared" si="3"/>
        <v>63.971428571428568</v>
      </c>
      <c r="R100" s="52">
        <f t="shared" si="1"/>
        <v>0.69859594383775347</v>
      </c>
      <c r="T100" s="21" t="e">
        <f t="shared" si="2"/>
        <v>#DIV/0!</v>
      </c>
    </row>
    <row r="101" spans="1:20" x14ac:dyDescent="0.3">
      <c r="A101" s="2" t="s">
        <v>863</v>
      </c>
      <c r="B101" s="21">
        <v>64.971428571428575</v>
      </c>
      <c r="E101" s="68"/>
      <c r="F101" s="68"/>
      <c r="G101" s="68"/>
      <c r="H101" s="68"/>
      <c r="I101" s="68"/>
      <c r="J101" s="68"/>
      <c r="K101" s="68"/>
      <c r="L101" s="68"/>
      <c r="N101" s="2" t="s">
        <v>874</v>
      </c>
      <c r="O101" s="21">
        <v>74.571428571428569</v>
      </c>
      <c r="P101" s="21">
        <v>23.657142857142858</v>
      </c>
      <c r="Q101" s="21">
        <f t="shared" si="3"/>
        <v>50.914285714285711</v>
      </c>
      <c r="R101" s="52">
        <f t="shared" si="1"/>
        <v>0.68275862068965509</v>
      </c>
      <c r="T101" s="21" t="e">
        <f t="shared" si="2"/>
        <v>#DIV/0!</v>
      </c>
    </row>
    <row r="102" spans="1:20" x14ac:dyDescent="0.3">
      <c r="A102" s="2" t="s">
        <v>864</v>
      </c>
      <c r="B102" s="21">
        <v>75.257142857142853</v>
      </c>
      <c r="E102" s="68"/>
      <c r="F102" s="68"/>
      <c r="G102" s="68"/>
      <c r="H102" s="68"/>
      <c r="I102" s="68"/>
      <c r="J102" s="68"/>
      <c r="K102" s="68"/>
      <c r="L102" s="68"/>
      <c r="N102" s="2" t="s">
        <v>875</v>
      </c>
      <c r="O102" s="21">
        <v>63.971428571428568</v>
      </c>
      <c r="P102" s="21">
        <v>23.342857142857142</v>
      </c>
      <c r="Q102" s="21">
        <f t="shared" si="3"/>
        <v>40.628571428571426</v>
      </c>
      <c r="R102" s="52">
        <f t="shared" si="1"/>
        <v>0.63510495757034391</v>
      </c>
      <c r="T102" s="21" t="e">
        <f t="shared" si="2"/>
        <v>#DIV/0!</v>
      </c>
    </row>
    <row r="103" spans="1:20" x14ac:dyDescent="0.3">
      <c r="A103" s="2" t="s">
        <v>865</v>
      </c>
      <c r="B103" s="21">
        <v>80.057142857142864</v>
      </c>
      <c r="E103" s="68"/>
      <c r="F103" s="68"/>
      <c r="G103" s="68"/>
      <c r="H103" s="68"/>
      <c r="I103" s="68"/>
      <c r="J103" s="68"/>
      <c r="K103" s="68"/>
      <c r="L103" s="68"/>
      <c r="N103" s="2" t="s">
        <v>876</v>
      </c>
      <c r="O103" s="21">
        <v>62.314285714285717</v>
      </c>
      <c r="P103" s="21">
        <v>22</v>
      </c>
      <c r="Q103" s="21">
        <f t="shared" si="3"/>
        <v>40.314285714285717</v>
      </c>
      <c r="R103" s="52">
        <f t="shared" si="1"/>
        <v>0.64695093993580932</v>
      </c>
      <c r="T103" s="21" t="e">
        <f t="shared" si="2"/>
        <v>#DIV/0!</v>
      </c>
    </row>
    <row r="104" spans="1:20" x14ac:dyDescent="0.3">
      <c r="A104" s="2" t="s">
        <v>866</v>
      </c>
      <c r="B104" s="21">
        <v>80</v>
      </c>
      <c r="E104" s="68"/>
      <c r="F104" s="68"/>
      <c r="G104" s="68"/>
      <c r="H104" s="68"/>
      <c r="I104" s="68"/>
      <c r="J104" s="68"/>
      <c r="K104" s="68"/>
      <c r="L104" s="68"/>
      <c r="N104" s="2" t="s">
        <v>877</v>
      </c>
      <c r="O104" s="21">
        <v>60.714285714285715</v>
      </c>
      <c r="P104" s="21">
        <v>22.914285714285715</v>
      </c>
      <c r="Q104" s="21">
        <f t="shared" si="3"/>
        <v>37.799999999999997</v>
      </c>
      <c r="R104" s="52">
        <f t="shared" si="1"/>
        <v>0.62258823529411755</v>
      </c>
      <c r="T104" s="21" t="e">
        <f t="shared" si="2"/>
        <v>#DIV/0!</v>
      </c>
    </row>
    <row r="105" spans="1:20" x14ac:dyDescent="0.3">
      <c r="A105" s="2" t="s">
        <v>867</v>
      </c>
      <c r="B105" s="21">
        <v>78.400000000000006</v>
      </c>
      <c r="E105" s="68"/>
      <c r="F105" s="68"/>
      <c r="G105" s="68"/>
      <c r="H105" s="68"/>
      <c r="I105" s="68"/>
      <c r="J105" s="68"/>
      <c r="K105" s="68"/>
      <c r="L105" s="68"/>
      <c r="N105" s="2" t="s">
        <v>1008</v>
      </c>
      <c r="O105" s="21">
        <f>SUM(O81:O104)</f>
        <v>1157.7310924369747</v>
      </c>
      <c r="P105" s="21">
        <f>SUM(P81:P104)</f>
        <v>335.45630252100835</v>
      </c>
      <c r="Q105" s="21">
        <f>SUM(Q81:Q104)</f>
        <v>822.27478991596615</v>
      </c>
    </row>
    <row r="106" spans="1:20" x14ac:dyDescent="0.3">
      <c r="A106" s="2" t="s">
        <v>868</v>
      </c>
      <c r="B106" s="21">
        <v>79.971428571428575</v>
      </c>
      <c r="E106" s="70"/>
      <c r="F106" s="67"/>
      <c r="G106" s="67"/>
      <c r="H106" s="67"/>
      <c r="I106" s="67"/>
      <c r="J106" s="67"/>
      <c r="K106" s="67"/>
      <c r="L106" s="67"/>
    </row>
    <row r="107" spans="1:20" x14ac:dyDescent="0.3">
      <c r="A107" s="2" t="s">
        <v>869</v>
      </c>
      <c r="B107" s="21">
        <v>80.828571428571422</v>
      </c>
    </row>
    <row r="108" spans="1:20" x14ac:dyDescent="0.3">
      <c r="A108" s="2" t="s">
        <v>870</v>
      </c>
      <c r="B108" s="21">
        <v>81.599999999999994</v>
      </c>
    </row>
    <row r="109" spans="1:20" x14ac:dyDescent="0.3">
      <c r="A109" s="2" t="s">
        <v>871</v>
      </c>
      <c r="B109" s="21">
        <v>84.114285714285714</v>
      </c>
    </row>
    <row r="110" spans="1:20" x14ac:dyDescent="0.3">
      <c r="A110" s="2" t="s">
        <v>872</v>
      </c>
      <c r="B110" s="21">
        <v>77.599999999999994</v>
      </c>
    </row>
    <row r="111" spans="1:20" x14ac:dyDescent="0.3">
      <c r="A111" s="2" t="s">
        <v>873</v>
      </c>
      <c r="B111" s="21">
        <v>80.657142857142858</v>
      </c>
    </row>
    <row r="112" spans="1:20" x14ac:dyDescent="0.3">
      <c r="A112" s="2" t="s">
        <v>874</v>
      </c>
      <c r="B112" s="21">
        <v>86.8</v>
      </c>
    </row>
    <row r="113" spans="1:2" x14ac:dyDescent="0.3">
      <c r="A113" s="2" t="s">
        <v>875</v>
      </c>
      <c r="B113" s="21">
        <v>88.542857142857144</v>
      </c>
    </row>
    <row r="114" spans="1:2" x14ac:dyDescent="0.3">
      <c r="A114" s="2" t="s">
        <v>876</v>
      </c>
      <c r="B114" s="21">
        <v>88.2</v>
      </c>
    </row>
    <row r="115" spans="1:2" x14ac:dyDescent="0.3">
      <c r="A115" s="2" t="s">
        <v>877</v>
      </c>
      <c r="B115" s="21">
        <v>86.914285714285711</v>
      </c>
    </row>
    <row r="116" spans="1:2" x14ac:dyDescent="0.3">
      <c r="A116" s="2" t="s">
        <v>878</v>
      </c>
      <c r="B116" s="21">
        <v>75.661501787842667</v>
      </c>
    </row>
  </sheetData>
  <mergeCells count="5">
    <mergeCell ref="E80:L80"/>
    <mergeCell ref="B4:D4"/>
    <mergeCell ref="A15:B15"/>
    <mergeCell ref="P15:Q15"/>
    <mergeCell ref="P6:U6"/>
  </mergeCells>
  <conditionalFormatting sqref="B5:F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F5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E6:E12">
    <cfRule type="colorScale" priority="23">
      <colorScale>
        <cfvo type="min"/>
        <cfvo type="max"/>
        <color rgb="FFFFEF9C"/>
        <color rgb="FF63BE7B"/>
      </colorScale>
    </cfRule>
  </conditionalFormatting>
  <conditionalFormatting pivot="1" sqref="D6:D12">
    <cfRule type="colorScale" priority="22">
      <colorScale>
        <cfvo type="min"/>
        <cfvo type="max"/>
        <color rgb="FFFFEF9C"/>
        <color rgb="FF63BE7B"/>
      </colorScale>
    </cfRule>
  </conditionalFormatting>
  <conditionalFormatting pivot="1" sqref="C6:C12">
    <cfRule type="colorScale" priority="21">
      <colorScale>
        <cfvo type="min"/>
        <cfvo type="max"/>
        <color rgb="FFFFEF9C"/>
        <color rgb="FF63BE7B"/>
      </colorScale>
    </cfRule>
  </conditionalFormatting>
  <conditionalFormatting sqref="G1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max"/>
        <color rgb="FFFF0000"/>
        <color rgb="FF00B050"/>
      </colorScale>
    </cfRule>
  </conditionalFormatting>
  <conditionalFormatting pivot="1" sqref="H18:N41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max"/>
        <color rgb="FFFF0000"/>
        <color rgb="FF00B050"/>
      </colorScale>
    </cfRule>
  </conditionalFormatting>
  <conditionalFormatting pivot="1" sqref="Q17:R4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63:O6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3:O63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64:O70">
    <cfRule type="colorScale" priority="12">
      <colorScale>
        <cfvo type="min"/>
        <cfvo type="max"/>
        <color rgb="FFFFEF9C"/>
        <color rgb="FF63BE7B"/>
      </colorScale>
    </cfRule>
  </conditionalFormatting>
  <conditionalFormatting sqref="P6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64:P70">
    <cfRule type="colorScale" priority="9">
      <colorScale>
        <cfvo type="min"/>
        <cfvo type="max"/>
        <color rgb="FFFFEF9C"/>
        <color rgb="FF63BE7B"/>
      </colorScale>
    </cfRule>
  </conditionalFormatting>
  <conditionalFormatting sqref="K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6:L12">
    <cfRule type="colorScale" priority="4">
      <colorScale>
        <cfvo type="min"/>
        <cfvo type="max"/>
        <color rgb="FFFFEF9C"/>
        <color rgb="FF63BE7B"/>
      </colorScale>
    </cfRule>
  </conditionalFormatting>
  <conditionalFormatting sqref="M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6:M1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F29E-D92C-47E3-A090-CFE2AF3CBB66}">
  <dimension ref="A1:W36"/>
  <sheetViews>
    <sheetView topLeftCell="G18" workbookViewId="0">
      <selection activeCell="R4" sqref="R4:U12"/>
    </sheetView>
  </sheetViews>
  <sheetFormatPr defaultRowHeight="14.4" x14ac:dyDescent="0.3"/>
  <cols>
    <col min="1" max="1" width="12.77734375" bestFit="1" customWidth="1"/>
    <col min="4" max="4" width="11.21875" customWidth="1"/>
    <col min="6" max="6" width="15.77734375" customWidth="1"/>
    <col min="7" max="7" width="14.33203125" customWidth="1"/>
    <col min="9" max="9" width="14.21875" customWidth="1"/>
    <col min="11" max="11" width="12.5546875" customWidth="1"/>
    <col min="12" max="12" width="16.109375" customWidth="1"/>
    <col min="13" max="13" width="14.109375" customWidth="1"/>
    <col min="14" max="14" width="11.88671875" customWidth="1"/>
    <col min="15" max="15" width="8" customWidth="1"/>
    <col min="16" max="16" width="10" customWidth="1"/>
    <col min="18" max="18" width="12.5546875" bestFit="1" customWidth="1"/>
    <col min="19" max="19" width="19.21875" customWidth="1"/>
    <col min="20" max="20" width="18.44140625" bestFit="1" customWidth="1"/>
    <col min="21" max="21" width="14.44140625" bestFit="1" customWidth="1"/>
    <col min="22" max="22" width="20.109375" bestFit="1" customWidth="1"/>
    <col min="23" max="23" width="12.88671875" bestFit="1" customWidth="1"/>
  </cols>
  <sheetData>
    <row r="1" spans="1:21" ht="33.6" customHeight="1" x14ac:dyDescent="0.3">
      <c r="A1" s="18" t="s">
        <v>0</v>
      </c>
      <c r="B1" s="19" t="s">
        <v>851</v>
      </c>
      <c r="C1" s="19" t="s">
        <v>852</v>
      </c>
      <c r="D1" s="19" t="s">
        <v>879</v>
      </c>
      <c r="E1" s="19" t="s">
        <v>880</v>
      </c>
      <c r="F1" s="19" t="s">
        <v>848</v>
      </c>
      <c r="G1" s="19" t="s">
        <v>849</v>
      </c>
      <c r="H1" s="19" t="s">
        <v>850</v>
      </c>
      <c r="I1" s="19" t="s">
        <v>881</v>
      </c>
      <c r="J1" s="19" t="s">
        <v>882</v>
      </c>
      <c r="K1" s="19" t="s">
        <v>883</v>
      </c>
      <c r="L1" s="19" t="s">
        <v>4</v>
      </c>
      <c r="M1" s="19" t="s">
        <v>5</v>
      </c>
      <c r="N1" s="19" t="s">
        <v>6</v>
      </c>
      <c r="O1" s="19" t="s">
        <v>884</v>
      </c>
      <c r="P1" s="20" t="s">
        <v>885</v>
      </c>
    </row>
    <row r="2" spans="1:21" x14ac:dyDescent="0.3">
      <c r="A2" s="4" t="s">
        <v>22</v>
      </c>
      <c r="B2" s="5" t="s">
        <v>863</v>
      </c>
      <c r="C2" s="5">
        <v>7</v>
      </c>
      <c r="D2" s="5" t="s">
        <v>900</v>
      </c>
      <c r="E2" s="5" t="s">
        <v>893</v>
      </c>
      <c r="F2" s="5">
        <v>7</v>
      </c>
      <c r="G2" s="5">
        <v>5</v>
      </c>
      <c r="H2" s="5">
        <v>42</v>
      </c>
      <c r="I2" s="5">
        <v>22</v>
      </c>
      <c r="J2" s="5">
        <v>7</v>
      </c>
      <c r="K2" s="5">
        <v>1</v>
      </c>
      <c r="L2" s="5">
        <v>6</v>
      </c>
      <c r="M2" s="5">
        <v>0.3</v>
      </c>
      <c r="N2" s="5">
        <v>0.14000000000000001</v>
      </c>
      <c r="O2" s="5">
        <v>1</v>
      </c>
      <c r="P2" s="16">
        <v>12</v>
      </c>
    </row>
    <row r="3" spans="1:21" x14ac:dyDescent="0.3">
      <c r="A3" s="6" t="s">
        <v>46</v>
      </c>
      <c r="B3" s="3" t="s">
        <v>863</v>
      </c>
      <c r="C3" s="3">
        <v>6</v>
      </c>
      <c r="D3" s="3" t="s">
        <v>901</v>
      </c>
      <c r="E3" s="3" t="s">
        <v>892</v>
      </c>
      <c r="F3" s="3">
        <v>37</v>
      </c>
      <c r="G3" s="3">
        <v>25</v>
      </c>
      <c r="H3" s="3">
        <v>40</v>
      </c>
      <c r="I3" s="3">
        <v>23</v>
      </c>
      <c r="J3" s="3">
        <v>7</v>
      </c>
      <c r="K3" s="3">
        <v>4</v>
      </c>
      <c r="L3" s="3">
        <v>2</v>
      </c>
      <c r="M3" s="3">
        <v>0.3</v>
      </c>
      <c r="N3" s="3">
        <v>1.1399999999999999</v>
      </c>
      <c r="O3" s="3">
        <v>8</v>
      </c>
      <c r="P3" s="17">
        <v>62</v>
      </c>
    </row>
    <row r="4" spans="1:21" x14ac:dyDescent="0.3">
      <c r="A4" s="4" t="s">
        <v>70</v>
      </c>
      <c r="B4" s="5" t="s">
        <v>863</v>
      </c>
      <c r="C4" s="5">
        <v>5</v>
      </c>
      <c r="D4" s="5" t="s">
        <v>902</v>
      </c>
      <c r="E4" s="5" t="s">
        <v>891</v>
      </c>
      <c r="F4" s="5">
        <v>90</v>
      </c>
      <c r="G4" s="5">
        <v>73</v>
      </c>
      <c r="H4" s="5">
        <v>45</v>
      </c>
      <c r="I4" s="5">
        <v>47</v>
      </c>
      <c r="J4" s="5">
        <v>22</v>
      </c>
      <c r="K4" s="5">
        <v>17</v>
      </c>
      <c r="L4" s="5">
        <v>5</v>
      </c>
      <c r="M4" s="5">
        <v>0.5</v>
      </c>
      <c r="N4" s="5">
        <v>1.59</v>
      </c>
      <c r="O4" s="5">
        <v>35</v>
      </c>
      <c r="P4" s="16">
        <v>163</v>
      </c>
      <c r="R4" s="1" t="s">
        <v>852</v>
      </c>
      <c r="S4" t="s">
        <v>896</v>
      </c>
      <c r="T4" t="s">
        <v>935</v>
      </c>
      <c r="U4" t="s">
        <v>936</v>
      </c>
    </row>
    <row r="5" spans="1:21" x14ac:dyDescent="0.3">
      <c r="A5" s="6" t="s">
        <v>94</v>
      </c>
      <c r="B5" s="3" t="s">
        <v>863</v>
      </c>
      <c r="C5" s="3">
        <v>4</v>
      </c>
      <c r="D5" s="3" t="s">
        <v>903</v>
      </c>
      <c r="E5" s="3" t="s">
        <v>890</v>
      </c>
      <c r="F5" s="3">
        <v>43</v>
      </c>
      <c r="G5" s="3">
        <v>57</v>
      </c>
      <c r="H5" s="3">
        <v>57</v>
      </c>
      <c r="I5" s="3">
        <v>54</v>
      </c>
      <c r="J5" s="3">
        <v>25</v>
      </c>
      <c r="K5" s="3">
        <v>18</v>
      </c>
      <c r="L5" s="3">
        <v>7</v>
      </c>
      <c r="M5" s="3">
        <v>0.5</v>
      </c>
      <c r="N5" s="3">
        <v>1.48</v>
      </c>
      <c r="O5" s="3">
        <v>37</v>
      </c>
      <c r="P5" s="17">
        <v>100</v>
      </c>
      <c r="R5" s="2">
        <v>1</v>
      </c>
      <c r="S5">
        <v>252</v>
      </c>
      <c r="T5">
        <v>316</v>
      </c>
      <c r="U5">
        <v>420</v>
      </c>
    </row>
    <row r="6" spans="1:21" x14ac:dyDescent="0.3">
      <c r="A6" s="4" t="s">
        <v>118</v>
      </c>
      <c r="B6" s="5" t="s">
        <v>863</v>
      </c>
      <c r="C6" s="5">
        <v>3</v>
      </c>
      <c r="D6" s="5" t="s">
        <v>904</v>
      </c>
      <c r="E6" s="5" t="s">
        <v>889</v>
      </c>
      <c r="F6" s="5">
        <v>61</v>
      </c>
      <c r="G6" s="5">
        <v>64</v>
      </c>
      <c r="H6" s="5">
        <v>51</v>
      </c>
      <c r="I6" s="5">
        <v>57</v>
      </c>
      <c r="J6" s="5">
        <v>22</v>
      </c>
      <c r="K6" s="5">
        <v>17</v>
      </c>
      <c r="L6" s="5">
        <v>6</v>
      </c>
      <c r="M6" s="5">
        <v>0.4</v>
      </c>
      <c r="N6" s="5">
        <v>1.5</v>
      </c>
      <c r="O6" s="5">
        <v>33</v>
      </c>
      <c r="P6" s="16">
        <v>125</v>
      </c>
      <c r="R6" s="2">
        <v>2</v>
      </c>
      <c r="S6">
        <v>281</v>
      </c>
      <c r="T6">
        <v>346</v>
      </c>
      <c r="U6">
        <v>464</v>
      </c>
    </row>
    <row r="7" spans="1:21" x14ac:dyDescent="0.3">
      <c r="A7" s="6" t="s">
        <v>142</v>
      </c>
      <c r="B7" s="3" t="s">
        <v>863</v>
      </c>
      <c r="C7" s="3">
        <v>2</v>
      </c>
      <c r="D7" s="3" t="s">
        <v>905</v>
      </c>
      <c r="E7" s="3" t="s">
        <v>888</v>
      </c>
      <c r="F7" s="3">
        <v>61</v>
      </c>
      <c r="G7" s="3">
        <v>50</v>
      </c>
      <c r="H7" s="3">
        <v>45</v>
      </c>
      <c r="I7" s="3">
        <v>54</v>
      </c>
      <c r="J7" s="3">
        <v>19</v>
      </c>
      <c r="K7" s="3">
        <v>13</v>
      </c>
      <c r="L7" s="3">
        <v>6</v>
      </c>
      <c r="M7" s="3">
        <v>0.4</v>
      </c>
      <c r="N7" s="3">
        <v>1.37</v>
      </c>
      <c r="O7" s="3">
        <v>26</v>
      </c>
      <c r="P7" s="17">
        <v>111</v>
      </c>
      <c r="R7" s="2">
        <v>3</v>
      </c>
      <c r="S7">
        <v>282</v>
      </c>
      <c r="T7">
        <v>359</v>
      </c>
      <c r="U7">
        <v>444</v>
      </c>
    </row>
    <row r="8" spans="1:21" x14ac:dyDescent="0.3">
      <c r="A8" s="4" t="s">
        <v>166</v>
      </c>
      <c r="B8" s="5" t="s">
        <v>863</v>
      </c>
      <c r="C8" s="5">
        <v>1</v>
      </c>
      <c r="D8" s="5" t="s">
        <v>906</v>
      </c>
      <c r="E8" s="5" t="s">
        <v>887</v>
      </c>
      <c r="F8" s="5">
        <v>41</v>
      </c>
      <c r="G8" s="5">
        <v>45</v>
      </c>
      <c r="H8" s="5">
        <v>52</v>
      </c>
      <c r="I8" s="5">
        <v>56</v>
      </c>
      <c r="J8" s="5">
        <v>19</v>
      </c>
      <c r="K8" s="5">
        <v>13</v>
      </c>
      <c r="L8" s="5">
        <v>6</v>
      </c>
      <c r="M8" s="5">
        <v>0.3</v>
      </c>
      <c r="N8" s="5">
        <v>1.42</v>
      </c>
      <c r="O8" s="5">
        <v>27</v>
      </c>
      <c r="P8" s="16">
        <v>86</v>
      </c>
      <c r="R8" s="2">
        <v>4</v>
      </c>
      <c r="S8">
        <v>271</v>
      </c>
      <c r="T8">
        <v>325</v>
      </c>
      <c r="U8">
        <v>403</v>
      </c>
    </row>
    <row r="9" spans="1:21" x14ac:dyDescent="0.3">
      <c r="A9" s="6" t="s">
        <v>190</v>
      </c>
      <c r="B9" s="3" t="s">
        <v>863</v>
      </c>
      <c r="C9" s="3">
        <v>7</v>
      </c>
      <c r="D9" s="3" t="s">
        <v>907</v>
      </c>
      <c r="E9" s="3" t="s">
        <v>893</v>
      </c>
      <c r="F9" s="3">
        <v>9</v>
      </c>
      <c r="G9" s="3">
        <v>14</v>
      </c>
      <c r="H9" s="3">
        <v>61</v>
      </c>
      <c r="I9" s="3">
        <v>29</v>
      </c>
      <c r="J9" s="3">
        <v>8</v>
      </c>
      <c r="K9" s="3">
        <v>1</v>
      </c>
      <c r="L9" s="3">
        <v>7</v>
      </c>
      <c r="M9" s="3">
        <v>0.3</v>
      </c>
      <c r="N9" s="3">
        <v>0.25</v>
      </c>
      <c r="O9" s="3">
        <v>2</v>
      </c>
      <c r="P9" s="17">
        <v>23</v>
      </c>
      <c r="R9" s="2">
        <v>5</v>
      </c>
      <c r="S9">
        <v>283</v>
      </c>
      <c r="T9">
        <v>305</v>
      </c>
      <c r="U9">
        <v>511</v>
      </c>
    </row>
    <row r="10" spans="1:21" x14ac:dyDescent="0.3">
      <c r="A10" s="4" t="s">
        <v>214</v>
      </c>
      <c r="B10" s="5" t="s">
        <v>863</v>
      </c>
      <c r="C10" s="5">
        <v>6</v>
      </c>
      <c r="D10" s="5" t="s">
        <v>908</v>
      </c>
      <c r="E10" s="5" t="s">
        <v>892</v>
      </c>
      <c r="F10" s="5">
        <v>9</v>
      </c>
      <c r="G10" s="5">
        <v>17</v>
      </c>
      <c r="H10" s="5">
        <v>65</v>
      </c>
      <c r="I10" s="5">
        <v>42</v>
      </c>
      <c r="J10" s="5">
        <v>11</v>
      </c>
      <c r="K10" s="5">
        <v>3</v>
      </c>
      <c r="L10" s="5">
        <v>8</v>
      </c>
      <c r="M10" s="5">
        <v>0.3</v>
      </c>
      <c r="N10" s="5">
        <v>0.64</v>
      </c>
      <c r="O10" s="5">
        <v>7</v>
      </c>
      <c r="P10" s="16">
        <v>26</v>
      </c>
      <c r="R10" s="2">
        <v>6</v>
      </c>
      <c r="S10">
        <v>92</v>
      </c>
      <c r="T10">
        <v>193</v>
      </c>
      <c r="U10">
        <v>161</v>
      </c>
    </row>
    <row r="11" spans="1:21" x14ac:dyDescent="0.3">
      <c r="A11" s="6" t="s">
        <v>238</v>
      </c>
      <c r="B11" s="3" t="s">
        <v>863</v>
      </c>
      <c r="C11" s="3">
        <v>5</v>
      </c>
      <c r="D11" s="3" t="s">
        <v>909</v>
      </c>
      <c r="E11" s="3" t="s">
        <v>891</v>
      </c>
      <c r="F11" s="3">
        <v>62</v>
      </c>
      <c r="G11" s="3">
        <v>73</v>
      </c>
      <c r="H11" s="3">
        <v>54</v>
      </c>
      <c r="I11" s="3">
        <v>59</v>
      </c>
      <c r="J11" s="3">
        <v>22</v>
      </c>
      <c r="K11" s="3">
        <v>17</v>
      </c>
      <c r="L11" s="3">
        <v>5</v>
      </c>
      <c r="M11" s="3">
        <v>0.4</v>
      </c>
      <c r="N11" s="3">
        <v>1.68</v>
      </c>
      <c r="O11" s="3">
        <v>37</v>
      </c>
      <c r="P11" s="17">
        <v>135</v>
      </c>
      <c r="R11" s="2">
        <v>7</v>
      </c>
      <c r="S11">
        <v>68</v>
      </c>
      <c r="T11">
        <v>155</v>
      </c>
      <c r="U11">
        <v>100</v>
      </c>
    </row>
    <row r="12" spans="1:21" x14ac:dyDescent="0.3">
      <c r="A12" s="4" t="s">
        <v>262</v>
      </c>
      <c r="B12" s="5" t="s">
        <v>863</v>
      </c>
      <c r="C12" s="5">
        <v>4</v>
      </c>
      <c r="D12" s="5" t="s">
        <v>910</v>
      </c>
      <c r="E12" s="5" t="s">
        <v>890</v>
      </c>
      <c r="F12" s="5">
        <v>17</v>
      </c>
      <c r="G12" s="5">
        <v>65</v>
      </c>
      <c r="H12" s="5">
        <v>79</v>
      </c>
      <c r="I12" s="5">
        <v>77</v>
      </c>
      <c r="J12" s="5">
        <v>32</v>
      </c>
      <c r="K12" s="5">
        <v>17</v>
      </c>
      <c r="L12" s="5">
        <v>15</v>
      </c>
      <c r="M12" s="5">
        <v>0.4</v>
      </c>
      <c r="N12" s="5">
        <v>1.1299999999999999</v>
      </c>
      <c r="O12" s="5">
        <v>36</v>
      </c>
      <c r="P12" s="16">
        <v>82</v>
      </c>
      <c r="R12" s="2" t="s">
        <v>878</v>
      </c>
      <c r="S12">
        <v>1529</v>
      </c>
      <c r="T12">
        <v>1999</v>
      </c>
      <c r="U12">
        <v>2503</v>
      </c>
    </row>
    <row r="13" spans="1:21" x14ac:dyDescent="0.3">
      <c r="A13" s="6" t="s">
        <v>286</v>
      </c>
      <c r="B13" s="3" t="s">
        <v>863</v>
      </c>
      <c r="C13" s="3">
        <v>3</v>
      </c>
      <c r="D13" s="3" t="s">
        <v>911</v>
      </c>
      <c r="E13" s="3" t="s">
        <v>889</v>
      </c>
      <c r="F13" s="3">
        <v>27</v>
      </c>
      <c r="G13" s="3">
        <v>64</v>
      </c>
      <c r="H13" s="3">
        <v>70</v>
      </c>
      <c r="I13" s="3">
        <v>84</v>
      </c>
      <c r="J13" s="3">
        <v>27</v>
      </c>
      <c r="K13" s="3">
        <v>13</v>
      </c>
      <c r="L13" s="3">
        <v>14</v>
      </c>
      <c r="M13" s="3">
        <v>0.3</v>
      </c>
      <c r="N13" s="3">
        <v>1</v>
      </c>
      <c r="O13" s="3">
        <v>27</v>
      </c>
      <c r="P13" s="17">
        <v>91</v>
      </c>
    </row>
    <row r="14" spans="1:21" x14ac:dyDescent="0.3">
      <c r="A14" s="4" t="s">
        <v>310</v>
      </c>
      <c r="B14" s="5" t="s">
        <v>863</v>
      </c>
      <c r="C14" s="5">
        <v>2</v>
      </c>
      <c r="D14" s="5" t="s">
        <v>912</v>
      </c>
      <c r="E14" s="5" t="s">
        <v>888</v>
      </c>
      <c r="F14" s="5">
        <v>39</v>
      </c>
      <c r="G14" s="5">
        <v>66</v>
      </c>
      <c r="H14" s="5">
        <v>63</v>
      </c>
      <c r="I14" s="5">
        <v>75</v>
      </c>
      <c r="J14" s="5">
        <v>30</v>
      </c>
      <c r="K14" s="5">
        <v>16</v>
      </c>
      <c r="L14" s="5">
        <v>14</v>
      </c>
      <c r="M14" s="5">
        <v>0.4</v>
      </c>
      <c r="N14" s="5">
        <v>0.97</v>
      </c>
      <c r="O14" s="5">
        <v>29</v>
      </c>
      <c r="P14" s="16">
        <v>105</v>
      </c>
    </row>
    <row r="15" spans="1:21" x14ac:dyDescent="0.3">
      <c r="A15" s="6" t="s">
        <v>334</v>
      </c>
      <c r="B15" s="3" t="s">
        <v>863</v>
      </c>
      <c r="C15" s="3">
        <v>1</v>
      </c>
      <c r="D15" s="3" t="s">
        <v>913</v>
      </c>
      <c r="E15" s="3" t="s">
        <v>887</v>
      </c>
      <c r="F15" s="3">
        <v>32</v>
      </c>
      <c r="G15" s="3">
        <v>66</v>
      </c>
      <c r="H15" s="3">
        <v>67</v>
      </c>
      <c r="I15" s="3">
        <v>75</v>
      </c>
      <c r="J15" s="3">
        <v>27</v>
      </c>
      <c r="K15" s="3">
        <v>15</v>
      </c>
      <c r="L15" s="3">
        <v>12</v>
      </c>
      <c r="M15" s="3">
        <v>0.4</v>
      </c>
      <c r="N15" s="3">
        <v>1.07</v>
      </c>
      <c r="O15" s="3">
        <v>29</v>
      </c>
      <c r="P15" s="17">
        <v>98</v>
      </c>
    </row>
    <row r="16" spans="1:21" x14ac:dyDescent="0.3">
      <c r="A16" s="4" t="s">
        <v>358</v>
      </c>
      <c r="B16" s="5" t="s">
        <v>863</v>
      </c>
      <c r="C16" s="5">
        <v>7</v>
      </c>
      <c r="D16" s="5" t="s">
        <v>914</v>
      </c>
      <c r="E16" s="5" t="s">
        <v>893</v>
      </c>
      <c r="F16" s="5">
        <v>3</v>
      </c>
      <c r="G16" s="5">
        <v>15</v>
      </c>
      <c r="H16" s="5">
        <v>83</v>
      </c>
      <c r="I16" s="5">
        <v>39</v>
      </c>
      <c r="J16" s="5">
        <v>14</v>
      </c>
      <c r="K16" s="5">
        <v>0</v>
      </c>
      <c r="L16" s="5">
        <v>14</v>
      </c>
      <c r="M16" s="5">
        <v>0.4</v>
      </c>
      <c r="N16" s="5">
        <v>0</v>
      </c>
      <c r="O16" s="5">
        <v>0</v>
      </c>
      <c r="P16" s="16">
        <v>18</v>
      </c>
    </row>
    <row r="17" spans="1:23" x14ac:dyDescent="0.3">
      <c r="A17" s="6" t="s">
        <v>382</v>
      </c>
      <c r="B17" s="3" t="s">
        <v>863</v>
      </c>
      <c r="C17" s="3">
        <v>6</v>
      </c>
      <c r="D17" s="3" t="s">
        <v>915</v>
      </c>
      <c r="E17" s="3" t="s">
        <v>892</v>
      </c>
      <c r="F17" s="3">
        <v>1</v>
      </c>
      <c r="G17" s="3">
        <v>9</v>
      </c>
      <c r="H17" s="3">
        <v>90</v>
      </c>
      <c r="I17" s="3">
        <v>46</v>
      </c>
      <c r="J17" s="3">
        <v>22</v>
      </c>
      <c r="K17" s="3">
        <v>0</v>
      </c>
      <c r="L17" s="3">
        <v>22</v>
      </c>
      <c r="M17" s="3">
        <v>0.5</v>
      </c>
      <c r="N17" s="3">
        <v>0</v>
      </c>
      <c r="O17" s="3">
        <v>0</v>
      </c>
      <c r="P17" s="17">
        <v>10</v>
      </c>
    </row>
    <row r="18" spans="1:23" x14ac:dyDescent="0.3">
      <c r="A18" s="4" t="s">
        <v>406</v>
      </c>
      <c r="B18" s="5" t="s">
        <v>863</v>
      </c>
      <c r="C18" s="5">
        <v>5</v>
      </c>
      <c r="D18" s="5" t="s">
        <v>916</v>
      </c>
      <c r="E18" s="5" t="s">
        <v>891</v>
      </c>
      <c r="F18" s="5">
        <v>2</v>
      </c>
      <c r="G18" s="5">
        <v>23</v>
      </c>
      <c r="H18" s="5">
        <v>92</v>
      </c>
      <c r="I18" s="5">
        <v>71</v>
      </c>
      <c r="J18" s="5">
        <v>32</v>
      </c>
      <c r="K18" s="5">
        <v>3</v>
      </c>
      <c r="L18" s="5">
        <v>29</v>
      </c>
      <c r="M18" s="5">
        <v>0.5</v>
      </c>
      <c r="N18" s="5">
        <v>0.19</v>
      </c>
      <c r="O18" s="5">
        <v>6</v>
      </c>
      <c r="P18" s="16">
        <v>25</v>
      </c>
    </row>
    <row r="19" spans="1:23" x14ac:dyDescent="0.3">
      <c r="A19" s="6" t="s">
        <v>430</v>
      </c>
      <c r="B19" s="3" t="s">
        <v>863</v>
      </c>
      <c r="C19" s="3">
        <v>4</v>
      </c>
      <c r="D19" s="3" t="s">
        <v>917</v>
      </c>
      <c r="E19" s="3" t="s">
        <v>890</v>
      </c>
      <c r="F19" s="3">
        <v>1</v>
      </c>
      <c r="G19" s="3">
        <v>21</v>
      </c>
      <c r="H19" s="3">
        <v>95</v>
      </c>
      <c r="I19" s="3">
        <v>47</v>
      </c>
      <c r="J19" s="3">
        <v>21</v>
      </c>
      <c r="K19" s="3">
        <v>2</v>
      </c>
      <c r="L19" s="3">
        <v>19</v>
      </c>
      <c r="M19" s="3">
        <v>0.4</v>
      </c>
      <c r="N19" s="3">
        <v>0.28999999999999998</v>
      </c>
      <c r="O19" s="3">
        <v>6</v>
      </c>
      <c r="P19" s="17">
        <v>22</v>
      </c>
    </row>
    <row r="20" spans="1:23" x14ac:dyDescent="0.3">
      <c r="A20" s="4" t="s">
        <v>454</v>
      </c>
      <c r="B20" s="5" t="s">
        <v>863</v>
      </c>
      <c r="C20" s="5">
        <v>3</v>
      </c>
      <c r="D20" s="5" t="s">
        <v>918</v>
      </c>
      <c r="E20" s="5" t="s">
        <v>889</v>
      </c>
      <c r="F20" s="5">
        <v>7</v>
      </c>
      <c r="G20" s="5">
        <v>19</v>
      </c>
      <c r="H20" s="5">
        <v>73</v>
      </c>
      <c r="I20" s="5">
        <v>67</v>
      </c>
      <c r="J20" s="5">
        <v>26</v>
      </c>
      <c r="K20" s="5">
        <v>3</v>
      </c>
      <c r="L20" s="5">
        <v>23</v>
      </c>
      <c r="M20" s="5">
        <v>0.4</v>
      </c>
      <c r="N20" s="5">
        <v>0.31</v>
      </c>
      <c r="O20" s="5">
        <v>8</v>
      </c>
      <c r="P20" s="16">
        <v>26</v>
      </c>
    </row>
    <row r="21" spans="1:23" x14ac:dyDescent="0.3">
      <c r="A21" s="6" t="s">
        <v>478</v>
      </c>
      <c r="B21" s="3" t="s">
        <v>863</v>
      </c>
      <c r="C21" s="3">
        <v>2</v>
      </c>
      <c r="D21" s="3" t="s">
        <v>919</v>
      </c>
      <c r="E21" s="3" t="s">
        <v>888</v>
      </c>
      <c r="F21" s="3">
        <v>33</v>
      </c>
      <c r="G21" s="3">
        <v>64</v>
      </c>
      <c r="H21" s="3">
        <v>66</v>
      </c>
      <c r="I21" s="3">
        <v>82</v>
      </c>
      <c r="J21" s="3">
        <v>35</v>
      </c>
      <c r="K21" s="3">
        <v>20</v>
      </c>
      <c r="L21" s="3">
        <v>15</v>
      </c>
      <c r="M21" s="3">
        <v>0.4</v>
      </c>
      <c r="N21" s="3">
        <v>0.86</v>
      </c>
      <c r="O21" s="3">
        <v>30</v>
      </c>
      <c r="P21" s="17">
        <v>97</v>
      </c>
    </row>
    <row r="22" spans="1:23" x14ac:dyDescent="0.3">
      <c r="A22" s="4" t="s">
        <v>502</v>
      </c>
      <c r="B22" s="5" t="s">
        <v>863</v>
      </c>
      <c r="C22" s="5">
        <v>1</v>
      </c>
      <c r="D22" s="5" t="s">
        <v>920</v>
      </c>
      <c r="E22" s="5" t="s">
        <v>887</v>
      </c>
      <c r="F22" s="5">
        <v>20</v>
      </c>
      <c r="G22" s="5">
        <v>51</v>
      </c>
      <c r="H22" s="5">
        <v>72</v>
      </c>
      <c r="I22" s="5">
        <v>77</v>
      </c>
      <c r="J22" s="5">
        <v>34</v>
      </c>
      <c r="K22" s="5">
        <v>15</v>
      </c>
      <c r="L22" s="5">
        <v>19</v>
      </c>
      <c r="M22" s="5">
        <v>0.4</v>
      </c>
      <c r="N22" s="5">
        <v>0.76</v>
      </c>
      <c r="O22" s="5">
        <v>26</v>
      </c>
      <c r="P22" s="16">
        <v>71</v>
      </c>
    </row>
    <row r="23" spans="1:23" x14ac:dyDescent="0.3">
      <c r="A23" s="6" t="s">
        <v>526</v>
      </c>
      <c r="B23" s="3" t="s">
        <v>863</v>
      </c>
      <c r="C23" s="3">
        <v>7</v>
      </c>
      <c r="D23" s="3" t="s">
        <v>921</v>
      </c>
      <c r="E23" s="3" t="s">
        <v>893</v>
      </c>
      <c r="F23" s="3">
        <v>6</v>
      </c>
      <c r="G23" s="3">
        <v>16</v>
      </c>
      <c r="H23" s="3">
        <v>73</v>
      </c>
      <c r="I23" s="3">
        <v>28</v>
      </c>
      <c r="J23" s="3">
        <v>12</v>
      </c>
      <c r="K23" s="3">
        <v>0</v>
      </c>
      <c r="L23" s="3">
        <v>12</v>
      </c>
      <c r="M23" s="3">
        <v>0.4</v>
      </c>
      <c r="N23" s="3">
        <v>0.17</v>
      </c>
      <c r="O23" s="3">
        <v>2</v>
      </c>
      <c r="P23" s="17">
        <v>22</v>
      </c>
    </row>
    <row r="24" spans="1:23" x14ac:dyDescent="0.3">
      <c r="A24" s="4" t="s">
        <v>550</v>
      </c>
      <c r="B24" s="5" t="s">
        <v>863</v>
      </c>
      <c r="C24" s="5">
        <v>6</v>
      </c>
      <c r="D24" s="5" t="s">
        <v>922</v>
      </c>
      <c r="E24" s="5" t="s">
        <v>892</v>
      </c>
      <c r="F24" s="5">
        <v>6</v>
      </c>
      <c r="G24" s="5">
        <v>23</v>
      </c>
      <c r="H24" s="5">
        <v>79</v>
      </c>
      <c r="I24" s="5">
        <v>45</v>
      </c>
      <c r="J24" s="5">
        <v>17</v>
      </c>
      <c r="K24" s="5">
        <v>2</v>
      </c>
      <c r="L24" s="5">
        <v>15</v>
      </c>
      <c r="M24" s="5">
        <v>0.4</v>
      </c>
      <c r="N24" s="5">
        <v>0.28999999999999998</v>
      </c>
      <c r="O24" s="5">
        <v>5</v>
      </c>
      <c r="P24" s="16">
        <v>29</v>
      </c>
    </row>
    <row r="25" spans="1:23" x14ac:dyDescent="0.3">
      <c r="A25" s="6" t="s">
        <v>574</v>
      </c>
      <c r="B25" s="3" t="s">
        <v>863</v>
      </c>
      <c r="C25" s="3">
        <v>5</v>
      </c>
      <c r="D25" s="3" t="s">
        <v>923</v>
      </c>
      <c r="E25" s="3" t="s">
        <v>891</v>
      </c>
      <c r="F25" s="3">
        <v>49</v>
      </c>
      <c r="G25" s="3">
        <v>66</v>
      </c>
      <c r="H25" s="3">
        <v>57</v>
      </c>
      <c r="I25" s="3">
        <v>70</v>
      </c>
      <c r="J25" s="3">
        <v>26</v>
      </c>
      <c r="K25" s="3">
        <v>16</v>
      </c>
      <c r="L25" s="3">
        <v>10</v>
      </c>
      <c r="M25" s="3">
        <v>0.4</v>
      </c>
      <c r="N25" s="3">
        <v>1.23</v>
      </c>
      <c r="O25" s="3">
        <v>32</v>
      </c>
      <c r="P25" s="17">
        <v>115</v>
      </c>
    </row>
    <row r="26" spans="1:23" x14ac:dyDescent="0.3">
      <c r="A26" s="4" t="s">
        <v>598</v>
      </c>
      <c r="B26" s="5" t="s">
        <v>863</v>
      </c>
      <c r="C26" s="5">
        <v>4</v>
      </c>
      <c r="D26" s="5" t="s">
        <v>924</v>
      </c>
      <c r="E26" s="5" t="s">
        <v>890</v>
      </c>
      <c r="F26" s="5">
        <v>38</v>
      </c>
      <c r="G26" s="5">
        <v>72</v>
      </c>
      <c r="H26" s="5">
        <v>65</v>
      </c>
      <c r="I26" s="5">
        <v>73</v>
      </c>
      <c r="J26" s="5">
        <v>31</v>
      </c>
      <c r="K26" s="5">
        <v>17</v>
      </c>
      <c r="L26" s="5">
        <v>14</v>
      </c>
      <c r="M26" s="5">
        <v>0.4</v>
      </c>
      <c r="N26" s="5">
        <v>1.03</v>
      </c>
      <c r="O26" s="5">
        <v>32</v>
      </c>
      <c r="P26" s="16">
        <v>110</v>
      </c>
    </row>
    <row r="27" spans="1:23" x14ac:dyDescent="0.3">
      <c r="A27" s="6" t="s">
        <v>622</v>
      </c>
      <c r="B27" s="3" t="s">
        <v>863</v>
      </c>
      <c r="C27" s="3">
        <v>3</v>
      </c>
      <c r="D27" s="3" t="s">
        <v>925</v>
      </c>
      <c r="E27" s="3" t="s">
        <v>889</v>
      </c>
      <c r="F27" s="3">
        <v>43</v>
      </c>
      <c r="G27" s="3">
        <v>68</v>
      </c>
      <c r="H27" s="3">
        <v>61</v>
      </c>
      <c r="I27" s="3">
        <v>80</v>
      </c>
      <c r="J27" s="3">
        <v>34</v>
      </c>
      <c r="K27" s="3">
        <v>17</v>
      </c>
      <c r="L27" s="3">
        <v>17</v>
      </c>
      <c r="M27" s="3">
        <v>0.4</v>
      </c>
      <c r="N27" s="3">
        <v>0.88</v>
      </c>
      <c r="O27" s="3">
        <v>30</v>
      </c>
      <c r="P27" s="17">
        <v>111</v>
      </c>
    </row>
    <row r="28" spans="1:23" x14ac:dyDescent="0.3">
      <c r="A28" s="4" t="s">
        <v>646</v>
      </c>
      <c r="B28" s="5" t="s">
        <v>863</v>
      </c>
      <c r="C28" s="5">
        <v>2</v>
      </c>
      <c r="D28" s="5" t="s">
        <v>926</v>
      </c>
      <c r="E28" s="5" t="s">
        <v>888</v>
      </c>
      <c r="F28" s="5">
        <v>9</v>
      </c>
      <c r="G28" s="5">
        <v>49</v>
      </c>
      <c r="H28" s="5">
        <v>84</v>
      </c>
      <c r="I28" s="5">
        <v>76</v>
      </c>
      <c r="J28" s="5">
        <v>31</v>
      </c>
      <c r="K28" s="5">
        <v>11</v>
      </c>
      <c r="L28" s="5">
        <v>20</v>
      </c>
      <c r="M28" s="5">
        <v>0.4</v>
      </c>
      <c r="N28" s="5">
        <v>0.74</v>
      </c>
      <c r="O28" s="5">
        <v>23</v>
      </c>
      <c r="P28" s="16">
        <v>58</v>
      </c>
      <c r="R28" s="138" t="s">
        <v>946</v>
      </c>
      <c r="S28" s="138"/>
    </row>
    <row r="29" spans="1:23" x14ac:dyDescent="0.3">
      <c r="A29" s="6" t="s">
        <v>670</v>
      </c>
      <c r="B29" s="3" t="s">
        <v>863</v>
      </c>
      <c r="C29" s="3">
        <v>1</v>
      </c>
      <c r="D29" s="3" t="s">
        <v>927</v>
      </c>
      <c r="E29" s="3" t="s">
        <v>887</v>
      </c>
      <c r="F29" s="3">
        <v>32</v>
      </c>
      <c r="G29" s="3">
        <v>48</v>
      </c>
      <c r="H29" s="3">
        <v>60</v>
      </c>
      <c r="I29" s="3">
        <v>53</v>
      </c>
      <c r="J29" s="3">
        <v>22</v>
      </c>
      <c r="K29" s="3">
        <v>13</v>
      </c>
      <c r="L29" s="3">
        <v>9</v>
      </c>
      <c r="M29" s="3">
        <v>0.4</v>
      </c>
      <c r="N29" s="3">
        <v>1.18</v>
      </c>
      <c r="O29" s="3">
        <v>26</v>
      </c>
      <c r="P29" s="17">
        <v>80</v>
      </c>
    </row>
    <row r="30" spans="1:23" x14ac:dyDescent="0.3">
      <c r="A30" s="4" t="s">
        <v>694</v>
      </c>
      <c r="B30" s="5" t="s">
        <v>863</v>
      </c>
      <c r="C30" s="5">
        <v>7</v>
      </c>
      <c r="D30" s="5" t="s">
        <v>928</v>
      </c>
      <c r="E30" s="5" t="s">
        <v>893</v>
      </c>
      <c r="F30" s="5">
        <v>7</v>
      </c>
      <c r="G30" s="5">
        <v>18</v>
      </c>
      <c r="H30" s="5">
        <v>72</v>
      </c>
      <c r="I30" s="5">
        <v>37</v>
      </c>
      <c r="J30" s="5">
        <v>10</v>
      </c>
      <c r="K30" s="5">
        <v>1</v>
      </c>
      <c r="L30" s="5">
        <v>8</v>
      </c>
      <c r="M30" s="5">
        <v>0.3</v>
      </c>
      <c r="N30" s="5">
        <v>0.3</v>
      </c>
      <c r="O30" s="5">
        <v>3</v>
      </c>
      <c r="P30" s="16">
        <v>25</v>
      </c>
      <c r="R30" t="s">
        <v>947</v>
      </c>
      <c r="S30" t="s">
        <v>895</v>
      </c>
      <c r="T30" t="s">
        <v>956</v>
      </c>
      <c r="U30" t="s">
        <v>958</v>
      </c>
      <c r="V30" t="s">
        <v>944</v>
      </c>
      <c r="W30" t="s">
        <v>959</v>
      </c>
    </row>
    <row r="31" spans="1:23" x14ac:dyDescent="0.3">
      <c r="A31" s="6" t="s">
        <v>718</v>
      </c>
      <c r="B31" s="3" t="s">
        <v>863</v>
      </c>
      <c r="C31" s="3">
        <v>6</v>
      </c>
      <c r="D31" s="3" t="s">
        <v>929</v>
      </c>
      <c r="E31" s="3" t="s">
        <v>892</v>
      </c>
      <c r="F31" s="3">
        <v>16</v>
      </c>
      <c r="G31" s="3">
        <v>18</v>
      </c>
      <c r="H31" s="3">
        <v>53</v>
      </c>
      <c r="I31" s="3">
        <v>37</v>
      </c>
      <c r="J31" s="3">
        <v>12</v>
      </c>
      <c r="K31" s="3">
        <v>3</v>
      </c>
      <c r="L31" s="3">
        <v>9</v>
      </c>
      <c r="M31" s="3">
        <v>0.3</v>
      </c>
      <c r="N31" s="3">
        <v>0.67</v>
      </c>
      <c r="O31" s="3">
        <v>8</v>
      </c>
      <c r="P31" s="17">
        <v>34</v>
      </c>
      <c r="R31" t="s">
        <v>948</v>
      </c>
      <c r="S31" t="s">
        <v>952</v>
      </c>
    </row>
    <row r="32" spans="1:23" x14ac:dyDescent="0.3">
      <c r="A32" s="4" t="s">
        <v>742</v>
      </c>
      <c r="B32" s="5" t="s">
        <v>863</v>
      </c>
      <c r="C32" s="5">
        <v>5</v>
      </c>
      <c r="D32" s="5" t="s">
        <v>930</v>
      </c>
      <c r="E32" s="5" t="s">
        <v>891</v>
      </c>
      <c r="F32" s="5">
        <v>25</v>
      </c>
      <c r="G32" s="5">
        <v>48</v>
      </c>
      <c r="H32" s="5">
        <v>66</v>
      </c>
      <c r="I32" s="5">
        <v>58</v>
      </c>
      <c r="J32" s="5">
        <v>24</v>
      </c>
      <c r="K32" s="5">
        <v>12</v>
      </c>
      <c r="L32" s="5">
        <v>12</v>
      </c>
      <c r="M32" s="5">
        <v>0.4</v>
      </c>
      <c r="N32" s="5">
        <v>1.04</v>
      </c>
      <c r="O32" s="5">
        <v>25</v>
      </c>
      <c r="P32" s="16">
        <v>73</v>
      </c>
      <c r="R32" t="s">
        <v>949</v>
      </c>
      <c r="S32" t="s">
        <v>953</v>
      </c>
    </row>
    <row r="33" spans="1:19" x14ac:dyDescent="0.3">
      <c r="A33" s="6" t="s">
        <v>766</v>
      </c>
      <c r="B33" s="3" t="s">
        <v>863</v>
      </c>
      <c r="C33" s="3">
        <v>4</v>
      </c>
      <c r="D33" s="3" t="s">
        <v>931</v>
      </c>
      <c r="E33" s="3" t="s">
        <v>890</v>
      </c>
      <c r="F33" s="3">
        <v>33</v>
      </c>
      <c r="G33" s="3">
        <v>56</v>
      </c>
      <c r="H33" s="3">
        <v>63</v>
      </c>
      <c r="I33" s="3">
        <v>74</v>
      </c>
      <c r="J33" s="3">
        <v>32</v>
      </c>
      <c r="K33" s="3">
        <v>18</v>
      </c>
      <c r="L33" s="3">
        <v>14</v>
      </c>
      <c r="M33" s="3">
        <v>0.4</v>
      </c>
      <c r="N33" s="3">
        <v>0.94</v>
      </c>
      <c r="O33" s="3">
        <v>30</v>
      </c>
      <c r="P33" s="17">
        <v>89</v>
      </c>
      <c r="R33" t="s">
        <v>950</v>
      </c>
      <c r="S33" t="s">
        <v>954</v>
      </c>
    </row>
    <row r="34" spans="1:19" x14ac:dyDescent="0.3">
      <c r="A34" s="4" t="s">
        <v>790</v>
      </c>
      <c r="B34" s="5" t="s">
        <v>863</v>
      </c>
      <c r="C34" s="5">
        <v>3</v>
      </c>
      <c r="D34" s="5" t="s">
        <v>932</v>
      </c>
      <c r="E34" s="5" t="s">
        <v>889</v>
      </c>
      <c r="F34" s="5">
        <v>24</v>
      </c>
      <c r="G34" s="5">
        <v>67</v>
      </c>
      <c r="H34" s="5">
        <v>74</v>
      </c>
      <c r="I34" s="5">
        <v>71</v>
      </c>
      <c r="J34" s="5">
        <v>30</v>
      </c>
      <c r="K34" s="5">
        <v>16</v>
      </c>
      <c r="L34" s="5">
        <v>14</v>
      </c>
      <c r="M34" s="5">
        <v>0.4</v>
      </c>
      <c r="N34" s="5">
        <v>1.07</v>
      </c>
      <c r="O34" s="5">
        <v>32</v>
      </c>
      <c r="P34" s="16">
        <v>91</v>
      </c>
      <c r="R34" t="s">
        <v>951</v>
      </c>
      <c r="S34" t="s">
        <v>955</v>
      </c>
    </row>
    <row r="35" spans="1:19" x14ac:dyDescent="0.3">
      <c r="A35" s="6" t="s">
        <v>814</v>
      </c>
      <c r="B35" s="3" t="s">
        <v>863</v>
      </c>
      <c r="C35" s="3">
        <v>2</v>
      </c>
      <c r="D35" s="3" t="s">
        <v>933</v>
      </c>
      <c r="E35" s="3" t="s">
        <v>888</v>
      </c>
      <c r="F35" s="3">
        <v>41</v>
      </c>
      <c r="G35" s="3">
        <v>52</v>
      </c>
      <c r="H35" s="3">
        <v>56</v>
      </c>
      <c r="I35" s="3">
        <v>59</v>
      </c>
      <c r="J35" s="3">
        <v>24</v>
      </c>
      <c r="K35" s="3">
        <v>15</v>
      </c>
      <c r="L35" s="3">
        <v>9</v>
      </c>
      <c r="M35" s="3">
        <v>0.4</v>
      </c>
      <c r="N35" s="3">
        <v>1.21</v>
      </c>
      <c r="O35" s="3">
        <v>29</v>
      </c>
      <c r="P35" s="17">
        <v>93</v>
      </c>
    </row>
    <row r="36" spans="1:19" x14ac:dyDescent="0.3">
      <c r="A36" s="4" t="s">
        <v>838</v>
      </c>
      <c r="B36" s="5" t="s">
        <v>863</v>
      </c>
      <c r="C36" s="5">
        <v>1</v>
      </c>
      <c r="D36" s="5" t="s">
        <v>934</v>
      </c>
      <c r="E36" s="5" t="s">
        <v>887</v>
      </c>
      <c r="F36" s="5">
        <v>43</v>
      </c>
      <c r="G36" s="5">
        <v>42</v>
      </c>
      <c r="H36" s="5">
        <v>49</v>
      </c>
      <c r="I36" s="5">
        <v>55</v>
      </c>
      <c r="J36" s="5">
        <v>20</v>
      </c>
      <c r="K36" s="5">
        <v>12</v>
      </c>
      <c r="L36" s="5">
        <v>7</v>
      </c>
      <c r="M36" s="5">
        <v>0.4</v>
      </c>
      <c r="N36" s="5">
        <v>0.95</v>
      </c>
      <c r="O36" s="5">
        <v>19</v>
      </c>
      <c r="P36" s="16">
        <v>85</v>
      </c>
    </row>
  </sheetData>
  <mergeCells count="1">
    <mergeCell ref="R28:S28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1E284-00C9-4EBE-BF2C-51167C002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Metric Tree</vt:lpstr>
      <vt:lpstr>EDA and Key Finding</vt:lpstr>
      <vt:lpstr>Daily and Weekly Analysis</vt:lpstr>
      <vt:lpstr>Demand vs Supply</vt:lpstr>
      <vt:lpstr>Drivers Incentives Estimate</vt:lpstr>
      <vt:lpstr>Incentive Framwork</vt:lpstr>
      <vt:lpstr>Demand_Raw_Data</vt:lpstr>
      <vt:lpstr>Supply_Raw_Data</vt:lpstr>
      <vt:lpstr>Peak Hours</vt:lpstr>
      <vt:lpstr>Metrics</vt:lpstr>
      <vt:lpstr>9 hour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Parmar</dc:creator>
  <cp:lastModifiedBy>Vaishali Parmar</cp:lastModifiedBy>
  <dcterms:created xsi:type="dcterms:W3CDTF">2026-04-23T16:44:54Z</dcterms:created>
  <dcterms:modified xsi:type="dcterms:W3CDTF">2026-04-28T16:50:02Z</dcterms:modified>
</cp:coreProperties>
</file>